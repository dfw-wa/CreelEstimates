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-my.sharepoint.com/personal/nathanael_overman_dfw_wa_gov/Documents/DESKTOP/"/>
    </mc:Choice>
  </mc:AlternateContent>
  <xr:revisionPtr revIDLastSave="0" documentId="8_{DA080084-B920-4B62-A4BA-F9ED10AAC885}" xr6:coauthVersionLast="47" xr6:coauthVersionMax="47" xr10:uidLastSave="{00000000-0000-0000-0000-000000000000}"/>
  <bookViews>
    <workbookView xWindow="-108" yWindow="-108" windowWidth="23256" windowHeight="12456" xr2:uid="{6904054B-B0F0-4032-B0B7-55F2D9D2F74D}"/>
  </bookViews>
  <sheets>
    <sheet name="2025 (Aug-Oct)" sheetId="3" r:id="rId1"/>
    <sheet name="2025 (Nov-Dec)" sheetId="4" r:id="rId2"/>
    <sheet name="2024" sheetId="2" r:id="rId3"/>
    <sheet name="2023" sheetId="1" r:id="rId4"/>
    <sheet name="2022" sheetId="5" r:id="rId5"/>
  </sheets>
  <definedNames>
    <definedName name="_xlnm._FilterDatabase" localSheetId="4" hidden="1">'2022'!$A$1:$AB$1</definedName>
    <definedName name="_xlnm._FilterDatabase" localSheetId="2" hidden="1">'2024'!$A$1:$AB$634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74" i="5" l="1"/>
  <c r="H574" i="5"/>
  <c r="G574" i="5" s="1"/>
  <c r="F574" i="5"/>
  <c r="E574" i="5"/>
  <c r="D574" i="5" s="1"/>
  <c r="B574" i="5"/>
  <c r="I573" i="5"/>
  <c r="I575" i="5" s="1"/>
  <c r="H573" i="5"/>
  <c r="H575" i="5" s="1"/>
  <c r="F573" i="5"/>
  <c r="F575" i="5" s="1"/>
  <c r="E573" i="5"/>
  <c r="E575" i="5" s="1"/>
  <c r="B573" i="5"/>
  <c r="B575" i="5" s="1"/>
  <c r="I568" i="5"/>
  <c r="H568" i="5"/>
  <c r="G568" i="5" s="1"/>
  <c r="F568" i="5"/>
  <c r="E568" i="5"/>
  <c r="D568" i="5" s="1"/>
  <c r="B568" i="5"/>
  <c r="I567" i="5"/>
  <c r="I569" i="5" s="1"/>
  <c r="H567" i="5"/>
  <c r="H569" i="5" s="1"/>
  <c r="F567" i="5"/>
  <c r="F569" i="5" s="1"/>
  <c r="E567" i="5"/>
  <c r="E569" i="5" s="1"/>
  <c r="B567" i="5"/>
  <c r="B569" i="5" s="1"/>
  <c r="I560" i="5"/>
  <c r="C560" i="5"/>
  <c r="K559" i="5"/>
  <c r="I559" i="5"/>
  <c r="H559" i="5"/>
  <c r="G559" i="5"/>
  <c r="D559" i="5"/>
  <c r="M559" i="5" s="1"/>
  <c r="C559" i="5"/>
  <c r="L559" i="5" s="1"/>
  <c r="B559" i="5"/>
  <c r="L558" i="5"/>
  <c r="I558" i="5"/>
  <c r="H558" i="5"/>
  <c r="G558" i="5"/>
  <c r="K558" i="5" s="1"/>
  <c r="D558" i="5"/>
  <c r="M558" i="5" s="1"/>
  <c r="C558" i="5"/>
  <c r="B558" i="5"/>
  <c r="M557" i="5"/>
  <c r="M560" i="5" s="1"/>
  <c r="K557" i="5"/>
  <c r="K560" i="5" s="1"/>
  <c r="I557" i="5"/>
  <c r="H557" i="5"/>
  <c r="H560" i="5" s="1"/>
  <c r="G557" i="5"/>
  <c r="G560" i="5" s="1"/>
  <c r="D557" i="5"/>
  <c r="D560" i="5" s="1"/>
  <c r="C557" i="5"/>
  <c r="B557" i="5"/>
  <c r="B560" i="5" s="1"/>
  <c r="M551" i="5"/>
  <c r="D551" i="5"/>
  <c r="M550" i="5"/>
  <c r="M549" i="5"/>
  <c r="M548" i="5"/>
  <c r="M547" i="5"/>
  <c r="M552" i="5" s="1"/>
  <c r="D547" i="5"/>
  <c r="M546" i="5"/>
  <c r="M545" i="5"/>
  <c r="M544" i="5"/>
  <c r="Q546" i="5" s="1"/>
  <c r="D543" i="5"/>
  <c r="W539" i="5"/>
  <c r="Y538" i="5"/>
  <c r="X538" i="5"/>
  <c r="X539" i="5" s="1"/>
  <c r="W538" i="5"/>
  <c r="V538" i="5"/>
  <c r="U538" i="5"/>
  <c r="T538" i="5"/>
  <c r="S538" i="5"/>
  <c r="Y539" i="5" s="1"/>
  <c r="R538" i="5"/>
  <c r="Q538" i="5"/>
  <c r="P538" i="5"/>
  <c r="G538" i="5"/>
  <c r="Y537" i="5"/>
  <c r="Y536" i="5"/>
  <c r="X536" i="5"/>
  <c r="X537" i="5" s="1"/>
  <c r="W536" i="5"/>
  <c r="V536" i="5"/>
  <c r="V537" i="5" s="1"/>
  <c r="U536" i="5"/>
  <c r="T536" i="5"/>
  <c r="S536" i="5"/>
  <c r="R536" i="5"/>
  <c r="Q536" i="5"/>
  <c r="W537" i="5" s="1"/>
  <c r="P536" i="5"/>
  <c r="G536" i="5"/>
  <c r="K533" i="5"/>
  <c r="L533" i="5" s="1"/>
  <c r="J533" i="5"/>
  <c r="J532" i="5"/>
  <c r="K532" i="5" s="1"/>
  <c r="L532" i="5" s="1"/>
  <c r="J531" i="5"/>
  <c r="K531" i="5" s="1"/>
  <c r="L531" i="5" s="1"/>
  <c r="L530" i="5"/>
  <c r="K530" i="5"/>
  <c r="J530" i="5"/>
  <c r="K529" i="5"/>
  <c r="L529" i="5" s="1"/>
  <c r="J529" i="5"/>
  <c r="J528" i="5"/>
  <c r="K528" i="5" s="1"/>
  <c r="L528" i="5" s="1"/>
  <c r="L527" i="5"/>
  <c r="J527" i="5"/>
  <c r="K527" i="5" s="1"/>
  <c r="J526" i="5"/>
  <c r="K526" i="5" s="1"/>
  <c r="L526" i="5" s="1"/>
  <c r="L525" i="5"/>
  <c r="K525" i="5"/>
  <c r="J525" i="5"/>
  <c r="K524" i="5"/>
  <c r="L524" i="5" s="1"/>
  <c r="J524" i="5"/>
  <c r="J523" i="5"/>
  <c r="K523" i="5" s="1"/>
  <c r="L523" i="5" s="1"/>
  <c r="L522" i="5"/>
  <c r="K522" i="5"/>
  <c r="J522" i="5"/>
  <c r="L521" i="5"/>
  <c r="K521" i="5"/>
  <c r="J521" i="5"/>
  <c r="J520" i="5"/>
  <c r="K520" i="5" s="1"/>
  <c r="L520" i="5" s="1"/>
  <c r="L519" i="5"/>
  <c r="J519" i="5"/>
  <c r="K519" i="5" s="1"/>
  <c r="L518" i="5"/>
  <c r="K518" i="5"/>
  <c r="J518" i="5"/>
  <c r="J517" i="5"/>
  <c r="K517" i="5" s="1"/>
  <c r="L517" i="5" s="1"/>
  <c r="K516" i="5"/>
  <c r="L516" i="5" s="1"/>
  <c r="J516" i="5"/>
  <c r="L515" i="5"/>
  <c r="K515" i="5"/>
  <c r="J515" i="5"/>
  <c r="K514" i="5"/>
  <c r="L514" i="5" s="1"/>
  <c r="J514" i="5"/>
  <c r="L513" i="5"/>
  <c r="K513" i="5"/>
  <c r="J513" i="5"/>
  <c r="J512" i="5"/>
  <c r="K512" i="5" s="1"/>
  <c r="L512" i="5" s="1"/>
  <c r="L511" i="5"/>
  <c r="J511" i="5"/>
  <c r="K511" i="5" s="1"/>
  <c r="K510" i="5"/>
  <c r="L510" i="5" s="1"/>
  <c r="J510" i="5"/>
  <c r="J509" i="5"/>
  <c r="K509" i="5" s="1"/>
  <c r="L509" i="5" s="1"/>
  <c r="J508" i="5"/>
  <c r="K508" i="5" s="1"/>
  <c r="L508" i="5" s="1"/>
  <c r="J507" i="5"/>
  <c r="K507" i="5" s="1"/>
  <c r="L507" i="5" s="1"/>
  <c r="L506" i="5"/>
  <c r="K506" i="5"/>
  <c r="J506" i="5"/>
  <c r="J505" i="5"/>
  <c r="K505" i="5" s="1"/>
  <c r="L505" i="5" s="1"/>
  <c r="K504" i="5"/>
  <c r="L504" i="5" s="1"/>
  <c r="J504" i="5"/>
  <c r="J503" i="5"/>
  <c r="K503" i="5" s="1"/>
  <c r="L503" i="5" s="1"/>
  <c r="J502" i="5"/>
  <c r="K502" i="5" s="1"/>
  <c r="L502" i="5" s="1"/>
  <c r="L501" i="5"/>
  <c r="K501" i="5"/>
  <c r="J501" i="5"/>
  <c r="J500" i="5"/>
  <c r="K500" i="5" s="1"/>
  <c r="L500" i="5" s="1"/>
  <c r="L499" i="5"/>
  <c r="K499" i="5"/>
  <c r="J499" i="5"/>
  <c r="K498" i="5"/>
  <c r="L498" i="5" s="1"/>
  <c r="J498" i="5"/>
  <c r="J497" i="5"/>
  <c r="K497" i="5" s="1"/>
  <c r="L497" i="5" s="1"/>
  <c r="L496" i="5"/>
  <c r="K496" i="5"/>
  <c r="J496" i="5"/>
  <c r="L495" i="5"/>
  <c r="J495" i="5"/>
  <c r="K495" i="5" s="1"/>
  <c r="J494" i="5"/>
  <c r="K494" i="5" s="1"/>
  <c r="L494" i="5" s="1"/>
  <c r="L493" i="5"/>
  <c r="K493" i="5"/>
  <c r="J493" i="5"/>
  <c r="K492" i="5"/>
  <c r="L492" i="5" s="1"/>
  <c r="J492" i="5"/>
  <c r="K491" i="5"/>
  <c r="L491" i="5" s="1"/>
  <c r="J491" i="5"/>
  <c r="K490" i="5"/>
  <c r="L490" i="5" s="1"/>
  <c r="J490" i="5"/>
  <c r="L489" i="5"/>
  <c r="K489" i="5"/>
  <c r="J489" i="5"/>
  <c r="J488" i="5"/>
  <c r="K488" i="5" s="1"/>
  <c r="L488" i="5" s="1"/>
  <c r="L487" i="5"/>
  <c r="J487" i="5"/>
  <c r="K487" i="5" s="1"/>
  <c r="L486" i="5"/>
  <c r="K486" i="5"/>
  <c r="J486" i="5"/>
  <c r="J485" i="5"/>
  <c r="K485" i="5" s="1"/>
  <c r="L485" i="5" s="1"/>
  <c r="K484" i="5"/>
  <c r="L484" i="5" s="1"/>
  <c r="J484" i="5"/>
  <c r="L483" i="5"/>
  <c r="K483" i="5"/>
  <c r="J483" i="5"/>
  <c r="L482" i="5"/>
  <c r="K482" i="5"/>
  <c r="J482" i="5"/>
  <c r="L481" i="5"/>
  <c r="K481" i="5"/>
  <c r="J481" i="5"/>
  <c r="J480" i="5"/>
  <c r="K480" i="5" s="1"/>
  <c r="L480" i="5" s="1"/>
  <c r="J479" i="5"/>
  <c r="K479" i="5" s="1"/>
  <c r="L479" i="5" s="1"/>
  <c r="J478" i="5"/>
  <c r="K478" i="5" s="1"/>
  <c r="L478" i="5" s="1"/>
  <c r="J477" i="5"/>
  <c r="K477" i="5" s="1"/>
  <c r="L477" i="5" s="1"/>
  <c r="K476" i="5"/>
  <c r="L476" i="5" s="1"/>
  <c r="J476" i="5"/>
  <c r="K475" i="5"/>
  <c r="L475" i="5" s="1"/>
  <c r="J475" i="5"/>
  <c r="L474" i="5"/>
  <c r="K474" i="5"/>
  <c r="J474" i="5"/>
  <c r="J473" i="5"/>
  <c r="K473" i="5" s="1"/>
  <c r="L473" i="5" s="1"/>
  <c r="L472" i="5"/>
  <c r="K472" i="5"/>
  <c r="J472" i="5"/>
  <c r="J471" i="5"/>
  <c r="K471" i="5" s="1"/>
  <c r="L471" i="5" s="1"/>
  <c r="L470" i="5"/>
  <c r="K470" i="5"/>
  <c r="J470" i="5"/>
  <c r="K469" i="5"/>
  <c r="L469" i="5" s="1"/>
  <c r="J469" i="5"/>
  <c r="J468" i="5"/>
  <c r="K468" i="5" s="1"/>
  <c r="L468" i="5" s="1"/>
  <c r="L467" i="5"/>
  <c r="K467" i="5"/>
  <c r="J467" i="5"/>
  <c r="K466" i="5"/>
  <c r="L466" i="5" s="1"/>
  <c r="J466" i="5"/>
  <c r="J465" i="5"/>
  <c r="K465" i="5" s="1"/>
  <c r="L465" i="5" s="1"/>
  <c r="L464" i="5"/>
  <c r="K464" i="5"/>
  <c r="J464" i="5"/>
  <c r="L463" i="5"/>
  <c r="J463" i="5"/>
  <c r="K463" i="5" s="1"/>
  <c r="K462" i="5"/>
  <c r="L462" i="5" s="1"/>
  <c r="J462" i="5"/>
  <c r="K461" i="5"/>
  <c r="L461" i="5" s="1"/>
  <c r="J461" i="5"/>
  <c r="K460" i="5"/>
  <c r="L460" i="5" s="1"/>
  <c r="J460" i="5"/>
  <c r="J459" i="5"/>
  <c r="K459" i="5" s="1"/>
  <c r="L459" i="5" s="1"/>
  <c r="K458" i="5"/>
  <c r="L458" i="5" s="1"/>
  <c r="J458" i="5"/>
  <c r="L457" i="5"/>
  <c r="K457" i="5"/>
  <c r="J457" i="5"/>
  <c r="K456" i="5"/>
  <c r="L456" i="5" s="1"/>
  <c r="J456" i="5"/>
  <c r="J455" i="5"/>
  <c r="K455" i="5" s="1"/>
  <c r="L455" i="5" s="1"/>
  <c r="L454" i="5"/>
  <c r="K454" i="5"/>
  <c r="J454" i="5"/>
  <c r="K453" i="5"/>
  <c r="L453" i="5" s="1"/>
  <c r="J453" i="5"/>
  <c r="J452" i="5"/>
  <c r="K452" i="5" s="1"/>
  <c r="L452" i="5" s="1"/>
  <c r="L451" i="5"/>
  <c r="K451" i="5"/>
  <c r="J451" i="5"/>
  <c r="K450" i="5"/>
  <c r="L450" i="5" s="1"/>
  <c r="J450" i="5"/>
  <c r="K449" i="5"/>
  <c r="L449" i="5" s="1"/>
  <c r="J449" i="5"/>
  <c r="J448" i="5"/>
  <c r="K448" i="5" s="1"/>
  <c r="L448" i="5" s="1"/>
  <c r="J447" i="5"/>
  <c r="K447" i="5" s="1"/>
  <c r="L447" i="5" s="1"/>
  <c r="J446" i="5"/>
  <c r="K446" i="5" s="1"/>
  <c r="L446" i="5" s="1"/>
  <c r="J445" i="5"/>
  <c r="K445" i="5" s="1"/>
  <c r="L445" i="5" s="1"/>
  <c r="K444" i="5"/>
  <c r="L444" i="5" s="1"/>
  <c r="J444" i="5"/>
  <c r="J443" i="5"/>
  <c r="K443" i="5" s="1"/>
  <c r="L443" i="5" s="1"/>
  <c r="L442" i="5"/>
  <c r="K442" i="5"/>
  <c r="J442" i="5"/>
  <c r="L441" i="5"/>
  <c r="K441" i="5"/>
  <c r="J441" i="5"/>
  <c r="K440" i="5"/>
  <c r="L440" i="5" s="1"/>
  <c r="J440" i="5"/>
  <c r="J439" i="5"/>
  <c r="K439" i="5" s="1"/>
  <c r="L439" i="5" s="1"/>
  <c r="L438" i="5"/>
  <c r="K438" i="5"/>
  <c r="J438" i="5"/>
  <c r="K437" i="5"/>
  <c r="L437" i="5" s="1"/>
  <c r="J437" i="5"/>
  <c r="J436" i="5"/>
  <c r="K436" i="5" s="1"/>
  <c r="L436" i="5" s="1"/>
  <c r="K435" i="5"/>
  <c r="L435" i="5" s="1"/>
  <c r="J435" i="5"/>
  <c r="L434" i="5"/>
  <c r="K434" i="5"/>
  <c r="J434" i="5"/>
  <c r="K433" i="5"/>
  <c r="L433" i="5" s="1"/>
  <c r="J433" i="5"/>
  <c r="K432" i="5"/>
  <c r="L432" i="5" s="1"/>
  <c r="J432" i="5"/>
  <c r="L431" i="5"/>
  <c r="J431" i="5"/>
  <c r="K431" i="5" s="1"/>
  <c r="J430" i="5"/>
  <c r="K430" i="5" s="1"/>
  <c r="L430" i="5" s="1"/>
  <c r="J429" i="5"/>
  <c r="K429" i="5" s="1"/>
  <c r="L429" i="5" s="1"/>
  <c r="K428" i="5"/>
  <c r="L428" i="5" s="1"/>
  <c r="J428" i="5"/>
  <c r="J427" i="5"/>
  <c r="K427" i="5" s="1"/>
  <c r="L427" i="5" s="1"/>
  <c r="L426" i="5"/>
  <c r="K426" i="5"/>
  <c r="J426" i="5"/>
  <c r="L425" i="5"/>
  <c r="K425" i="5"/>
  <c r="J425" i="5"/>
  <c r="J424" i="5"/>
  <c r="K424" i="5" s="1"/>
  <c r="L424" i="5" s="1"/>
  <c r="J423" i="5"/>
  <c r="K423" i="5" s="1"/>
  <c r="L423" i="5" s="1"/>
  <c r="L422" i="5"/>
  <c r="K422" i="5"/>
  <c r="J422" i="5"/>
  <c r="J421" i="5"/>
  <c r="K421" i="5" s="1"/>
  <c r="L421" i="5" s="1"/>
  <c r="J420" i="5"/>
  <c r="K420" i="5" s="1"/>
  <c r="L420" i="5" s="1"/>
  <c r="L419" i="5"/>
  <c r="K419" i="5"/>
  <c r="J419" i="5"/>
  <c r="K418" i="5"/>
  <c r="L418" i="5" s="1"/>
  <c r="J418" i="5"/>
  <c r="J417" i="5"/>
  <c r="K417" i="5" s="1"/>
  <c r="L417" i="5" s="1"/>
  <c r="L416" i="5"/>
  <c r="J416" i="5"/>
  <c r="K416" i="5" s="1"/>
  <c r="J415" i="5"/>
  <c r="K415" i="5" s="1"/>
  <c r="L415" i="5" s="1"/>
  <c r="J414" i="5"/>
  <c r="K414" i="5" s="1"/>
  <c r="L414" i="5" s="1"/>
  <c r="L413" i="5"/>
  <c r="J413" i="5"/>
  <c r="K413" i="5" s="1"/>
  <c r="K412" i="5"/>
  <c r="L412" i="5" s="1"/>
  <c r="J412" i="5"/>
  <c r="K411" i="5"/>
  <c r="L411" i="5" s="1"/>
  <c r="J411" i="5"/>
  <c r="L410" i="5"/>
  <c r="K410" i="5"/>
  <c r="J410" i="5"/>
  <c r="J409" i="5"/>
  <c r="K409" i="5" s="1"/>
  <c r="L409" i="5" s="1"/>
  <c r="J408" i="5"/>
  <c r="K408" i="5" s="1"/>
  <c r="L408" i="5" s="1"/>
  <c r="J407" i="5"/>
  <c r="K407" i="5" s="1"/>
  <c r="L407" i="5" s="1"/>
  <c r="L406" i="5"/>
  <c r="K406" i="5"/>
  <c r="J406" i="5"/>
  <c r="K405" i="5"/>
  <c r="L405" i="5" s="1"/>
  <c r="J405" i="5"/>
  <c r="J404" i="5"/>
  <c r="K404" i="5" s="1"/>
  <c r="L404" i="5" s="1"/>
  <c r="L403" i="5"/>
  <c r="K403" i="5"/>
  <c r="J403" i="5"/>
  <c r="K402" i="5"/>
  <c r="L402" i="5" s="1"/>
  <c r="J402" i="5"/>
  <c r="J401" i="5"/>
  <c r="K401" i="5" s="1"/>
  <c r="L401" i="5" s="1"/>
  <c r="L400" i="5"/>
  <c r="K400" i="5"/>
  <c r="J400" i="5"/>
  <c r="J399" i="5"/>
  <c r="K399" i="5" s="1"/>
  <c r="L399" i="5" s="1"/>
  <c r="K398" i="5"/>
  <c r="L398" i="5" s="1"/>
  <c r="J398" i="5"/>
  <c r="K397" i="5"/>
  <c r="L397" i="5" s="1"/>
  <c r="J397" i="5"/>
  <c r="K396" i="5"/>
  <c r="L396" i="5" s="1"/>
  <c r="J396" i="5"/>
  <c r="J395" i="5"/>
  <c r="K395" i="5" s="1"/>
  <c r="L395" i="5" s="1"/>
  <c r="K394" i="5"/>
  <c r="L394" i="5" s="1"/>
  <c r="J394" i="5"/>
  <c r="L393" i="5"/>
  <c r="K393" i="5"/>
  <c r="J393" i="5"/>
  <c r="K392" i="5"/>
  <c r="L392" i="5" s="1"/>
  <c r="J392" i="5"/>
  <c r="J391" i="5"/>
  <c r="K391" i="5" s="1"/>
  <c r="L391" i="5" s="1"/>
  <c r="L390" i="5"/>
  <c r="K390" i="5"/>
  <c r="J390" i="5"/>
  <c r="K389" i="5"/>
  <c r="L389" i="5" s="1"/>
  <c r="J389" i="5"/>
  <c r="J388" i="5"/>
  <c r="K388" i="5" s="1"/>
  <c r="L388" i="5" s="1"/>
  <c r="L387" i="5"/>
  <c r="K387" i="5"/>
  <c r="J387" i="5"/>
  <c r="K386" i="5"/>
  <c r="L386" i="5" s="1"/>
  <c r="J386" i="5"/>
  <c r="K385" i="5"/>
  <c r="L385" i="5" s="1"/>
  <c r="J385" i="5"/>
  <c r="L384" i="5"/>
  <c r="J384" i="5"/>
  <c r="K384" i="5" s="1"/>
  <c r="J383" i="5"/>
  <c r="K383" i="5" s="1"/>
  <c r="L383" i="5" s="1"/>
  <c r="J382" i="5"/>
  <c r="K382" i="5" s="1"/>
  <c r="L382" i="5" s="1"/>
  <c r="L381" i="5"/>
  <c r="J381" i="5"/>
  <c r="K381" i="5" s="1"/>
  <c r="J380" i="5"/>
  <c r="K380" i="5" s="1"/>
  <c r="L380" i="5" s="1"/>
  <c r="J379" i="5"/>
  <c r="K379" i="5" s="1"/>
  <c r="L379" i="5" s="1"/>
  <c r="L378" i="5"/>
  <c r="K378" i="5"/>
  <c r="J378" i="5"/>
  <c r="J377" i="5"/>
  <c r="K377" i="5" s="1"/>
  <c r="L377" i="5" s="1"/>
  <c r="J376" i="5"/>
  <c r="K376" i="5" s="1"/>
  <c r="L376" i="5" s="1"/>
  <c r="J375" i="5"/>
  <c r="K375" i="5" s="1"/>
  <c r="L375" i="5" s="1"/>
  <c r="J374" i="5"/>
  <c r="K374" i="5" s="1"/>
  <c r="L374" i="5" s="1"/>
  <c r="J373" i="5"/>
  <c r="K373" i="5" s="1"/>
  <c r="L373" i="5" s="1"/>
  <c r="J372" i="5"/>
  <c r="K372" i="5" s="1"/>
  <c r="L372" i="5" s="1"/>
  <c r="L371" i="5"/>
  <c r="K371" i="5"/>
  <c r="J371" i="5"/>
  <c r="K370" i="5"/>
  <c r="L370" i="5" s="1"/>
  <c r="J370" i="5"/>
  <c r="J369" i="5"/>
  <c r="K369" i="5" s="1"/>
  <c r="L369" i="5" s="1"/>
  <c r="L368" i="5"/>
  <c r="K368" i="5"/>
  <c r="J368" i="5"/>
  <c r="J367" i="5"/>
  <c r="K367" i="5" s="1"/>
  <c r="L367" i="5" s="1"/>
  <c r="J366" i="5"/>
  <c r="K366" i="5" s="1"/>
  <c r="L366" i="5" s="1"/>
  <c r="L365" i="5"/>
  <c r="K365" i="5"/>
  <c r="J365" i="5"/>
  <c r="J364" i="5"/>
  <c r="K364" i="5" s="1"/>
  <c r="L364" i="5" s="1"/>
  <c r="K363" i="5"/>
  <c r="L363" i="5" s="1"/>
  <c r="J363" i="5"/>
  <c r="K362" i="5"/>
  <c r="L362" i="5" s="1"/>
  <c r="J362" i="5"/>
  <c r="L361" i="5"/>
  <c r="K361" i="5"/>
  <c r="J361" i="5"/>
  <c r="J360" i="5"/>
  <c r="K360" i="5" s="1"/>
  <c r="L360" i="5" s="1"/>
  <c r="L359" i="5"/>
  <c r="J359" i="5"/>
  <c r="K359" i="5" s="1"/>
  <c r="L358" i="5"/>
  <c r="K358" i="5"/>
  <c r="J358" i="5"/>
  <c r="J357" i="5"/>
  <c r="K357" i="5" s="1"/>
  <c r="L357" i="5" s="1"/>
  <c r="K356" i="5"/>
  <c r="L356" i="5" s="1"/>
  <c r="J356" i="5"/>
  <c r="L355" i="5"/>
  <c r="K355" i="5"/>
  <c r="J355" i="5"/>
  <c r="L354" i="5"/>
  <c r="K354" i="5"/>
  <c r="J354" i="5"/>
  <c r="L353" i="5"/>
  <c r="K353" i="5"/>
  <c r="J353" i="5"/>
  <c r="J352" i="5"/>
  <c r="K352" i="5" s="1"/>
  <c r="L352" i="5" s="1"/>
  <c r="L351" i="5"/>
  <c r="J351" i="5"/>
  <c r="K351" i="5" s="1"/>
  <c r="K350" i="5"/>
  <c r="L350" i="5" s="1"/>
  <c r="J350" i="5"/>
  <c r="L349" i="5"/>
  <c r="J349" i="5"/>
  <c r="K349" i="5" s="1"/>
  <c r="J348" i="5"/>
  <c r="K348" i="5" s="1"/>
  <c r="L348" i="5" s="1"/>
  <c r="J347" i="5"/>
  <c r="K347" i="5" s="1"/>
  <c r="L347" i="5" s="1"/>
  <c r="L346" i="5"/>
  <c r="K346" i="5"/>
  <c r="J346" i="5"/>
  <c r="K345" i="5"/>
  <c r="L345" i="5" s="1"/>
  <c r="J345" i="5"/>
  <c r="K344" i="5"/>
  <c r="L344" i="5" s="1"/>
  <c r="J344" i="5"/>
  <c r="J343" i="5"/>
  <c r="K343" i="5" s="1"/>
  <c r="L343" i="5" s="1"/>
  <c r="J342" i="5"/>
  <c r="K342" i="5" s="1"/>
  <c r="L342" i="5" s="1"/>
  <c r="J341" i="5"/>
  <c r="K341" i="5" s="1"/>
  <c r="L341" i="5" s="1"/>
  <c r="J340" i="5"/>
  <c r="K340" i="5" s="1"/>
  <c r="L340" i="5" s="1"/>
  <c r="J339" i="5"/>
  <c r="K339" i="5" s="1"/>
  <c r="L339" i="5" s="1"/>
  <c r="L338" i="5"/>
  <c r="K338" i="5"/>
  <c r="J338" i="5"/>
  <c r="K337" i="5"/>
  <c r="L337" i="5" s="1"/>
  <c r="J337" i="5"/>
  <c r="J336" i="5"/>
  <c r="K336" i="5" s="1"/>
  <c r="L336" i="5" s="1"/>
  <c r="L335" i="5"/>
  <c r="J335" i="5"/>
  <c r="K335" i="5" s="1"/>
  <c r="J334" i="5"/>
  <c r="K334" i="5" s="1"/>
  <c r="L334" i="5" s="1"/>
  <c r="L333" i="5"/>
  <c r="K333" i="5"/>
  <c r="J333" i="5"/>
  <c r="J332" i="5"/>
  <c r="K332" i="5" s="1"/>
  <c r="L332" i="5" s="1"/>
  <c r="J331" i="5"/>
  <c r="K331" i="5" s="1"/>
  <c r="L331" i="5" s="1"/>
  <c r="L330" i="5"/>
  <c r="K330" i="5"/>
  <c r="J330" i="5"/>
  <c r="K329" i="5"/>
  <c r="L329" i="5" s="1"/>
  <c r="J329" i="5"/>
  <c r="J328" i="5"/>
  <c r="K328" i="5" s="1"/>
  <c r="L328" i="5" s="1"/>
  <c r="L327" i="5"/>
  <c r="J327" i="5"/>
  <c r="K327" i="5" s="1"/>
  <c r="K326" i="5"/>
  <c r="L326" i="5" s="1"/>
  <c r="J326" i="5"/>
  <c r="J325" i="5"/>
  <c r="K325" i="5" s="1"/>
  <c r="L325" i="5" s="1"/>
  <c r="K324" i="5"/>
  <c r="L324" i="5" s="1"/>
  <c r="J324" i="5"/>
  <c r="K323" i="5"/>
  <c r="L323" i="5" s="1"/>
  <c r="J323" i="5"/>
  <c r="K322" i="5"/>
  <c r="L322" i="5" s="1"/>
  <c r="J322" i="5"/>
  <c r="L321" i="5"/>
  <c r="K321" i="5"/>
  <c r="J321" i="5"/>
  <c r="J320" i="5"/>
  <c r="K320" i="5" s="1"/>
  <c r="L320" i="5" s="1"/>
  <c r="J319" i="5"/>
  <c r="K319" i="5" s="1"/>
  <c r="L319" i="5" s="1"/>
  <c r="L318" i="5"/>
  <c r="K318" i="5"/>
  <c r="J318" i="5"/>
  <c r="J317" i="5"/>
  <c r="K317" i="5" s="1"/>
  <c r="L317" i="5" s="1"/>
  <c r="K316" i="5"/>
  <c r="L316" i="5" s="1"/>
  <c r="J316" i="5"/>
  <c r="K315" i="5"/>
  <c r="L315" i="5" s="1"/>
  <c r="J315" i="5"/>
  <c r="L314" i="5"/>
  <c r="K314" i="5"/>
  <c r="J314" i="5"/>
  <c r="J313" i="5"/>
  <c r="K313" i="5" s="1"/>
  <c r="L313" i="5" s="1"/>
  <c r="L312" i="5"/>
  <c r="K312" i="5"/>
  <c r="J312" i="5"/>
  <c r="J311" i="5"/>
  <c r="K311" i="5" s="1"/>
  <c r="L311" i="5" s="1"/>
  <c r="K310" i="5"/>
  <c r="L310" i="5" s="1"/>
  <c r="J310" i="5"/>
  <c r="K309" i="5"/>
  <c r="L309" i="5" s="1"/>
  <c r="J309" i="5"/>
  <c r="J308" i="5"/>
  <c r="K308" i="5" s="1"/>
  <c r="L308" i="5" s="1"/>
  <c r="J307" i="5"/>
  <c r="K307" i="5" s="1"/>
  <c r="L307" i="5" s="1"/>
  <c r="K306" i="5"/>
  <c r="L306" i="5" s="1"/>
  <c r="J306" i="5"/>
  <c r="K305" i="5"/>
  <c r="L305" i="5" s="1"/>
  <c r="J305" i="5"/>
  <c r="J304" i="5"/>
  <c r="K304" i="5" s="1"/>
  <c r="L304" i="5" s="1"/>
  <c r="J303" i="5"/>
  <c r="K303" i="5" s="1"/>
  <c r="L303" i="5" s="1"/>
  <c r="K302" i="5"/>
  <c r="L302" i="5" s="1"/>
  <c r="J302" i="5"/>
  <c r="L301" i="5"/>
  <c r="K301" i="5"/>
  <c r="J301" i="5"/>
  <c r="K300" i="5"/>
  <c r="L300" i="5" s="1"/>
  <c r="J300" i="5"/>
  <c r="J299" i="5"/>
  <c r="K299" i="5" s="1"/>
  <c r="L299" i="5" s="1"/>
  <c r="L298" i="5"/>
  <c r="K298" i="5"/>
  <c r="J298" i="5"/>
  <c r="K297" i="5"/>
  <c r="L297" i="5" s="1"/>
  <c r="J297" i="5"/>
  <c r="K296" i="5"/>
  <c r="L296" i="5" s="1"/>
  <c r="J296" i="5"/>
  <c r="L295" i="5"/>
  <c r="J295" i="5"/>
  <c r="K295" i="5" s="1"/>
  <c r="K294" i="5"/>
  <c r="L294" i="5" s="1"/>
  <c r="J294" i="5"/>
  <c r="K293" i="5"/>
  <c r="L293" i="5" s="1"/>
  <c r="J293" i="5"/>
  <c r="K292" i="5"/>
  <c r="L292" i="5" s="1"/>
  <c r="J292" i="5"/>
  <c r="K291" i="5"/>
  <c r="L291" i="5" s="1"/>
  <c r="J291" i="5"/>
  <c r="K290" i="5"/>
  <c r="L290" i="5" s="1"/>
  <c r="J290" i="5"/>
  <c r="L289" i="5"/>
  <c r="K289" i="5"/>
  <c r="J289" i="5"/>
  <c r="L288" i="5"/>
  <c r="J288" i="5"/>
  <c r="K288" i="5" s="1"/>
  <c r="J287" i="5"/>
  <c r="K287" i="5" s="1"/>
  <c r="L287" i="5" s="1"/>
  <c r="L286" i="5"/>
  <c r="K286" i="5"/>
  <c r="J286" i="5"/>
  <c r="J285" i="5"/>
  <c r="K285" i="5" s="1"/>
  <c r="L285" i="5" s="1"/>
  <c r="J284" i="5"/>
  <c r="K284" i="5" s="1"/>
  <c r="L284" i="5" s="1"/>
  <c r="L283" i="5"/>
  <c r="K283" i="5"/>
  <c r="J283" i="5"/>
  <c r="L282" i="5"/>
  <c r="K282" i="5"/>
  <c r="J282" i="5"/>
  <c r="J281" i="5"/>
  <c r="K281" i="5" s="1"/>
  <c r="L281" i="5" s="1"/>
  <c r="L280" i="5"/>
  <c r="K280" i="5"/>
  <c r="J280" i="5"/>
  <c r="J279" i="5"/>
  <c r="K279" i="5" s="1"/>
  <c r="L279" i="5" s="1"/>
  <c r="J278" i="5"/>
  <c r="K278" i="5" s="1"/>
  <c r="L278" i="5" s="1"/>
  <c r="L277" i="5"/>
  <c r="K277" i="5"/>
  <c r="J277" i="5"/>
  <c r="J276" i="5"/>
  <c r="K276" i="5" s="1"/>
  <c r="L276" i="5" s="1"/>
  <c r="K275" i="5"/>
  <c r="L275" i="5" s="1"/>
  <c r="J275" i="5"/>
  <c r="K274" i="5"/>
  <c r="L274" i="5" s="1"/>
  <c r="J274" i="5"/>
  <c r="K273" i="5"/>
  <c r="L273" i="5" s="1"/>
  <c r="J273" i="5"/>
  <c r="K272" i="5"/>
  <c r="L272" i="5" s="1"/>
  <c r="J272" i="5"/>
  <c r="J271" i="5"/>
  <c r="K271" i="5" s="1"/>
  <c r="L271" i="5" s="1"/>
  <c r="K270" i="5"/>
  <c r="L270" i="5" s="1"/>
  <c r="J270" i="5"/>
  <c r="J269" i="5"/>
  <c r="K269" i="5" s="1"/>
  <c r="L269" i="5" s="1"/>
  <c r="J268" i="5"/>
  <c r="K268" i="5" s="1"/>
  <c r="L268" i="5" s="1"/>
  <c r="K267" i="5"/>
  <c r="L267" i="5" s="1"/>
  <c r="J267" i="5"/>
  <c r="L266" i="5"/>
  <c r="K266" i="5"/>
  <c r="J266" i="5"/>
  <c r="L265" i="5"/>
  <c r="K265" i="5"/>
  <c r="J265" i="5"/>
  <c r="L264" i="5"/>
  <c r="K264" i="5"/>
  <c r="J264" i="5"/>
  <c r="L263" i="5"/>
  <c r="J263" i="5"/>
  <c r="K263" i="5" s="1"/>
  <c r="L262" i="5"/>
  <c r="K262" i="5"/>
  <c r="J262" i="5"/>
  <c r="L261" i="5"/>
  <c r="K261" i="5"/>
  <c r="J261" i="5"/>
  <c r="K260" i="5"/>
  <c r="L260" i="5" s="1"/>
  <c r="J260" i="5"/>
  <c r="L259" i="5"/>
  <c r="K259" i="5"/>
  <c r="J259" i="5"/>
  <c r="L258" i="5"/>
  <c r="K258" i="5"/>
  <c r="J258" i="5"/>
  <c r="J257" i="5"/>
  <c r="K257" i="5" s="1"/>
  <c r="L257" i="5" s="1"/>
  <c r="J256" i="5"/>
  <c r="K256" i="5" s="1"/>
  <c r="L256" i="5" s="1"/>
  <c r="L255" i="5"/>
  <c r="J255" i="5"/>
  <c r="K255" i="5" s="1"/>
  <c r="L254" i="5"/>
  <c r="K254" i="5"/>
  <c r="J254" i="5"/>
  <c r="L253" i="5"/>
  <c r="J253" i="5"/>
  <c r="K253" i="5" s="1"/>
  <c r="J252" i="5"/>
  <c r="K252" i="5" s="1"/>
  <c r="L252" i="5" s="1"/>
  <c r="L251" i="5"/>
  <c r="K251" i="5"/>
  <c r="J251" i="5"/>
  <c r="L250" i="5"/>
  <c r="K250" i="5"/>
  <c r="J250" i="5"/>
  <c r="K249" i="5"/>
  <c r="L249" i="5" s="1"/>
  <c r="J249" i="5"/>
  <c r="L248" i="5"/>
  <c r="K248" i="5"/>
  <c r="J248" i="5"/>
  <c r="J247" i="5"/>
  <c r="K247" i="5" s="1"/>
  <c r="L247" i="5" s="1"/>
  <c r="J246" i="5"/>
  <c r="K246" i="5" s="1"/>
  <c r="L246" i="5" s="1"/>
  <c r="L245" i="5"/>
  <c r="K245" i="5"/>
  <c r="J245" i="5"/>
  <c r="J244" i="5"/>
  <c r="K244" i="5" s="1"/>
  <c r="L244" i="5" s="1"/>
  <c r="J243" i="5"/>
  <c r="K243" i="5" s="1"/>
  <c r="L243" i="5" s="1"/>
  <c r="L242" i="5"/>
  <c r="K242" i="5"/>
  <c r="J242" i="5"/>
  <c r="K241" i="5"/>
  <c r="L241" i="5" s="1"/>
  <c r="J241" i="5"/>
  <c r="J240" i="5"/>
  <c r="K240" i="5" s="1"/>
  <c r="L240" i="5" s="1"/>
  <c r="L239" i="5"/>
  <c r="K239" i="5"/>
  <c r="J239" i="5"/>
  <c r="J238" i="5"/>
  <c r="K238" i="5" s="1"/>
  <c r="L238" i="5" s="1"/>
  <c r="J237" i="5"/>
  <c r="K237" i="5" s="1"/>
  <c r="L237" i="5" s="1"/>
  <c r="L236" i="5"/>
  <c r="J236" i="5"/>
  <c r="K236" i="5" s="1"/>
  <c r="J235" i="5"/>
  <c r="K235" i="5" s="1"/>
  <c r="L235" i="5" s="1"/>
  <c r="J234" i="5"/>
  <c r="K234" i="5" s="1"/>
  <c r="L234" i="5" s="1"/>
  <c r="K233" i="5"/>
  <c r="L233" i="5" s="1"/>
  <c r="J233" i="5"/>
  <c r="J232" i="5"/>
  <c r="K232" i="5" s="1"/>
  <c r="L232" i="5" s="1"/>
  <c r="K231" i="5"/>
  <c r="L231" i="5" s="1"/>
  <c r="J231" i="5"/>
  <c r="L230" i="5"/>
  <c r="K230" i="5"/>
  <c r="J230" i="5"/>
  <c r="K229" i="5"/>
  <c r="L229" i="5" s="1"/>
  <c r="J229" i="5"/>
  <c r="J228" i="5"/>
  <c r="K228" i="5" s="1"/>
  <c r="L228" i="5" s="1"/>
  <c r="L227" i="5"/>
  <c r="K227" i="5"/>
  <c r="J227" i="5"/>
  <c r="K226" i="5"/>
  <c r="L226" i="5" s="1"/>
  <c r="J226" i="5"/>
  <c r="J225" i="5"/>
  <c r="K225" i="5" s="1"/>
  <c r="L225" i="5" s="1"/>
  <c r="L224" i="5"/>
  <c r="K224" i="5"/>
  <c r="J224" i="5"/>
  <c r="K223" i="5"/>
  <c r="L223" i="5" s="1"/>
  <c r="J223" i="5"/>
  <c r="K222" i="5"/>
  <c r="L222" i="5" s="1"/>
  <c r="J222" i="5"/>
  <c r="L221" i="5"/>
  <c r="K221" i="5"/>
  <c r="J221" i="5"/>
  <c r="L220" i="5"/>
  <c r="J220" i="5"/>
  <c r="K220" i="5" s="1"/>
  <c r="K219" i="5"/>
  <c r="L219" i="5" s="1"/>
  <c r="J219" i="5"/>
  <c r="L218" i="5"/>
  <c r="K218" i="5"/>
  <c r="J218" i="5"/>
  <c r="K217" i="5"/>
  <c r="L217" i="5" s="1"/>
  <c r="J217" i="5"/>
  <c r="K216" i="5"/>
  <c r="L216" i="5" s="1"/>
  <c r="J216" i="5"/>
  <c r="L215" i="5"/>
  <c r="K215" i="5"/>
  <c r="J215" i="5"/>
  <c r="J214" i="5"/>
  <c r="K214" i="5" s="1"/>
  <c r="L214" i="5" s="1"/>
  <c r="L213" i="5"/>
  <c r="K213" i="5"/>
  <c r="J213" i="5"/>
  <c r="L212" i="5"/>
  <c r="J212" i="5"/>
  <c r="K212" i="5" s="1"/>
  <c r="J211" i="5"/>
  <c r="K211" i="5" s="1"/>
  <c r="L211" i="5" s="1"/>
  <c r="L210" i="5"/>
  <c r="K210" i="5"/>
  <c r="J210" i="5"/>
  <c r="K209" i="5"/>
  <c r="L209" i="5" s="1"/>
  <c r="J209" i="5"/>
  <c r="J208" i="5"/>
  <c r="K208" i="5" s="1"/>
  <c r="L208" i="5" s="1"/>
  <c r="L207" i="5"/>
  <c r="K207" i="5"/>
  <c r="J207" i="5"/>
  <c r="J206" i="5"/>
  <c r="K206" i="5" s="1"/>
  <c r="L206" i="5" s="1"/>
  <c r="J205" i="5"/>
  <c r="K205" i="5" s="1"/>
  <c r="L205" i="5" s="1"/>
  <c r="L204" i="5"/>
  <c r="J204" i="5"/>
  <c r="K204" i="5" s="1"/>
  <c r="J203" i="5"/>
  <c r="K203" i="5" s="1"/>
  <c r="L203" i="5" s="1"/>
  <c r="J202" i="5"/>
  <c r="K202" i="5" s="1"/>
  <c r="L202" i="5" s="1"/>
  <c r="K201" i="5"/>
  <c r="L201" i="5" s="1"/>
  <c r="J201" i="5"/>
  <c r="J200" i="5"/>
  <c r="K200" i="5" s="1"/>
  <c r="L200" i="5" s="1"/>
  <c r="K199" i="5"/>
  <c r="L199" i="5" s="1"/>
  <c r="J199" i="5"/>
  <c r="L198" i="5"/>
  <c r="K198" i="5"/>
  <c r="J198" i="5"/>
  <c r="K197" i="5"/>
  <c r="L197" i="5" s="1"/>
  <c r="J197" i="5"/>
  <c r="J196" i="5"/>
  <c r="K196" i="5" s="1"/>
  <c r="L196" i="5" s="1"/>
  <c r="L195" i="5"/>
  <c r="K195" i="5"/>
  <c r="J195" i="5"/>
  <c r="K194" i="5"/>
  <c r="L194" i="5" s="1"/>
  <c r="J194" i="5"/>
  <c r="J193" i="5"/>
  <c r="K193" i="5" s="1"/>
  <c r="L193" i="5" s="1"/>
  <c r="L192" i="5"/>
  <c r="K192" i="5"/>
  <c r="J192" i="5"/>
  <c r="K191" i="5"/>
  <c r="L191" i="5" s="1"/>
  <c r="J191" i="5"/>
  <c r="K190" i="5"/>
  <c r="L190" i="5" s="1"/>
  <c r="J190" i="5"/>
  <c r="L189" i="5"/>
  <c r="K189" i="5"/>
  <c r="J189" i="5"/>
  <c r="L188" i="5"/>
  <c r="J188" i="5"/>
  <c r="K188" i="5" s="1"/>
  <c r="K187" i="5"/>
  <c r="L187" i="5" s="1"/>
  <c r="J187" i="5"/>
  <c r="L186" i="5"/>
  <c r="K186" i="5"/>
  <c r="J186" i="5"/>
  <c r="K185" i="5"/>
  <c r="L185" i="5" s="1"/>
  <c r="J185" i="5"/>
  <c r="K184" i="5"/>
  <c r="L184" i="5" s="1"/>
  <c r="J184" i="5"/>
  <c r="L183" i="5"/>
  <c r="K183" i="5"/>
  <c r="J183" i="5"/>
  <c r="J182" i="5"/>
  <c r="K182" i="5" s="1"/>
  <c r="L182" i="5" s="1"/>
  <c r="L181" i="5"/>
  <c r="K181" i="5"/>
  <c r="J181" i="5"/>
  <c r="L180" i="5"/>
  <c r="J180" i="5"/>
  <c r="K180" i="5" s="1"/>
  <c r="J179" i="5"/>
  <c r="K179" i="5" s="1"/>
  <c r="L179" i="5" s="1"/>
  <c r="L178" i="5"/>
  <c r="K178" i="5"/>
  <c r="J178" i="5"/>
  <c r="K177" i="5"/>
  <c r="L177" i="5" s="1"/>
  <c r="J177" i="5"/>
  <c r="J176" i="5"/>
  <c r="K176" i="5" s="1"/>
  <c r="L176" i="5" s="1"/>
  <c r="L175" i="5"/>
  <c r="K175" i="5"/>
  <c r="J175" i="5"/>
  <c r="J174" i="5"/>
  <c r="K174" i="5" s="1"/>
  <c r="L174" i="5" s="1"/>
  <c r="J173" i="5"/>
  <c r="K173" i="5" s="1"/>
  <c r="L173" i="5" s="1"/>
  <c r="L172" i="5"/>
  <c r="K172" i="5"/>
  <c r="J172" i="5"/>
  <c r="K171" i="5"/>
  <c r="L171" i="5" s="1"/>
  <c r="J171" i="5"/>
  <c r="K170" i="5"/>
  <c r="L170" i="5" s="1"/>
  <c r="J170" i="5"/>
  <c r="L169" i="5"/>
  <c r="K169" i="5"/>
  <c r="J169" i="5"/>
  <c r="J168" i="5"/>
  <c r="K168" i="5" s="1"/>
  <c r="L168" i="5" s="1"/>
  <c r="L167" i="5"/>
  <c r="K167" i="5"/>
  <c r="J167" i="5"/>
  <c r="J166" i="5"/>
  <c r="K166" i="5" s="1"/>
  <c r="L166" i="5" s="1"/>
  <c r="J165" i="5"/>
  <c r="K165" i="5" s="1"/>
  <c r="L165" i="5" s="1"/>
  <c r="L164" i="5"/>
  <c r="K164" i="5"/>
  <c r="J164" i="5"/>
  <c r="K163" i="5"/>
  <c r="L163" i="5" s="1"/>
  <c r="J163" i="5"/>
  <c r="K162" i="5"/>
  <c r="L162" i="5" s="1"/>
  <c r="J162" i="5"/>
  <c r="L161" i="5"/>
  <c r="K161" i="5"/>
  <c r="J161" i="5"/>
  <c r="J160" i="5"/>
  <c r="K160" i="5" s="1"/>
  <c r="L160" i="5" s="1"/>
  <c r="L159" i="5"/>
  <c r="K159" i="5"/>
  <c r="J159" i="5"/>
  <c r="J158" i="5"/>
  <c r="K158" i="5" s="1"/>
  <c r="L158" i="5" s="1"/>
  <c r="J157" i="5"/>
  <c r="K157" i="5" s="1"/>
  <c r="L157" i="5" s="1"/>
  <c r="L156" i="5"/>
  <c r="K156" i="5"/>
  <c r="J156" i="5"/>
  <c r="K155" i="5"/>
  <c r="L155" i="5" s="1"/>
  <c r="J155" i="5"/>
  <c r="K154" i="5"/>
  <c r="L154" i="5" s="1"/>
  <c r="J154" i="5"/>
  <c r="L153" i="5"/>
  <c r="K153" i="5"/>
  <c r="J153" i="5"/>
  <c r="J152" i="5"/>
  <c r="K152" i="5" s="1"/>
  <c r="L152" i="5" s="1"/>
  <c r="L151" i="5"/>
  <c r="K151" i="5"/>
  <c r="J151" i="5"/>
  <c r="J150" i="5"/>
  <c r="K150" i="5" s="1"/>
  <c r="L150" i="5" s="1"/>
  <c r="J149" i="5"/>
  <c r="K149" i="5" s="1"/>
  <c r="L149" i="5" s="1"/>
  <c r="L148" i="5"/>
  <c r="K148" i="5"/>
  <c r="J148" i="5"/>
  <c r="K147" i="5"/>
  <c r="L147" i="5" s="1"/>
  <c r="J147" i="5"/>
  <c r="K146" i="5"/>
  <c r="L146" i="5" s="1"/>
  <c r="J146" i="5"/>
  <c r="L145" i="5"/>
  <c r="K145" i="5"/>
  <c r="J145" i="5"/>
  <c r="J144" i="5"/>
  <c r="K144" i="5" s="1"/>
  <c r="L144" i="5" s="1"/>
  <c r="L143" i="5"/>
  <c r="K143" i="5"/>
  <c r="J143" i="5"/>
  <c r="J142" i="5"/>
  <c r="K142" i="5" s="1"/>
  <c r="L142" i="5" s="1"/>
  <c r="J141" i="5"/>
  <c r="K141" i="5" s="1"/>
  <c r="L141" i="5" s="1"/>
  <c r="L140" i="5"/>
  <c r="K140" i="5"/>
  <c r="J140" i="5"/>
  <c r="K139" i="5"/>
  <c r="L139" i="5" s="1"/>
  <c r="J139" i="5"/>
  <c r="K138" i="5"/>
  <c r="L138" i="5" s="1"/>
  <c r="J138" i="5"/>
  <c r="L137" i="5"/>
  <c r="K137" i="5"/>
  <c r="J137" i="5"/>
  <c r="J136" i="5"/>
  <c r="K136" i="5" s="1"/>
  <c r="L136" i="5" s="1"/>
  <c r="L135" i="5"/>
  <c r="K135" i="5"/>
  <c r="J135" i="5"/>
  <c r="J134" i="5"/>
  <c r="K134" i="5" s="1"/>
  <c r="L134" i="5" s="1"/>
  <c r="J133" i="5"/>
  <c r="K133" i="5" s="1"/>
  <c r="L133" i="5" s="1"/>
  <c r="L132" i="5"/>
  <c r="K132" i="5"/>
  <c r="J132" i="5"/>
  <c r="K131" i="5"/>
  <c r="L131" i="5" s="1"/>
  <c r="J131" i="5"/>
  <c r="K130" i="5"/>
  <c r="L130" i="5" s="1"/>
  <c r="J130" i="5"/>
  <c r="L129" i="5"/>
  <c r="K129" i="5"/>
  <c r="J129" i="5"/>
  <c r="J128" i="5"/>
  <c r="K128" i="5" s="1"/>
  <c r="L128" i="5" s="1"/>
  <c r="L127" i="5"/>
  <c r="K127" i="5"/>
  <c r="J127" i="5"/>
  <c r="J126" i="5"/>
  <c r="K126" i="5" s="1"/>
  <c r="L126" i="5" s="1"/>
  <c r="J125" i="5"/>
  <c r="K125" i="5" s="1"/>
  <c r="L125" i="5" s="1"/>
  <c r="L124" i="5"/>
  <c r="K124" i="5"/>
  <c r="J124" i="5"/>
  <c r="K123" i="5"/>
  <c r="L123" i="5" s="1"/>
  <c r="J123" i="5"/>
  <c r="K122" i="5"/>
  <c r="L122" i="5" s="1"/>
  <c r="J122" i="5"/>
  <c r="L121" i="5"/>
  <c r="K121" i="5"/>
  <c r="J121" i="5"/>
  <c r="J120" i="5"/>
  <c r="K120" i="5" s="1"/>
  <c r="L120" i="5" s="1"/>
  <c r="L119" i="5"/>
  <c r="K119" i="5"/>
  <c r="J119" i="5"/>
  <c r="J118" i="5"/>
  <c r="K118" i="5" s="1"/>
  <c r="L118" i="5" s="1"/>
  <c r="J117" i="5"/>
  <c r="K117" i="5" s="1"/>
  <c r="L117" i="5" s="1"/>
  <c r="L116" i="5"/>
  <c r="K116" i="5"/>
  <c r="J116" i="5"/>
  <c r="K115" i="5"/>
  <c r="L115" i="5" s="1"/>
  <c r="J115" i="5"/>
  <c r="K114" i="5"/>
  <c r="L114" i="5" s="1"/>
  <c r="J114" i="5"/>
  <c r="L113" i="5"/>
  <c r="K113" i="5"/>
  <c r="J113" i="5"/>
  <c r="J112" i="5"/>
  <c r="K112" i="5" s="1"/>
  <c r="L112" i="5" s="1"/>
  <c r="L111" i="5"/>
  <c r="K111" i="5"/>
  <c r="J111" i="5"/>
  <c r="J110" i="5"/>
  <c r="K110" i="5" s="1"/>
  <c r="L110" i="5" s="1"/>
  <c r="J109" i="5"/>
  <c r="K109" i="5" s="1"/>
  <c r="L109" i="5" s="1"/>
  <c r="L108" i="5"/>
  <c r="K108" i="5"/>
  <c r="J108" i="5"/>
  <c r="K107" i="5"/>
  <c r="L107" i="5" s="1"/>
  <c r="J107" i="5"/>
  <c r="K106" i="5"/>
  <c r="L106" i="5" s="1"/>
  <c r="J106" i="5"/>
  <c r="L105" i="5"/>
  <c r="K105" i="5"/>
  <c r="J105" i="5"/>
  <c r="J104" i="5"/>
  <c r="K104" i="5" s="1"/>
  <c r="L104" i="5" s="1"/>
  <c r="L103" i="5"/>
  <c r="K103" i="5"/>
  <c r="J103" i="5"/>
  <c r="J102" i="5"/>
  <c r="K102" i="5" s="1"/>
  <c r="L102" i="5" s="1"/>
  <c r="J101" i="5"/>
  <c r="K101" i="5" s="1"/>
  <c r="L101" i="5" s="1"/>
  <c r="L100" i="5"/>
  <c r="K100" i="5"/>
  <c r="J100" i="5"/>
  <c r="K99" i="5"/>
  <c r="L99" i="5" s="1"/>
  <c r="J99" i="5"/>
  <c r="K98" i="5"/>
  <c r="L98" i="5" s="1"/>
  <c r="J98" i="5"/>
  <c r="L97" i="5"/>
  <c r="K97" i="5"/>
  <c r="J97" i="5"/>
  <c r="J96" i="5"/>
  <c r="K96" i="5" s="1"/>
  <c r="L96" i="5" s="1"/>
  <c r="L95" i="5"/>
  <c r="K95" i="5"/>
  <c r="J95" i="5"/>
  <c r="J94" i="5"/>
  <c r="K94" i="5" s="1"/>
  <c r="L94" i="5" s="1"/>
  <c r="J93" i="5"/>
  <c r="K93" i="5" s="1"/>
  <c r="L93" i="5" s="1"/>
  <c r="L92" i="5"/>
  <c r="K92" i="5"/>
  <c r="J92" i="5"/>
  <c r="K91" i="5"/>
  <c r="L91" i="5" s="1"/>
  <c r="J91" i="5"/>
  <c r="K90" i="5"/>
  <c r="L90" i="5" s="1"/>
  <c r="J90" i="5"/>
  <c r="L89" i="5"/>
  <c r="K89" i="5"/>
  <c r="J89" i="5"/>
  <c r="J88" i="5"/>
  <c r="K88" i="5" s="1"/>
  <c r="L88" i="5" s="1"/>
  <c r="L87" i="5"/>
  <c r="K87" i="5"/>
  <c r="J87" i="5"/>
  <c r="J86" i="5"/>
  <c r="K86" i="5" s="1"/>
  <c r="L86" i="5" s="1"/>
  <c r="J85" i="5"/>
  <c r="K85" i="5" s="1"/>
  <c r="L85" i="5" s="1"/>
  <c r="L84" i="5"/>
  <c r="K84" i="5"/>
  <c r="J84" i="5"/>
  <c r="K83" i="5"/>
  <c r="L83" i="5" s="1"/>
  <c r="J83" i="5"/>
  <c r="J82" i="5"/>
  <c r="K82" i="5" s="1"/>
  <c r="L82" i="5" s="1"/>
  <c r="L81" i="5"/>
  <c r="K81" i="5"/>
  <c r="J81" i="5"/>
  <c r="J80" i="5"/>
  <c r="K80" i="5" s="1"/>
  <c r="L80" i="5" s="1"/>
  <c r="L79" i="5"/>
  <c r="K79" i="5"/>
  <c r="J79" i="5"/>
  <c r="J78" i="5"/>
  <c r="K78" i="5" s="1"/>
  <c r="L78" i="5" s="1"/>
  <c r="J77" i="5"/>
  <c r="K77" i="5" s="1"/>
  <c r="L77" i="5" s="1"/>
  <c r="L76" i="5"/>
  <c r="K76" i="5"/>
  <c r="J76" i="5"/>
  <c r="K75" i="5"/>
  <c r="L75" i="5" s="1"/>
  <c r="J75" i="5"/>
  <c r="J74" i="5"/>
  <c r="K74" i="5" s="1"/>
  <c r="L74" i="5" s="1"/>
  <c r="L73" i="5"/>
  <c r="K73" i="5"/>
  <c r="J73" i="5"/>
  <c r="J72" i="5"/>
  <c r="K72" i="5" s="1"/>
  <c r="L72" i="5" s="1"/>
  <c r="L71" i="5"/>
  <c r="K71" i="5"/>
  <c r="J71" i="5"/>
  <c r="J70" i="5"/>
  <c r="K70" i="5" s="1"/>
  <c r="L70" i="5" s="1"/>
  <c r="J69" i="5"/>
  <c r="K69" i="5" s="1"/>
  <c r="L69" i="5" s="1"/>
  <c r="L68" i="5"/>
  <c r="K68" i="5"/>
  <c r="J68" i="5"/>
  <c r="K67" i="5"/>
  <c r="L67" i="5" s="1"/>
  <c r="J67" i="5"/>
  <c r="J66" i="5"/>
  <c r="K66" i="5" s="1"/>
  <c r="L66" i="5" s="1"/>
  <c r="L65" i="5"/>
  <c r="K65" i="5"/>
  <c r="J65" i="5"/>
  <c r="J64" i="5"/>
  <c r="K64" i="5" s="1"/>
  <c r="L64" i="5" s="1"/>
  <c r="L63" i="5"/>
  <c r="K63" i="5"/>
  <c r="J63" i="5"/>
  <c r="J62" i="5"/>
  <c r="K62" i="5" s="1"/>
  <c r="L62" i="5" s="1"/>
  <c r="J61" i="5"/>
  <c r="K61" i="5" s="1"/>
  <c r="L61" i="5" s="1"/>
  <c r="L60" i="5"/>
  <c r="K60" i="5"/>
  <c r="J60" i="5"/>
  <c r="K59" i="5"/>
  <c r="L59" i="5" s="1"/>
  <c r="J59" i="5"/>
  <c r="J58" i="5"/>
  <c r="K58" i="5" s="1"/>
  <c r="L58" i="5" s="1"/>
  <c r="L57" i="5"/>
  <c r="K57" i="5"/>
  <c r="J57" i="5"/>
  <c r="J56" i="5"/>
  <c r="K56" i="5" s="1"/>
  <c r="L56" i="5" s="1"/>
  <c r="J55" i="5"/>
  <c r="K55" i="5" s="1"/>
  <c r="L55" i="5" s="1"/>
  <c r="J54" i="5"/>
  <c r="K54" i="5" s="1"/>
  <c r="L54" i="5" s="1"/>
  <c r="J53" i="5"/>
  <c r="K53" i="5" s="1"/>
  <c r="L53" i="5" s="1"/>
  <c r="K52" i="5"/>
  <c r="L52" i="5" s="1"/>
  <c r="J52" i="5"/>
  <c r="K51" i="5"/>
  <c r="L51" i="5" s="1"/>
  <c r="J51" i="5"/>
  <c r="J50" i="5"/>
  <c r="K50" i="5" s="1"/>
  <c r="L50" i="5" s="1"/>
  <c r="L49" i="5"/>
  <c r="K49" i="5"/>
  <c r="J49" i="5"/>
  <c r="J48" i="5"/>
  <c r="K48" i="5" s="1"/>
  <c r="L48" i="5" s="1"/>
  <c r="J47" i="5"/>
  <c r="K47" i="5" s="1"/>
  <c r="L47" i="5" s="1"/>
  <c r="J46" i="5"/>
  <c r="K46" i="5" s="1"/>
  <c r="L46" i="5" s="1"/>
  <c r="J45" i="5"/>
  <c r="K45" i="5" s="1"/>
  <c r="L45" i="5" s="1"/>
  <c r="L44" i="5"/>
  <c r="K44" i="5"/>
  <c r="J44" i="5"/>
  <c r="K43" i="5"/>
  <c r="L43" i="5" s="1"/>
  <c r="J43" i="5"/>
  <c r="J42" i="5"/>
  <c r="K42" i="5" s="1"/>
  <c r="L42" i="5" s="1"/>
  <c r="L41" i="5"/>
  <c r="K41" i="5"/>
  <c r="J41" i="5"/>
  <c r="J40" i="5"/>
  <c r="K40" i="5" s="1"/>
  <c r="L40" i="5" s="1"/>
  <c r="K39" i="5"/>
  <c r="L39" i="5" s="1"/>
  <c r="J39" i="5"/>
  <c r="J38" i="5"/>
  <c r="K38" i="5" s="1"/>
  <c r="L38" i="5" s="1"/>
  <c r="K37" i="5"/>
  <c r="L37" i="5" s="1"/>
  <c r="J37" i="5"/>
  <c r="K36" i="5"/>
  <c r="L36" i="5" s="1"/>
  <c r="J36" i="5"/>
  <c r="K35" i="5"/>
  <c r="L35" i="5" s="1"/>
  <c r="J35" i="5"/>
  <c r="K34" i="5"/>
  <c r="L34" i="5" s="1"/>
  <c r="J34" i="5"/>
  <c r="L33" i="5"/>
  <c r="K33" i="5"/>
  <c r="J33" i="5"/>
  <c r="J32" i="5"/>
  <c r="K32" i="5" s="1"/>
  <c r="L32" i="5" s="1"/>
  <c r="J31" i="5"/>
  <c r="K31" i="5" s="1"/>
  <c r="L31" i="5" s="1"/>
  <c r="J30" i="5"/>
  <c r="K30" i="5" s="1"/>
  <c r="L30" i="5" s="1"/>
  <c r="J29" i="5"/>
  <c r="K29" i="5" s="1"/>
  <c r="L29" i="5" s="1"/>
  <c r="K28" i="5"/>
  <c r="L28" i="5" s="1"/>
  <c r="J28" i="5"/>
  <c r="K27" i="5"/>
  <c r="L27" i="5" s="1"/>
  <c r="J27" i="5"/>
  <c r="J26" i="5"/>
  <c r="K26" i="5" s="1"/>
  <c r="L26" i="5" s="1"/>
  <c r="L25" i="5"/>
  <c r="K25" i="5"/>
  <c r="J25" i="5"/>
  <c r="J24" i="5"/>
  <c r="K24" i="5" s="1"/>
  <c r="L24" i="5" s="1"/>
  <c r="J23" i="5"/>
  <c r="K23" i="5" s="1"/>
  <c r="L23" i="5" s="1"/>
  <c r="J22" i="5"/>
  <c r="K22" i="5" s="1"/>
  <c r="L22" i="5" s="1"/>
  <c r="J21" i="5"/>
  <c r="K21" i="5" s="1"/>
  <c r="L21" i="5" s="1"/>
  <c r="K20" i="5"/>
  <c r="L20" i="5" s="1"/>
  <c r="J20" i="5"/>
  <c r="K19" i="5"/>
  <c r="L19" i="5" s="1"/>
  <c r="J19" i="5"/>
  <c r="J18" i="5"/>
  <c r="K18" i="5" s="1"/>
  <c r="L18" i="5" s="1"/>
  <c r="L17" i="5"/>
  <c r="K17" i="5"/>
  <c r="J17" i="5"/>
  <c r="J16" i="5"/>
  <c r="K16" i="5" s="1"/>
  <c r="L16" i="5" s="1"/>
  <c r="J15" i="5"/>
  <c r="K15" i="5" s="1"/>
  <c r="L15" i="5" s="1"/>
  <c r="J14" i="5"/>
  <c r="K14" i="5" s="1"/>
  <c r="L14" i="5" s="1"/>
  <c r="J13" i="5"/>
  <c r="K13" i="5" s="1"/>
  <c r="L13" i="5" s="1"/>
  <c r="L12" i="5"/>
  <c r="K12" i="5"/>
  <c r="J12" i="5"/>
  <c r="K11" i="5"/>
  <c r="L11" i="5" s="1"/>
  <c r="J11" i="5"/>
  <c r="J10" i="5"/>
  <c r="K10" i="5" s="1"/>
  <c r="L10" i="5" s="1"/>
  <c r="L9" i="5"/>
  <c r="K9" i="5"/>
  <c r="J9" i="5"/>
  <c r="J8" i="5"/>
  <c r="K8" i="5" s="1"/>
  <c r="L8" i="5" s="1"/>
  <c r="K7" i="5"/>
  <c r="L7" i="5" s="1"/>
  <c r="J7" i="5"/>
  <c r="J6" i="5"/>
  <c r="K6" i="5" s="1"/>
  <c r="L6" i="5" s="1"/>
  <c r="K5" i="5"/>
  <c r="L5" i="5" s="1"/>
  <c r="J5" i="5"/>
  <c r="K4" i="5"/>
  <c r="L4" i="5" s="1"/>
  <c r="J4" i="5"/>
  <c r="K3" i="5"/>
  <c r="L3" i="5" s="1"/>
  <c r="J3" i="5"/>
  <c r="K2" i="5"/>
  <c r="L2" i="5" s="1"/>
  <c r="J2" i="5"/>
  <c r="L538" i="5" l="1"/>
  <c r="D544" i="5" s="1"/>
  <c r="D545" i="5" s="1"/>
  <c r="C567" i="5"/>
  <c r="J545" i="5"/>
  <c r="D548" i="5"/>
  <c r="D549" i="5" s="1"/>
  <c r="L536" i="5"/>
  <c r="J544" i="5"/>
  <c r="J546" i="5"/>
  <c r="C573" i="5"/>
  <c r="C568" i="5"/>
  <c r="D552" i="5"/>
  <c r="D553" i="5" s="1"/>
  <c r="C574" i="5"/>
  <c r="K563" i="5"/>
  <c r="K562" i="5" s="1"/>
  <c r="V539" i="5"/>
  <c r="Q545" i="5"/>
  <c r="Q544" i="5"/>
  <c r="R544" i="5" s="1"/>
  <c r="D567" i="5"/>
  <c r="D569" i="5" s="1"/>
  <c r="D573" i="5"/>
  <c r="D575" i="5" s="1"/>
  <c r="G567" i="5"/>
  <c r="G569" i="5" s="1"/>
  <c r="G573" i="5"/>
  <c r="G575" i="5" s="1"/>
  <c r="L557" i="5"/>
  <c r="L560" i="5" s="1"/>
  <c r="C575" i="5" l="1"/>
  <c r="L562" i="5"/>
  <c r="M562" i="5"/>
  <c r="J547" i="5"/>
  <c r="C569" i="5"/>
  <c r="AC216" i="4" l="1"/>
  <c r="AB216" i="4"/>
  <c r="AA216" i="4"/>
  <c r="Z216" i="4"/>
  <c r="M216" i="4"/>
  <c r="N216" i="4" s="1"/>
  <c r="L216" i="4"/>
  <c r="AC215" i="4"/>
  <c r="AB215" i="4"/>
  <c r="AA215" i="4"/>
  <c r="Z215" i="4"/>
  <c r="L215" i="4"/>
  <c r="M215" i="4" s="1"/>
  <c r="N215" i="4" s="1"/>
  <c r="AC214" i="4"/>
  <c r="AB214" i="4"/>
  <c r="AA214" i="4"/>
  <c r="Z214" i="4"/>
  <c r="M214" i="4"/>
  <c r="N214" i="4" s="1"/>
  <c r="L214" i="4"/>
  <c r="AC213" i="4"/>
  <c r="AB213" i="4"/>
  <c r="AA213" i="4"/>
  <c r="Z213" i="4"/>
  <c r="L213" i="4"/>
  <c r="M213" i="4" s="1"/>
  <c r="N213" i="4" s="1"/>
  <c r="AC212" i="4"/>
  <c r="AB212" i="4"/>
  <c r="AA212" i="4"/>
  <c r="Z212" i="4"/>
  <c r="L212" i="4"/>
  <c r="M212" i="4" s="1"/>
  <c r="N212" i="4" s="1"/>
  <c r="AC211" i="4"/>
  <c r="AB211" i="4"/>
  <c r="AA211" i="4"/>
  <c r="Z211" i="4"/>
  <c r="L211" i="4"/>
  <c r="M211" i="4" s="1"/>
  <c r="N211" i="4" s="1"/>
  <c r="AC210" i="4"/>
  <c r="AB210" i="4"/>
  <c r="AA210" i="4"/>
  <c r="Z210" i="4"/>
  <c r="M210" i="4"/>
  <c r="N210" i="4" s="1"/>
  <c r="L210" i="4"/>
  <c r="AC209" i="4"/>
  <c r="AB209" i="4"/>
  <c r="AA209" i="4"/>
  <c r="Z209" i="4"/>
  <c r="L209" i="4"/>
  <c r="M209" i="4" s="1"/>
  <c r="N209" i="4" s="1"/>
  <c r="AC208" i="4"/>
  <c r="AB208" i="4"/>
  <c r="AA208" i="4"/>
  <c r="Z208" i="4"/>
  <c r="M208" i="4"/>
  <c r="N208" i="4" s="1"/>
  <c r="L208" i="4"/>
  <c r="AC207" i="4"/>
  <c r="AB207" i="4"/>
  <c r="AA207" i="4"/>
  <c r="Z207" i="4"/>
  <c r="L207" i="4"/>
  <c r="M207" i="4" s="1"/>
  <c r="N207" i="4" s="1"/>
  <c r="AC206" i="4"/>
  <c r="AB206" i="4"/>
  <c r="AA206" i="4"/>
  <c r="Z206" i="4"/>
  <c r="M206" i="4"/>
  <c r="N206" i="4" s="1"/>
  <c r="L206" i="4"/>
  <c r="AC205" i="4"/>
  <c r="AB205" i="4"/>
  <c r="AA205" i="4"/>
  <c r="Z205" i="4"/>
  <c r="L205" i="4"/>
  <c r="M205" i="4" s="1"/>
  <c r="N205" i="4" s="1"/>
  <c r="AC204" i="4"/>
  <c r="AB204" i="4"/>
  <c r="AA204" i="4"/>
  <c r="Z204" i="4"/>
  <c r="L204" i="4"/>
  <c r="M204" i="4" s="1"/>
  <c r="N204" i="4" s="1"/>
  <c r="AC203" i="4"/>
  <c r="AB203" i="4"/>
  <c r="AA203" i="4"/>
  <c r="Z203" i="4"/>
  <c r="N203" i="4"/>
  <c r="M203" i="4"/>
  <c r="L203" i="4"/>
  <c r="AC202" i="4"/>
  <c r="AB202" i="4"/>
  <c r="AA202" i="4"/>
  <c r="Z202" i="4"/>
  <c r="M202" i="4"/>
  <c r="N202" i="4" s="1"/>
  <c r="L202" i="4"/>
  <c r="AC201" i="4"/>
  <c r="AB201" i="4"/>
  <c r="AA201" i="4"/>
  <c r="Z201" i="4"/>
  <c r="L201" i="4"/>
  <c r="M201" i="4" s="1"/>
  <c r="N201" i="4" s="1"/>
  <c r="AC200" i="4"/>
  <c r="AB200" i="4"/>
  <c r="AA200" i="4"/>
  <c r="Z200" i="4"/>
  <c r="M200" i="4"/>
  <c r="N200" i="4" s="1"/>
  <c r="L200" i="4"/>
  <c r="AC199" i="4"/>
  <c r="AB199" i="4"/>
  <c r="AA199" i="4"/>
  <c r="Z199" i="4"/>
  <c r="L199" i="4"/>
  <c r="M199" i="4" s="1"/>
  <c r="N199" i="4" s="1"/>
  <c r="AC198" i="4"/>
  <c r="AB198" i="4"/>
  <c r="AA198" i="4"/>
  <c r="Z198" i="4"/>
  <c r="M198" i="4"/>
  <c r="N198" i="4" s="1"/>
  <c r="L198" i="4"/>
  <c r="AC197" i="4"/>
  <c r="AB197" i="4"/>
  <c r="AA197" i="4"/>
  <c r="Z197" i="4"/>
  <c r="L197" i="4"/>
  <c r="M197" i="4" s="1"/>
  <c r="N197" i="4" s="1"/>
  <c r="AC196" i="4"/>
  <c r="AB196" i="4"/>
  <c r="AA196" i="4"/>
  <c r="Z196" i="4"/>
  <c r="M196" i="4"/>
  <c r="N196" i="4" s="1"/>
  <c r="L196" i="4"/>
  <c r="AC195" i="4"/>
  <c r="AB195" i="4"/>
  <c r="AA195" i="4"/>
  <c r="Z195" i="4"/>
  <c r="L195" i="4"/>
  <c r="M195" i="4" s="1"/>
  <c r="N195" i="4" s="1"/>
  <c r="AC194" i="4"/>
  <c r="AB194" i="4"/>
  <c r="AA194" i="4"/>
  <c r="Z194" i="4"/>
  <c r="M194" i="4"/>
  <c r="N194" i="4" s="1"/>
  <c r="L194" i="4"/>
  <c r="AC193" i="4"/>
  <c r="AB193" i="4"/>
  <c r="AA193" i="4"/>
  <c r="Z193" i="4"/>
  <c r="L193" i="4"/>
  <c r="M193" i="4" s="1"/>
  <c r="N193" i="4" s="1"/>
  <c r="AC192" i="4"/>
  <c r="AB192" i="4"/>
  <c r="AA192" i="4"/>
  <c r="Z192" i="4"/>
  <c r="M192" i="4"/>
  <c r="N192" i="4" s="1"/>
  <c r="L192" i="4"/>
  <c r="AC191" i="4"/>
  <c r="AB191" i="4"/>
  <c r="AA191" i="4"/>
  <c r="Z191" i="4"/>
  <c r="L191" i="4"/>
  <c r="M191" i="4" s="1"/>
  <c r="N191" i="4" s="1"/>
  <c r="AC190" i="4"/>
  <c r="AB190" i="4"/>
  <c r="AA190" i="4"/>
  <c r="Z190" i="4"/>
  <c r="M190" i="4"/>
  <c r="N190" i="4" s="1"/>
  <c r="L190" i="4"/>
  <c r="AC189" i="4"/>
  <c r="AB189" i="4"/>
  <c r="AA189" i="4"/>
  <c r="Z189" i="4"/>
  <c r="L189" i="4"/>
  <c r="M189" i="4" s="1"/>
  <c r="N189" i="4" s="1"/>
  <c r="AC188" i="4"/>
  <c r="AB188" i="4"/>
  <c r="AA188" i="4"/>
  <c r="Z188" i="4"/>
  <c r="L188" i="4"/>
  <c r="M188" i="4" s="1"/>
  <c r="N188" i="4" s="1"/>
  <c r="AC187" i="4"/>
  <c r="AB187" i="4"/>
  <c r="AA187" i="4"/>
  <c r="Z187" i="4"/>
  <c r="L187" i="4"/>
  <c r="M187" i="4" s="1"/>
  <c r="N187" i="4" s="1"/>
  <c r="AC186" i="4"/>
  <c r="AB186" i="4"/>
  <c r="AA186" i="4"/>
  <c r="Z186" i="4"/>
  <c r="M186" i="4"/>
  <c r="N186" i="4" s="1"/>
  <c r="L186" i="4"/>
  <c r="AC185" i="4"/>
  <c r="AB185" i="4"/>
  <c r="AA185" i="4"/>
  <c r="Z185" i="4"/>
  <c r="L185" i="4"/>
  <c r="M185" i="4" s="1"/>
  <c r="N185" i="4" s="1"/>
  <c r="AC184" i="4"/>
  <c r="AB184" i="4"/>
  <c r="AA184" i="4"/>
  <c r="Z184" i="4"/>
  <c r="M184" i="4"/>
  <c r="N184" i="4" s="1"/>
  <c r="L184" i="4"/>
  <c r="AC183" i="4"/>
  <c r="AB183" i="4"/>
  <c r="AA183" i="4"/>
  <c r="Z183" i="4"/>
  <c r="L183" i="4"/>
  <c r="M183" i="4" s="1"/>
  <c r="N183" i="4" s="1"/>
  <c r="AC182" i="4"/>
  <c r="AB182" i="4"/>
  <c r="AA182" i="4"/>
  <c r="Z182" i="4"/>
  <c r="M182" i="4"/>
  <c r="N182" i="4" s="1"/>
  <c r="L182" i="4"/>
  <c r="AC181" i="4"/>
  <c r="AB181" i="4"/>
  <c r="AA181" i="4"/>
  <c r="Z181" i="4"/>
  <c r="L181" i="4"/>
  <c r="M181" i="4" s="1"/>
  <c r="N181" i="4" s="1"/>
  <c r="AC180" i="4"/>
  <c r="AB180" i="4"/>
  <c r="AA180" i="4"/>
  <c r="Z180" i="4"/>
  <c r="M180" i="4"/>
  <c r="N180" i="4" s="1"/>
  <c r="L180" i="4"/>
  <c r="AC179" i="4"/>
  <c r="AB179" i="4"/>
  <c r="AA179" i="4"/>
  <c r="Z179" i="4"/>
  <c r="L179" i="4"/>
  <c r="M179" i="4" s="1"/>
  <c r="N179" i="4" s="1"/>
  <c r="AC178" i="4"/>
  <c r="AB178" i="4"/>
  <c r="AA178" i="4"/>
  <c r="Z178" i="4"/>
  <c r="M178" i="4"/>
  <c r="N178" i="4" s="1"/>
  <c r="L178" i="4"/>
  <c r="AC177" i="4"/>
  <c r="AB177" i="4"/>
  <c r="AA177" i="4"/>
  <c r="Z177" i="4"/>
  <c r="L177" i="4"/>
  <c r="M177" i="4" s="1"/>
  <c r="N177" i="4" s="1"/>
  <c r="AC176" i="4"/>
  <c r="AB176" i="4"/>
  <c r="AA176" i="4"/>
  <c r="Z176" i="4"/>
  <c r="M176" i="4"/>
  <c r="N176" i="4" s="1"/>
  <c r="L176" i="4"/>
  <c r="AC175" i="4"/>
  <c r="AB175" i="4"/>
  <c r="AA175" i="4"/>
  <c r="Z175" i="4"/>
  <c r="L175" i="4"/>
  <c r="M175" i="4" s="1"/>
  <c r="N175" i="4" s="1"/>
  <c r="AC174" i="4"/>
  <c r="AB174" i="4"/>
  <c r="AA174" i="4"/>
  <c r="Z174" i="4"/>
  <c r="M174" i="4"/>
  <c r="N174" i="4" s="1"/>
  <c r="L174" i="4"/>
  <c r="AC173" i="4"/>
  <c r="AB173" i="4"/>
  <c r="AA173" i="4"/>
  <c r="Z173" i="4"/>
  <c r="L173" i="4"/>
  <c r="M173" i="4" s="1"/>
  <c r="N173" i="4" s="1"/>
  <c r="AC172" i="4"/>
  <c r="AB172" i="4"/>
  <c r="AA172" i="4"/>
  <c r="Z172" i="4"/>
  <c r="M172" i="4"/>
  <c r="N172" i="4" s="1"/>
  <c r="L172" i="4"/>
  <c r="AC171" i="4"/>
  <c r="AB171" i="4"/>
  <c r="AA171" i="4"/>
  <c r="Z171" i="4"/>
  <c r="L171" i="4"/>
  <c r="M171" i="4" s="1"/>
  <c r="N171" i="4" s="1"/>
  <c r="AC170" i="4"/>
  <c r="AB170" i="4"/>
  <c r="AA170" i="4"/>
  <c r="Z170" i="4"/>
  <c r="M170" i="4"/>
  <c r="N170" i="4" s="1"/>
  <c r="L170" i="4"/>
  <c r="AC169" i="4"/>
  <c r="AB169" i="4"/>
  <c r="AA169" i="4"/>
  <c r="Z169" i="4"/>
  <c r="N169" i="4"/>
  <c r="M169" i="4"/>
  <c r="L169" i="4"/>
  <c r="AC168" i="4"/>
  <c r="AB168" i="4"/>
  <c r="AA168" i="4"/>
  <c r="Z168" i="4"/>
  <c r="M168" i="4"/>
  <c r="N168" i="4" s="1"/>
  <c r="L168" i="4"/>
  <c r="AC167" i="4"/>
  <c r="AB167" i="4"/>
  <c r="AA167" i="4"/>
  <c r="Z167" i="4"/>
  <c r="L167" i="4"/>
  <c r="M167" i="4" s="1"/>
  <c r="N167" i="4" s="1"/>
  <c r="AC166" i="4"/>
  <c r="AB166" i="4"/>
  <c r="AA166" i="4"/>
  <c r="Z166" i="4"/>
  <c r="M166" i="4"/>
  <c r="N166" i="4" s="1"/>
  <c r="L166" i="4"/>
  <c r="AC165" i="4"/>
  <c r="AB165" i="4"/>
  <c r="AA165" i="4"/>
  <c r="Z165" i="4"/>
  <c r="L165" i="4"/>
  <c r="M165" i="4" s="1"/>
  <c r="N165" i="4" s="1"/>
  <c r="AC164" i="4"/>
  <c r="AB164" i="4"/>
  <c r="AA164" i="4"/>
  <c r="Z164" i="4"/>
  <c r="M164" i="4"/>
  <c r="N164" i="4" s="1"/>
  <c r="L164" i="4"/>
  <c r="AC163" i="4"/>
  <c r="AB163" i="4"/>
  <c r="AA163" i="4"/>
  <c r="Z163" i="4"/>
  <c r="L163" i="4"/>
  <c r="M163" i="4" s="1"/>
  <c r="N163" i="4" s="1"/>
  <c r="AC162" i="4"/>
  <c r="AB162" i="4"/>
  <c r="AA162" i="4"/>
  <c r="Z162" i="4"/>
  <c r="N162" i="4"/>
  <c r="M162" i="4"/>
  <c r="L162" i="4"/>
  <c r="AC161" i="4"/>
  <c r="AB161" i="4"/>
  <c r="AA161" i="4"/>
  <c r="Z161" i="4"/>
  <c r="N161" i="4"/>
  <c r="M161" i="4"/>
  <c r="L161" i="4"/>
  <c r="AC160" i="4"/>
  <c r="AB160" i="4"/>
  <c r="AA160" i="4"/>
  <c r="Z160" i="4"/>
  <c r="M160" i="4"/>
  <c r="N160" i="4" s="1"/>
  <c r="L160" i="4"/>
  <c r="AC159" i="4"/>
  <c r="AB159" i="4"/>
  <c r="AA159" i="4"/>
  <c r="Z159" i="4"/>
  <c r="L159" i="4"/>
  <c r="M159" i="4" s="1"/>
  <c r="N159" i="4" s="1"/>
  <c r="AC158" i="4"/>
  <c r="AB158" i="4"/>
  <c r="AA158" i="4"/>
  <c r="Z158" i="4"/>
  <c r="M158" i="4"/>
  <c r="N158" i="4" s="1"/>
  <c r="L158" i="4"/>
  <c r="AC157" i="4"/>
  <c r="AB157" i="4"/>
  <c r="AA157" i="4"/>
  <c r="Z157" i="4"/>
  <c r="L157" i="4"/>
  <c r="M157" i="4" s="1"/>
  <c r="N157" i="4" s="1"/>
  <c r="AC156" i="4"/>
  <c r="AB156" i="4"/>
  <c r="AA156" i="4"/>
  <c r="Z156" i="4"/>
  <c r="M156" i="4"/>
  <c r="N156" i="4" s="1"/>
  <c r="L156" i="4"/>
  <c r="AC155" i="4"/>
  <c r="AB155" i="4"/>
  <c r="AA155" i="4"/>
  <c r="Z155" i="4"/>
  <c r="L155" i="4"/>
  <c r="M155" i="4" s="1"/>
  <c r="N155" i="4" s="1"/>
  <c r="AC154" i="4"/>
  <c r="AB154" i="4"/>
  <c r="AA154" i="4"/>
  <c r="Z154" i="4"/>
  <c r="N154" i="4"/>
  <c r="M154" i="4"/>
  <c r="L154" i="4"/>
  <c r="AC153" i="4"/>
  <c r="AB153" i="4"/>
  <c r="AA153" i="4"/>
  <c r="Z153" i="4"/>
  <c r="N153" i="4"/>
  <c r="M153" i="4"/>
  <c r="L153" i="4"/>
  <c r="AC152" i="4"/>
  <c r="AB152" i="4"/>
  <c r="AA152" i="4"/>
  <c r="Z152" i="4"/>
  <c r="M152" i="4"/>
  <c r="N152" i="4" s="1"/>
  <c r="L152" i="4"/>
  <c r="AC151" i="4"/>
  <c r="AB151" i="4"/>
  <c r="AA151" i="4"/>
  <c r="Z151" i="4"/>
  <c r="L151" i="4"/>
  <c r="M151" i="4" s="1"/>
  <c r="N151" i="4" s="1"/>
  <c r="AC150" i="4"/>
  <c r="AB150" i="4"/>
  <c r="AA150" i="4"/>
  <c r="Z150" i="4"/>
  <c r="M150" i="4"/>
  <c r="N150" i="4" s="1"/>
  <c r="L150" i="4"/>
  <c r="AC149" i="4"/>
  <c r="AB149" i="4"/>
  <c r="AA149" i="4"/>
  <c r="Z149" i="4"/>
  <c r="L149" i="4"/>
  <c r="M149" i="4" s="1"/>
  <c r="N149" i="4" s="1"/>
  <c r="AC148" i="4"/>
  <c r="AB148" i="4"/>
  <c r="AA148" i="4"/>
  <c r="Z148" i="4"/>
  <c r="L148" i="4"/>
  <c r="M148" i="4" s="1"/>
  <c r="N148" i="4" s="1"/>
  <c r="AC147" i="4"/>
  <c r="AB147" i="4"/>
  <c r="AA147" i="4"/>
  <c r="Z147" i="4"/>
  <c r="L147" i="4"/>
  <c r="M147" i="4" s="1"/>
  <c r="N147" i="4" s="1"/>
  <c r="AC146" i="4"/>
  <c r="AB146" i="4"/>
  <c r="AA146" i="4"/>
  <c r="Z146" i="4"/>
  <c r="L146" i="4"/>
  <c r="M146" i="4" s="1"/>
  <c r="N146" i="4" s="1"/>
  <c r="AC145" i="4"/>
  <c r="AB145" i="4"/>
  <c r="AA145" i="4"/>
  <c r="Z145" i="4"/>
  <c r="N145" i="4"/>
  <c r="M145" i="4"/>
  <c r="L145" i="4"/>
  <c r="AC144" i="4"/>
  <c r="AB144" i="4"/>
  <c r="AA144" i="4"/>
  <c r="Z144" i="4"/>
  <c r="M144" i="4"/>
  <c r="N144" i="4" s="1"/>
  <c r="L144" i="4"/>
  <c r="AC143" i="4"/>
  <c r="AB143" i="4"/>
  <c r="AA143" i="4"/>
  <c r="Z143" i="4"/>
  <c r="L143" i="4"/>
  <c r="M143" i="4" s="1"/>
  <c r="N143" i="4" s="1"/>
  <c r="AC142" i="4"/>
  <c r="AB142" i="4"/>
  <c r="AA142" i="4"/>
  <c r="Z142" i="4"/>
  <c r="M142" i="4"/>
  <c r="N142" i="4" s="1"/>
  <c r="L142" i="4"/>
  <c r="AC141" i="4"/>
  <c r="AB141" i="4"/>
  <c r="AA141" i="4"/>
  <c r="Z141" i="4"/>
  <c r="L141" i="4"/>
  <c r="M141" i="4" s="1"/>
  <c r="N141" i="4" s="1"/>
  <c r="AC140" i="4"/>
  <c r="AB140" i="4"/>
  <c r="AA140" i="4"/>
  <c r="Z140" i="4"/>
  <c r="M140" i="4"/>
  <c r="N140" i="4" s="1"/>
  <c r="L140" i="4"/>
  <c r="AC139" i="4"/>
  <c r="AB139" i="4"/>
  <c r="AA139" i="4"/>
  <c r="Z139" i="4"/>
  <c r="L139" i="4"/>
  <c r="M139" i="4" s="1"/>
  <c r="N139" i="4" s="1"/>
  <c r="AC138" i="4"/>
  <c r="AB138" i="4"/>
  <c r="AA138" i="4"/>
  <c r="Z138" i="4"/>
  <c r="L138" i="4"/>
  <c r="M138" i="4" s="1"/>
  <c r="N138" i="4" s="1"/>
  <c r="AC137" i="4"/>
  <c r="AB137" i="4"/>
  <c r="AA137" i="4"/>
  <c r="Z137" i="4"/>
  <c r="N137" i="4"/>
  <c r="M137" i="4"/>
  <c r="L137" i="4"/>
  <c r="AC136" i="4"/>
  <c r="AB136" i="4"/>
  <c r="AA136" i="4"/>
  <c r="Z136" i="4"/>
  <c r="M136" i="4"/>
  <c r="N136" i="4" s="1"/>
  <c r="L136" i="4"/>
  <c r="AC135" i="4"/>
  <c r="AB135" i="4"/>
  <c r="AA135" i="4"/>
  <c r="Z135" i="4"/>
  <c r="L135" i="4"/>
  <c r="M135" i="4" s="1"/>
  <c r="N135" i="4" s="1"/>
  <c r="AC134" i="4"/>
  <c r="AB134" i="4"/>
  <c r="AA134" i="4"/>
  <c r="Z134" i="4"/>
  <c r="M134" i="4"/>
  <c r="N134" i="4" s="1"/>
  <c r="L134" i="4"/>
  <c r="AC133" i="4"/>
  <c r="AB133" i="4"/>
  <c r="AA133" i="4"/>
  <c r="Z133" i="4"/>
  <c r="L133" i="4"/>
  <c r="M133" i="4" s="1"/>
  <c r="N133" i="4" s="1"/>
  <c r="AC132" i="4"/>
  <c r="AB132" i="4"/>
  <c r="AA132" i="4"/>
  <c r="Z132" i="4"/>
  <c r="L132" i="4"/>
  <c r="M132" i="4" s="1"/>
  <c r="N132" i="4" s="1"/>
  <c r="AC131" i="4"/>
  <c r="AB131" i="4"/>
  <c r="AA131" i="4"/>
  <c r="Z131" i="4"/>
  <c r="L131" i="4"/>
  <c r="M131" i="4" s="1"/>
  <c r="N131" i="4" s="1"/>
  <c r="AC130" i="4"/>
  <c r="AB130" i="4"/>
  <c r="AA130" i="4"/>
  <c r="Z130" i="4"/>
  <c r="N130" i="4"/>
  <c r="M130" i="4"/>
  <c r="L130" i="4"/>
  <c r="AC129" i="4"/>
  <c r="AB129" i="4"/>
  <c r="AA129" i="4"/>
  <c r="Z129" i="4"/>
  <c r="N129" i="4"/>
  <c r="M129" i="4"/>
  <c r="L129" i="4"/>
  <c r="AC128" i="4"/>
  <c r="AB128" i="4"/>
  <c r="AA128" i="4"/>
  <c r="Z128" i="4"/>
  <c r="M128" i="4"/>
  <c r="N128" i="4" s="1"/>
  <c r="L128" i="4"/>
  <c r="AC127" i="4"/>
  <c r="AB127" i="4"/>
  <c r="AA127" i="4"/>
  <c r="Z127" i="4"/>
  <c r="L127" i="4"/>
  <c r="M127" i="4" s="1"/>
  <c r="N127" i="4" s="1"/>
  <c r="AC126" i="4"/>
  <c r="AB126" i="4"/>
  <c r="AA126" i="4"/>
  <c r="Z126" i="4"/>
  <c r="M126" i="4"/>
  <c r="N126" i="4" s="1"/>
  <c r="L126" i="4"/>
  <c r="AC125" i="4"/>
  <c r="AB125" i="4"/>
  <c r="AA125" i="4"/>
  <c r="Z125" i="4"/>
  <c r="L125" i="4"/>
  <c r="M125" i="4" s="1"/>
  <c r="N125" i="4" s="1"/>
  <c r="AC124" i="4"/>
  <c r="AB124" i="4"/>
  <c r="AA124" i="4"/>
  <c r="Z124" i="4"/>
  <c r="M124" i="4"/>
  <c r="N124" i="4" s="1"/>
  <c r="L124" i="4"/>
  <c r="AC123" i="4"/>
  <c r="AB123" i="4"/>
  <c r="AA123" i="4"/>
  <c r="Z123" i="4"/>
  <c r="L123" i="4"/>
  <c r="M123" i="4" s="1"/>
  <c r="N123" i="4" s="1"/>
  <c r="AC122" i="4"/>
  <c r="AB122" i="4"/>
  <c r="AA122" i="4"/>
  <c r="Z122" i="4"/>
  <c r="L122" i="4"/>
  <c r="M122" i="4" s="1"/>
  <c r="N122" i="4" s="1"/>
  <c r="AC121" i="4"/>
  <c r="AB121" i="4"/>
  <c r="AA121" i="4"/>
  <c r="Z121" i="4"/>
  <c r="N121" i="4"/>
  <c r="M121" i="4"/>
  <c r="L121" i="4"/>
  <c r="AC120" i="4"/>
  <c r="AB120" i="4"/>
  <c r="AA120" i="4"/>
  <c r="Z120" i="4"/>
  <c r="M120" i="4"/>
  <c r="N120" i="4" s="1"/>
  <c r="L120" i="4"/>
  <c r="AC119" i="4"/>
  <c r="AB119" i="4"/>
  <c r="AA119" i="4"/>
  <c r="Z119" i="4"/>
  <c r="L119" i="4"/>
  <c r="M119" i="4" s="1"/>
  <c r="N119" i="4" s="1"/>
  <c r="AC118" i="4"/>
  <c r="AB118" i="4"/>
  <c r="AA118" i="4"/>
  <c r="Z118" i="4"/>
  <c r="M118" i="4"/>
  <c r="N118" i="4" s="1"/>
  <c r="L118" i="4"/>
  <c r="AC117" i="4"/>
  <c r="AB117" i="4"/>
  <c r="AA117" i="4"/>
  <c r="Z117" i="4"/>
  <c r="L117" i="4"/>
  <c r="M117" i="4" s="1"/>
  <c r="N117" i="4" s="1"/>
  <c r="AC116" i="4"/>
  <c r="AB116" i="4"/>
  <c r="AA116" i="4"/>
  <c r="Z116" i="4"/>
  <c r="L116" i="4"/>
  <c r="M116" i="4" s="1"/>
  <c r="N116" i="4" s="1"/>
  <c r="AC115" i="4"/>
  <c r="AB115" i="4"/>
  <c r="AA115" i="4"/>
  <c r="Z115" i="4"/>
  <c r="L115" i="4"/>
  <c r="M115" i="4" s="1"/>
  <c r="N115" i="4" s="1"/>
  <c r="AC114" i="4"/>
  <c r="AB114" i="4"/>
  <c r="AA114" i="4"/>
  <c r="Z114" i="4"/>
  <c r="N114" i="4"/>
  <c r="M114" i="4"/>
  <c r="L114" i="4"/>
  <c r="AC113" i="4"/>
  <c r="AB113" i="4"/>
  <c r="AA113" i="4"/>
  <c r="Z113" i="4"/>
  <c r="N113" i="4"/>
  <c r="M113" i="4"/>
  <c r="L113" i="4"/>
  <c r="AC112" i="4"/>
  <c r="AB112" i="4"/>
  <c r="AA112" i="4"/>
  <c r="Z112" i="4"/>
  <c r="M112" i="4"/>
  <c r="N112" i="4" s="1"/>
  <c r="L112" i="4"/>
  <c r="AC111" i="4"/>
  <c r="AB111" i="4"/>
  <c r="AA111" i="4"/>
  <c r="Z111" i="4"/>
  <c r="L111" i="4"/>
  <c r="M111" i="4" s="1"/>
  <c r="N111" i="4" s="1"/>
  <c r="AC110" i="4"/>
  <c r="AB110" i="4"/>
  <c r="AA110" i="4"/>
  <c r="Z110" i="4"/>
  <c r="M110" i="4"/>
  <c r="N110" i="4" s="1"/>
  <c r="L110" i="4"/>
  <c r="AC109" i="4"/>
  <c r="AB109" i="4"/>
  <c r="AA109" i="4"/>
  <c r="Z109" i="4"/>
  <c r="L109" i="4"/>
  <c r="M109" i="4" s="1"/>
  <c r="N109" i="4" s="1"/>
  <c r="AC108" i="4"/>
  <c r="AB108" i="4"/>
  <c r="AA108" i="4"/>
  <c r="Z108" i="4"/>
  <c r="M108" i="4"/>
  <c r="N108" i="4" s="1"/>
  <c r="L108" i="4"/>
  <c r="AC107" i="4"/>
  <c r="AB107" i="4"/>
  <c r="AA107" i="4"/>
  <c r="Z107" i="4"/>
  <c r="L107" i="4"/>
  <c r="M107" i="4" s="1"/>
  <c r="N107" i="4" s="1"/>
  <c r="AC106" i="4"/>
  <c r="AB106" i="4"/>
  <c r="AA106" i="4"/>
  <c r="Z106" i="4"/>
  <c r="L106" i="4"/>
  <c r="M106" i="4" s="1"/>
  <c r="N106" i="4" s="1"/>
  <c r="AC105" i="4"/>
  <c r="AB105" i="4"/>
  <c r="AA105" i="4"/>
  <c r="Z105" i="4"/>
  <c r="N105" i="4"/>
  <c r="M105" i="4"/>
  <c r="L105" i="4"/>
  <c r="AC104" i="4"/>
  <c r="AB104" i="4"/>
  <c r="AA104" i="4"/>
  <c r="Z104" i="4"/>
  <c r="M104" i="4"/>
  <c r="N104" i="4" s="1"/>
  <c r="L104" i="4"/>
  <c r="AC103" i="4"/>
  <c r="AB103" i="4"/>
  <c r="AA103" i="4"/>
  <c r="Z103" i="4"/>
  <c r="L103" i="4"/>
  <c r="M103" i="4" s="1"/>
  <c r="N103" i="4" s="1"/>
  <c r="AC102" i="4"/>
  <c r="AB102" i="4"/>
  <c r="AA102" i="4"/>
  <c r="Z102" i="4"/>
  <c r="M102" i="4"/>
  <c r="N102" i="4" s="1"/>
  <c r="L102" i="4"/>
  <c r="AC101" i="4"/>
  <c r="AB101" i="4"/>
  <c r="AA101" i="4"/>
  <c r="Z101" i="4"/>
  <c r="L101" i="4"/>
  <c r="M101" i="4" s="1"/>
  <c r="N101" i="4" s="1"/>
  <c r="AC100" i="4"/>
  <c r="AB100" i="4"/>
  <c r="AA100" i="4"/>
  <c r="Z100" i="4"/>
  <c r="L100" i="4"/>
  <c r="M100" i="4" s="1"/>
  <c r="N100" i="4" s="1"/>
  <c r="AC99" i="4"/>
  <c r="AB99" i="4"/>
  <c r="AA99" i="4"/>
  <c r="Z99" i="4"/>
  <c r="L99" i="4"/>
  <c r="M99" i="4" s="1"/>
  <c r="N99" i="4" s="1"/>
  <c r="AC98" i="4"/>
  <c r="AB98" i="4"/>
  <c r="AA98" i="4"/>
  <c r="Z98" i="4"/>
  <c r="L98" i="4"/>
  <c r="M98" i="4" s="1"/>
  <c r="N98" i="4" s="1"/>
  <c r="AC97" i="4"/>
  <c r="AB97" i="4"/>
  <c r="AA97" i="4"/>
  <c r="Z97" i="4"/>
  <c r="N97" i="4"/>
  <c r="M97" i="4"/>
  <c r="L97" i="4"/>
  <c r="AC96" i="4"/>
  <c r="AB96" i="4"/>
  <c r="AA96" i="4"/>
  <c r="Z96" i="4"/>
  <c r="M96" i="4"/>
  <c r="N96" i="4" s="1"/>
  <c r="L96" i="4"/>
  <c r="AC95" i="4"/>
  <c r="AB95" i="4"/>
  <c r="AA95" i="4"/>
  <c r="Z95" i="4"/>
  <c r="L95" i="4"/>
  <c r="M95" i="4" s="1"/>
  <c r="N95" i="4" s="1"/>
  <c r="AC94" i="4"/>
  <c r="AB94" i="4"/>
  <c r="AA94" i="4"/>
  <c r="Z94" i="4"/>
  <c r="M94" i="4"/>
  <c r="N94" i="4" s="1"/>
  <c r="L94" i="4"/>
  <c r="AC93" i="4"/>
  <c r="AB93" i="4"/>
  <c r="AA93" i="4"/>
  <c r="Z93" i="4"/>
  <c r="L93" i="4"/>
  <c r="M93" i="4" s="1"/>
  <c r="N93" i="4" s="1"/>
  <c r="AC92" i="4"/>
  <c r="AB92" i="4"/>
  <c r="AA92" i="4"/>
  <c r="Z92" i="4"/>
  <c r="L92" i="4"/>
  <c r="M92" i="4" s="1"/>
  <c r="N92" i="4" s="1"/>
  <c r="AC91" i="4"/>
  <c r="AB91" i="4"/>
  <c r="AA91" i="4"/>
  <c r="Z91" i="4"/>
  <c r="L91" i="4"/>
  <c r="M91" i="4" s="1"/>
  <c r="N91" i="4" s="1"/>
  <c r="AC90" i="4"/>
  <c r="AB90" i="4"/>
  <c r="AA90" i="4"/>
  <c r="Z90" i="4"/>
  <c r="L90" i="4"/>
  <c r="M90" i="4" s="1"/>
  <c r="N90" i="4" s="1"/>
  <c r="AC89" i="4"/>
  <c r="AB89" i="4"/>
  <c r="AA89" i="4"/>
  <c r="Z89" i="4"/>
  <c r="N89" i="4"/>
  <c r="M89" i="4"/>
  <c r="L89" i="4"/>
  <c r="AC88" i="4"/>
  <c r="AB88" i="4"/>
  <c r="AA88" i="4"/>
  <c r="Z88" i="4"/>
  <c r="M88" i="4"/>
  <c r="N88" i="4" s="1"/>
  <c r="L88" i="4"/>
  <c r="AC87" i="4"/>
  <c r="AB87" i="4"/>
  <c r="AA87" i="4"/>
  <c r="Z87" i="4"/>
  <c r="L87" i="4"/>
  <c r="M87" i="4" s="1"/>
  <c r="N87" i="4" s="1"/>
  <c r="AC86" i="4"/>
  <c r="AB86" i="4"/>
  <c r="AA86" i="4"/>
  <c r="Z86" i="4"/>
  <c r="M86" i="4"/>
  <c r="N86" i="4" s="1"/>
  <c r="L86" i="4"/>
  <c r="AC85" i="4"/>
  <c r="AB85" i="4"/>
  <c r="AA85" i="4"/>
  <c r="Z85" i="4"/>
  <c r="L85" i="4"/>
  <c r="M85" i="4" s="1"/>
  <c r="N85" i="4" s="1"/>
  <c r="AC84" i="4"/>
  <c r="AB84" i="4"/>
  <c r="AA84" i="4"/>
  <c r="Z84" i="4"/>
  <c r="N84" i="4"/>
  <c r="M84" i="4"/>
  <c r="L84" i="4"/>
  <c r="AC83" i="4"/>
  <c r="AB83" i="4"/>
  <c r="AA83" i="4"/>
  <c r="Z83" i="4"/>
  <c r="M83" i="4"/>
  <c r="N83" i="4" s="1"/>
  <c r="L83" i="4"/>
  <c r="AC82" i="4"/>
  <c r="AB82" i="4"/>
  <c r="AA82" i="4"/>
  <c r="Z82" i="4"/>
  <c r="L82" i="4"/>
  <c r="M82" i="4" s="1"/>
  <c r="N82" i="4" s="1"/>
  <c r="AC81" i="4"/>
  <c r="AB81" i="4"/>
  <c r="AA81" i="4"/>
  <c r="Z81" i="4"/>
  <c r="N81" i="4"/>
  <c r="M81" i="4"/>
  <c r="L81" i="4"/>
  <c r="AC80" i="4"/>
  <c r="AB80" i="4"/>
  <c r="AA80" i="4"/>
  <c r="Z80" i="4"/>
  <c r="M80" i="4"/>
  <c r="N80" i="4" s="1"/>
  <c r="L80" i="4"/>
  <c r="AC79" i="4"/>
  <c r="AB79" i="4"/>
  <c r="AA79" i="4"/>
  <c r="Z79" i="4"/>
  <c r="L79" i="4"/>
  <c r="M79" i="4" s="1"/>
  <c r="N79" i="4" s="1"/>
  <c r="AC78" i="4"/>
  <c r="AB78" i="4"/>
  <c r="AA78" i="4"/>
  <c r="Z78" i="4"/>
  <c r="M78" i="4"/>
  <c r="N78" i="4" s="1"/>
  <c r="L78" i="4"/>
  <c r="AC77" i="4"/>
  <c r="AB77" i="4"/>
  <c r="AA77" i="4"/>
  <c r="Z77" i="4"/>
  <c r="L77" i="4"/>
  <c r="M77" i="4" s="1"/>
  <c r="N77" i="4" s="1"/>
  <c r="AC76" i="4"/>
  <c r="AB76" i="4"/>
  <c r="AA76" i="4"/>
  <c r="Z76" i="4"/>
  <c r="M76" i="4"/>
  <c r="N76" i="4" s="1"/>
  <c r="L76" i="4"/>
  <c r="AC75" i="4"/>
  <c r="AB75" i="4"/>
  <c r="AA75" i="4"/>
  <c r="Z75" i="4"/>
  <c r="L75" i="4"/>
  <c r="M75" i="4" s="1"/>
  <c r="N75" i="4" s="1"/>
  <c r="AC74" i="4"/>
  <c r="AB74" i="4"/>
  <c r="AA74" i="4"/>
  <c r="Z74" i="4"/>
  <c r="L74" i="4"/>
  <c r="M74" i="4" s="1"/>
  <c r="N74" i="4" s="1"/>
  <c r="AC73" i="4"/>
  <c r="AB73" i="4"/>
  <c r="AA73" i="4"/>
  <c r="Z73" i="4"/>
  <c r="N73" i="4"/>
  <c r="M73" i="4"/>
  <c r="L73" i="4"/>
  <c r="AC72" i="4"/>
  <c r="AB72" i="4"/>
  <c r="AA72" i="4"/>
  <c r="Z72" i="4"/>
  <c r="M72" i="4"/>
  <c r="N72" i="4" s="1"/>
  <c r="L72" i="4"/>
  <c r="AC71" i="4"/>
  <c r="AB71" i="4"/>
  <c r="AA71" i="4"/>
  <c r="Z71" i="4"/>
  <c r="L71" i="4"/>
  <c r="M71" i="4" s="1"/>
  <c r="N71" i="4" s="1"/>
  <c r="AC70" i="4"/>
  <c r="AB70" i="4"/>
  <c r="AA70" i="4"/>
  <c r="Z70" i="4"/>
  <c r="M70" i="4"/>
  <c r="N70" i="4" s="1"/>
  <c r="L70" i="4"/>
  <c r="AC69" i="4"/>
  <c r="AB69" i="4"/>
  <c r="AA69" i="4"/>
  <c r="Z69" i="4"/>
  <c r="L69" i="4"/>
  <c r="M69" i="4" s="1"/>
  <c r="N69" i="4" s="1"/>
  <c r="AC68" i="4"/>
  <c r="AB68" i="4"/>
  <c r="AA68" i="4"/>
  <c r="Z68" i="4"/>
  <c r="M68" i="4"/>
  <c r="N68" i="4" s="1"/>
  <c r="L68" i="4"/>
  <c r="AC67" i="4"/>
  <c r="AB67" i="4"/>
  <c r="AA67" i="4"/>
  <c r="Z67" i="4"/>
  <c r="L67" i="4"/>
  <c r="M67" i="4" s="1"/>
  <c r="N67" i="4" s="1"/>
  <c r="AC66" i="4"/>
  <c r="AB66" i="4"/>
  <c r="AA66" i="4"/>
  <c r="Z66" i="4"/>
  <c r="L66" i="4"/>
  <c r="M66" i="4" s="1"/>
  <c r="N66" i="4" s="1"/>
  <c r="AC65" i="4"/>
  <c r="AB65" i="4"/>
  <c r="AA65" i="4"/>
  <c r="Z65" i="4"/>
  <c r="N65" i="4"/>
  <c r="M65" i="4"/>
  <c r="L65" i="4"/>
  <c r="AC64" i="4"/>
  <c r="AB64" i="4"/>
  <c r="AA64" i="4"/>
  <c r="Z64" i="4"/>
  <c r="M64" i="4"/>
  <c r="N64" i="4" s="1"/>
  <c r="L64" i="4"/>
  <c r="AC63" i="4"/>
  <c r="AB63" i="4"/>
  <c r="AA63" i="4"/>
  <c r="Z63" i="4"/>
  <c r="L63" i="4"/>
  <c r="M63" i="4" s="1"/>
  <c r="N63" i="4" s="1"/>
  <c r="AC62" i="4"/>
  <c r="AB62" i="4"/>
  <c r="AA62" i="4"/>
  <c r="Z62" i="4"/>
  <c r="M62" i="4"/>
  <c r="N62" i="4" s="1"/>
  <c r="L62" i="4"/>
  <c r="AC61" i="4"/>
  <c r="AB61" i="4"/>
  <c r="AA61" i="4"/>
  <c r="Z61" i="4"/>
  <c r="L61" i="4"/>
  <c r="M61" i="4" s="1"/>
  <c r="N61" i="4" s="1"/>
  <c r="AC60" i="4"/>
  <c r="AB60" i="4"/>
  <c r="AA60" i="4"/>
  <c r="Z60" i="4"/>
  <c r="M60" i="4"/>
  <c r="N60" i="4" s="1"/>
  <c r="L60" i="4"/>
  <c r="AC59" i="4"/>
  <c r="AB59" i="4"/>
  <c r="AA59" i="4"/>
  <c r="Z59" i="4"/>
  <c r="L59" i="4"/>
  <c r="M59" i="4" s="1"/>
  <c r="N59" i="4" s="1"/>
  <c r="AC58" i="4"/>
  <c r="AB58" i="4"/>
  <c r="AA58" i="4"/>
  <c r="Z58" i="4"/>
  <c r="L58" i="4"/>
  <c r="M58" i="4" s="1"/>
  <c r="N58" i="4" s="1"/>
  <c r="AC57" i="4"/>
  <c r="AB57" i="4"/>
  <c r="AA57" i="4"/>
  <c r="Z57" i="4"/>
  <c r="N57" i="4"/>
  <c r="M57" i="4"/>
  <c r="L57" i="4"/>
  <c r="AC56" i="4"/>
  <c r="AB56" i="4"/>
  <c r="AA56" i="4"/>
  <c r="Z56" i="4"/>
  <c r="M56" i="4"/>
  <c r="N56" i="4" s="1"/>
  <c r="L56" i="4"/>
  <c r="AC55" i="4"/>
  <c r="AB55" i="4"/>
  <c r="AA55" i="4"/>
  <c r="Z55" i="4"/>
  <c r="L55" i="4"/>
  <c r="M55" i="4" s="1"/>
  <c r="N55" i="4" s="1"/>
  <c r="AC54" i="4"/>
  <c r="AB54" i="4"/>
  <c r="AA54" i="4"/>
  <c r="Z54" i="4"/>
  <c r="M54" i="4"/>
  <c r="N54" i="4" s="1"/>
  <c r="L54" i="4"/>
  <c r="AC53" i="4"/>
  <c r="AB53" i="4"/>
  <c r="AA53" i="4"/>
  <c r="Z53" i="4"/>
  <c r="L53" i="4"/>
  <c r="M53" i="4" s="1"/>
  <c r="N53" i="4" s="1"/>
  <c r="AC52" i="4"/>
  <c r="AB52" i="4"/>
  <c r="AA52" i="4"/>
  <c r="Z52" i="4"/>
  <c r="M52" i="4"/>
  <c r="N52" i="4" s="1"/>
  <c r="L52" i="4"/>
  <c r="AC51" i="4"/>
  <c r="AB51" i="4"/>
  <c r="AA51" i="4"/>
  <c r="Z51" i="4"/>
  <c r="L51" i="4"/>
  <c r="M51" i="4" s="1"/>
  <c r="N51" i="4" s="1"/>
  <c r="AC50" i="4"/>
  <c r="AB50" i="4"/>
  <c r="AA50" i="4"/>
  <c r="Z50" i="4"/>
  <c r="L50" i="4"/>
  <c r="M50" i="4" s="1"/>
  <c r="N50" i="4" s="1"/>
  <c r="AC49" i="4"/>
  <c r="AB49" i="4"/>
  <c r="AA49" i="4"/>
  <c r="Z49" i="4"/>
  <c r="N49" i="4"/>
  <c r="M49" i="4"/>
  <c r="L49" i="4"/>
  <c r="AC48" i="4"/>
  <c r="AB48" i="4"/>
  <c r="AA48" i="4"/>
  <c r="Z48" i="4"/>
  <c r="M48" i="4"/>
  <c r="N48" i="4" s="1"/>
  <c r="L48" i="4"/>
  <c r="AC47" i="4"/>
  <c r="AB47" i="4"/>
  <c r="AA47" i="4"/>
  <c r="Z47" i="4"/>
  <c r="L47" i="4"/>
  <c r="M47" i="4" s="1"/>
  <c r="N47" i="4" s="1"/>
  <c r="AC46" i="4"/>
  <c r="AB46" i="4"/>
  <c r="AA46" i="4"/>
  <c r="Z46" i="4"/>
  <c r="M46" i="4"/>
  <c r="N46" i="4" s="1"/>
  <c r="L46" i="4"/>
  <c r="AC45" i="4"/>
  <c r="AB45" i="4"/>
  <c r="AA45" i="4"/>
  <c r="Z45" i="4"/>
  <c r="L45" i="4"/>
  <c r="M45" i="4" s="1"/>
  <c r="N45" i="4" s="1"/>
  <c r="AC44" i="4"/>
  <c r="AB44" i="4"/>
  <c r="AA44" i="4"/>
  <c r="Z44" i="4"/>
  <c r="M44" i="4"/>
  <c r="N44" i="4" s="1"/>
  <c r="L44" i="4"/>
  <c r="AC43" i="4"/>
  <c r="AB43" i="4"/>
  <c r="AA43" i="4"/>
  <c r="Z43" i="4"/>
  <c r="L43" i="4"/>
  <c r="M43" i="4" s="1"/>
  <c r="N43" i="4" s="1"/>
  <c r="AC42" i="4"/>
  <c r="AB42" i="4"/>
  <c r="AA42" i="4"/>
  <c r="Z42" i="4"/>
  <c r="L42" i="4"/>
  <c r="M42" i="4" s="1"/>
  <c r="N42" i="4" s="1"/>
  <c r="AC41" i="4"/>
  <c r="AB41" i="4"/>
  <c r="AA41" i="4"/>
  <c r="Z41" i="4"/>
  <c r="N41" i="4"/>
  <c r="M41" i="4"/>
  <c r="L41" i="4"/>
  <c r="AC40" i="4"/>
  <c r="AB40" i="4"/>
  <c r="AA40" i="4"/>
  <c r="Z40" i="4"/>
  <c r="M40" i="4"/>
  <c r="N40" i="4" s="1"/>
  <c r="L40" i="4"/>
  <c r="AC39" i="4"/>
  <c r="AB39" i="4"/>
  <c r="AA39" i="4"/>
  <c r="Z39" i="4"/>
  <c r="L39" i="4"/>
  <c r="M39" i="4" s="1"/>
  <c r="N39" i="4" s="1"/>
  <c r="AC38" i="4"/>
  <c r="AB38" i="4"/>
  <c r="AA38" i="4"/>
  <c r="Z38" i="4"/>
  <c r="M38" i="4"/>
  <c r="N38" i="4" s="1"/>
  <c r="L38" i="4"/>
  <c r="AC37" i="4"/>
  <c r="AB37" i="4"/>
  <c r="AA37" i="4"/>
  <c r="Z37" i="4"/>
  <c r="L37" i="4"/>
  <c r="M37" i="4" s="1"/>
  <c r="N37" i="4" s="1"/>
  <c r="AC36" i="4"/>
  <c r="AB36" i="4"/>
  <c r="AA36" i="4"/>
  <c r="Z36" i="4"/>
  <c r="M36" i="4"/>
  <c r="N36" i="4" s="1"/>
  <c r="L36" i="4"/>
  <c r="AC35" i="4"/>
  <c r="AB35" i="4"/>
  <c r="AA35" i="4"/>
  <c r="Z35" i="4"/>
  <c r="L35" i="4"/>
  <c r="M35" i="4" s="1"/>
  <c r="N35" i="4" s="1"/>
  <c r="AC34" i="4"/>
  <c r="AB34" i="4"/>
  <c r="AA34" i="4"/>
  <c r="Z34" i="4"/>
  <c r="N34" i="4"/>
  <c r="M34" i="4"/>
  <c r="L34" i="4"/>
  <c r="AC33" i="4"/>
  <c r="AB33" i="4"/>
  <c r="AA33" i="4"/>
  <c r="Z33" i="4"/>
  <c r="N33" i="4"/>
  <c r="M33" i="4"/>
  <c r="L33" i="4"/>
  <c r="AC32" i="4"/>
  <c r="AB32" i="4"/>
  <c r="AA32" i="4"/>
  <c r="Z32" i="4"/>
  <c r="M32" i="4"/>
  <c r="N32" i="4" s="1"/>
  <c r="L32" i="4"/>
  <c r="AC31" i="4"/>
  <c r="AB31" i="4"/>
  <c r="AA31" i="4"/>
  <c r="Z31" i="4"/>
  <c r="L31" i="4"/>
  <c r="M31" i="4" s="1"/>
  <c r="N31" i="4" s="1"/>
  <c r="AC30" i="4"/>
  <c r="AB30" i="4"/>
  <c r="AA30" i="4"/>
  <c r="Z30" i="4"/>
  <c r="M30" i="4"/>
  <c r="N30" i="4" s="1"/>
  <c r="L30" i="4"/>
  <c r="AC29" i="4"/>
  <c r="AB29" i="4"/>
  <c r="AA29" i="4"/>
  <c r="Z29" i="4"/>
  <c r="L29" i="4"/>
  <c r="M29" i="4" s="1"/>
  <c r="N29" i="4" s="1"/>
  <c r="AC28" i="4"/>
  <c r="AB28" i="4"/>
  <c r="AA28" i="4"/>
  <c r="Z28" i="4"/>
  <c r="N28" i="4"/>
  <c r="M28" i="4"/>
  <c r="L28" i="4"/>
  <c r="AC27" i="4"/>
  <c r="AB27" i="4"/>
  <c r="AA27" i="4"/>
  <c r="Z27" i="4"/>
  <c r="M27" i="4"/>
  <c r="N27" i="4" s="1"/>
  <c r="L27" i="4"/>
  <c r="AC26" i="4"/>
  <c r="AB26" i="4"/>
  <c r="AA26" i="4"/>
  <c r="Z26" i="4"/>
  <c r="L26" i="4"/>
  <c r="M26" i="4" s="1"/>
  <c r="N26" i="4" s="1"/>
  <c r="AC25" i="4"/>
  <c r="AB25" i="4"/>
  <c r="AA25" i="4"/>
  <c r="Z25" i="4"/>
  <c r="N25" i="4"/>
  <c r="M25" i="4"/>
  <c r="L25" i="4"/>
  <c r="AC24" i="4"/>
  <c r="AB24" i="4"/>
  <c r="AA24" i="4"/>
  <c r="Z24" i="4"/>
  <c r="M24" i="4"/>
  <c r="N24" i="4" s="1"/>
  <c r="L24" i="4"/>
  <c r="AC23" i="4"/>
  <c r="AB23" i="4"/>
  <c r="AA23" i="4"/>
  <c r="Z23" i="4"/>
  <c r="L23" i="4"/>
  <c r="M23" i="4" s="1"/>
  <c r="N23" i="4" s="1"/>
  <c r="AC22" i="4"/>
  <c r="AB22" i="4"/>
  <c r="AA22" i="4"/>
  <c r="Z22" i="4"/>
  <c r="M22" i="4"/>
  <c r="N22" i="4" s="1"/>
  <c r="L22" i="4"/>
  <c r="AC21" i="4"/>
  <c r="AB21" i="4"/>
  <c r="AA21" i="4"/>
  <c r="Z21" i="4"/>
  <c r="L21" i="4"/>
  <c r="M21" i="4" s="1"/>
  <c r="N21" i="4" s="1"/>
  <c r="AC20" i="4"/>
  <c r="AB20" i="4"/>
  <c r="AA20" i="4"/>
  <c r="Z20" i="4"/>
  <c r="M20" i="4"/>
  <c r="N20" i="4" s="1"/>
  <c r="L20" i="4"/>
  <c r="AC19" i="4"/>
  <c r="AB19" i="4"/>
  <c r="AA19" i="4"/>
  <c r="Z19" i="4"/>
  <c r="L19" i="4"/>
  <c r="M19" i="4" s="1"/>
  <c r="N19" i="4" s="1"/>
  <c r="AC18" i="4"/>
  <c r="AB18" i="4"/>
  <c r="AA18" i="4"/>
  <c r="Z18" i="4"/>
  <c r="L18" i="4"/>
  <c r="M18" i="4" s="1"/>
  <c r="N18" i="4" s="1"/>
  <c r="AC17" i="4"/>
  <c r="AB17" i="4"/>
  <c r="AA17" i="4"/>
  <c r="Z17" i="4"/>
  <c r="N17" i="4"/>
  <c r="M17" i="4"/>
  <c r="L17" i="4"/>
  <c r="AC16" i="4"/>
  <c r="AB16" i="4"/>
  <c r="AA16" i="4"/>
  <c r="Z16" i="4"/>
  <c r="M16" i="4"/>
  <c r="N16" i="4" s="1"/>
  <c r="L16" i="4"/>
  <c r="AC15" i="4"/>
  <c r="AB15" i="4"/>
  <c r="AA15" i="4"/>
  <c r="Z15" i="4"/>
  <c r="L15" i="4"/>
  <c r="M15" i="4" s="1"/>
  <c r="N15" i="4" s="1"/>
  <c r="AC14" i="4"/>
  <c r="AB14" i="4"/>
  <c r="AA14" i="4"/>
  <c r="Z14" i="4"/>
  <c r="M14" i="4"/>
  <c r="N14" i="4" s="1"/>
  <c r="L14" i="4"/>
  <c r="AC13" i="4"/>
  <c r="AB13" i="4"/>
  <c r="AA13" i="4"/>
  <c r="Z13" i="4"/>
  <c r="L13" i="4"/>
  <c r="M13" i="4" s="1"/>
  <c r="N13" i="4" s="1"/>
  <c r="AC12" i="4"/>
  <c r="AB12" i="4"/>
  <c r="AA12" i="4"/>
  <c r="Z12" i="4"/>
  <c r="M12" i="4"/>
  <c r="N12" i="4" s="1"/>
  <c r="L12" i="4"/>
  <c r="AC11" i="4"/>
  <c r="AB11" i="4"/>
  <c r="AA11" i="4"/>
  <c r="Z11" i="4"/>
  <c r="L11" i="4"/>
  <c r="M11" i="4" s="1"/>
  <c r="N11" i="4" s="1"/>
  <c r="AC10" i="4"/>
  <c r="AB10" i="4"/>
  <c r="AA10" i="4"/>
  <c r="Z10" i="4"/>
  <c r="L10" i="4"/>
  <c r="M10" i="4" s="1"/>
  <c r="N10" i="4" s="1"/>
  <c r="AC9" i="4"/>
  <c r="AB9" i="4"/>
  <c r="AA9" i="4"/>
  <c r="Z9" i="4"/>
  <c r="N9" i="4"/>
  <c r="M9" i="4"/>
  <c r="L9" i="4"/>
  <c r="AC8" i="4"/>
  <c r="AB8" i="4"/>
  <c r="AA8" i="4"/>
  <c r="Z8" i="4"/>
  <c r="M8" i="4"/>
  <c r="N8" i="4" s="1"/>
  <c r="L8" i="4"/>
  <c r="AC7" i="4"/>
  <c r="AB7" i="4"/>
  <c r="AA7" i="4"/>
  <c r="Z7" i="4"/>
  <c r="L7" i="4"/>
  <c r="M7" i="4" s="1"/>
  <c r="N7" i="4" s="1"/>
  <c r="AC6" i="4"/>
  <c r="AB6" i="4"/>
  <c r="AA6" i="4"/>
  <c r="Z6" i="4"/>
  <c r="M6" i="4"/>
  <c r="N6" i="4" s="1"/>
  <c r="L6" i="4"/>
  <c r="AC5" i="4"/>
  <c r="AB5" i="4"/>
  <c r="AA5" i="4"/>
  <c r="Z5" i="4"/>
  <c r="L5" i="4"/>
  <c r="M5" i="4" s="1"/>
  <c r="N5" i="4" s="1"/>
  <c r="AC4" i="4"/>
  <c r="AB4" i="4"/>
  <c r="AA4" i="4"/>
  <c r="Z4" i="4"/>
  <c r="N4" i="4"/>
  <c r="M4" i="4"/>
  <c r="L4" i="4"/>
  <c r="AC3" i="4"/>
  <c r="AB3" i="4"/>
  <c r="AA3" i="4"/>
  <c r="Z3" i="4"/>
  <c r="M3" i="4"/>
  <c r="N3" i="4" s="1"/>
  <c r="L3" i="4"/>
  <c r="AC2" i="4"/>
  <c r="AB2" i="4"/>
  <c r="AA2" i="4"/>
  <c r="Z2" i="4"/>
  <c r="L2" i="4"/>
  <c r="M2" i="4" s="1"/>
  <c r="N2" i="4" s="1"/>
  <c r="AC566" i="3" l="1"/>
  <c r="AB566" i="3"/>
  <c r="AA566" i="3"/>
  <c r="Z566" i="3"/>
  <c r="L566" i="3"/>
  <c r="M566" i="3" s="1"/>
  <c r="N566" i="3" s="1"/>
  <c r="AC565" i="3"/>
  <c r="AB565" i="3"/>
  <c r="AA565" i="3"/>
  <c r="Z565" i="3"/>
  <c r="L565" i="3"/>
  <c r="M565" i="3" s="1"/>
  <c r="N565" i="3" s="1"/>
  <c r="AC564" i="3"/>
  <c r="AB564" i="3"/>
  <c r="AA564" i="3"/>
  <c r="Z564" i="3"/>
  <c r="M564" i="3"/>
  <c r="N564" i="3" s="1"/>
  <c r="L564" i="3"/>
  <c r="AC563" i="3"/>
  <c r="AB563" i="3"/>
  <c r="AA563" i="3"/>
  <c r="Z563" i="3"/>
  <c r="L563" i="3"/>
  <c r="M563" i="3" s="1"/>
  <c r="N563" i="3" s="1"/>
  <c r="AC562" i="3"/>
  <c r="AB562" i="3"/>
  <c r="AA562" i="3"/>
  <c r="Z562" i="3"/>
  <c r="M562" i="3"/>
  <c r="N562" i="3" s="1"/>
  <c r="L562" i="3"/>
  <c r="AC561" i="3"/>
  <c r="AB561" i="3"/>
  <c r="AA561" i="3"/>
  <c r="Z561" i="3"/>
  <c r="L561" i="3"/>
  <c r="M561" i="3" s="1"/>
  <c r="N561" i="3" s="1"/>
  <c r="AC560" i="3"/>
  <c r="AB560" i="3"/>
  <c r="AA560" i="3"/>
  <c r="Z560" i="3"/>
  <c r="M560" i="3"/>
  <c r="N560" i="3" s="1"/>
  <c r="L560" i="3"/>
  <c r="AC559" i="3"/>
  <c r="AB559" i="3"/>
  <c r="AA559" i="3"/>
  <c r="Z559" i="3"/>
  <c r="L559" i="3"/>
  <c r="M559" i="3" s="1"/>
  <c r="N559" i="3" s="1"/>
  <c r="AC558" i="3"/>
  <c r="AB558" i="3"/>
  <c r="AA558" i="3"/>
  <c r="Z558" i="3"/>
  <c r="L558" i="3"/>
  <c r="M558" i="3" s="1"/>
  <c r="N558" i="3" s="1"/>
  <c r="AC557" i="3"/>
  <c r="AB557" i="3"/>
  <c r="AA557" i="3"/>
  <c r="Z557" i="3"/>
  <c r="L557" i="3"/>
  <c r="M557" i="3" s="1"/>
  <c r="N557" i="3" s="1"/>
  <c r="AC556" i="3"/>
  <c r="AB556" i="3"/>
  <c r="AA556" i="3"/>
  <c r="Z556" i="3"/>
  <c r="M556" i="3"/>
  <c r="N556" i="3" s="1"/>
  <c r="L556" i="3"/>
  <c r="AC555" i="3"/>
  <c r="AB555" i="3"/>
  <c r="AA555" i="3"/>
  <c r="Z555" i="3"/>
  <c r="L555" i="3"/>
  <c r="M555" i="3" s="1"/>
  <c r="N555" i="3" s="1"/>
  <c r="AC554" i="3"/>
  <c r="AB554" i="3"/>
  <c r="AA554" i="3"/>
  <c r="Z554" i="3"/>
  <c r="M554" i="3"/>
  <c r="N554" i="3" s="1"/>
  <c r="L554" i="3"/>
  <c r="AC553" i="3"/>
  <c r="AB553" i="3"/>
  <c r="AA553" i="3"/>
  <c r="Z553" i="3"/>
  <c r="L553" i="3"/>
  <c r="M553" i="3" s="1"/>
  <c r="N553" i="3" s="1"/>
  <c r="AC552" i="3"/>
  <c r="AB552" i="3"/>
  <c r="AA552" i="3"/>
  <c r="Z552" i="3"/>
  <c r="M552" i="3"/>
  <c r="N552" i="3" s="1"/>
  <c r="L552" i="3"/>
  <c r="AC551" i="3"/>
  <c r="AB551" i="3"/>
  <c r="AA551" i="3"/>
  <c r="Z551" i="3"/>
  <c r="L551" i="3"/>
  <c r="M551" i="3" s="1"/>
  <c r="N551" i="3" s="1"/>
  <c r="AC550" i="3"/>
  <c r="AB550" i="3"/>
  <c r="AA550" i="3"/>
  <c r="Z550" i="3"/>
  <c r="L550" i="3"/>
  <c r="M550" i="3" s="1"/>
  <c r="N550" i="3" s="1"/>
  <c r="AC549" i="3"/>
  <c r="AB549" i="3"/>
  <c r="AA549" i="3"/>
  <c r="Z549" i="3"/>
  <c r="M549" i="3"/>
  <c r="N549" i="3" s="1"/>
  <c r="L549" i="3"/>
  <c r="AC548" i="3"/>
  <c r="AB548" i="3"/>
  <c r="AA548" i="3"/>
  <c r="Z548" i="3"/>
  <c r="L548" i="3"/>
  <c r="M548" i="3" s="1"/>
  <c r="N548" i="3" s="1"/>
  <c r="AC547" i="3"/>
  <c r="AB547" i="3"/>
  <c r="AA547" i="3"/>
  <c r="Z547" i="3"/>
  <c r="L547" i="3"/>
  <c r="M547" i="3" s="1"/>
  <c r="N547" i="3" s="1"/>
  <c r="AC546" i="3"/>
  <c r="AB546" i="3"/>
  <c r="AA546" i="3"/>
  <c r="Z546" i="3"/>
  <c r="M546" i="3"/>
  <c r="N546" i="3" s="1"/>
  <c r="L546" i="3"/>
  <c r="AC545" i="3"/>
  <c r="AB545" i="3"/>
  <c r="AA545" i="3"/>
  <c r="Z545" i="3"/>
  <c r="L545" i="3"/>
  <c r="M545" i="3" s="1"/>
  <c r="N545" i="3" s="1"/>
  <c r="AC544" i="3"/>
  <c r="AB544" i="3"/>
  <c r="AA544" i="3"/>
  <c r="Z544" i="3"/>
  <c r="M544" i="3"/>
  <c r="N544" i="3" s="1"/>
  <c r="L544" i="3"/>
  <c r="AC543" i="3"/>
  <c r="AB543" i="3"/>
  <c r="AA543" i="3"/>
  <c r="Z543" i="3"/>
  <c r="L543" i="3"/>
  <c r="M543" i="3" s="1"/>
  <c r="N543" i="3" s="1"/>
  <c r="AC542" i="3"/>
  <c r="AB542" i="3"/>
  <c r="AA542" i="3"/>
  <c r="Z542" i="3"/>
  <c r="L542" i="3"/>
  <c r="M542" i="3" s="1"/>
  <c r="N542" i="3" s="1"/>
  <c r="AC541" i="3"/>
  <c r="AB541" i="3"/>
  <c r="AA541" i="3"/>
  <c r="Z541" i="3"/>
  <c r="M541" i="3"/>
  <c r="N541" i="3" s="1"/>
  <c r="L541" i="3"/>
  <c r="AC540" i="3"/>
  <c r="AB540" i="3"/>
  <c r="AA540" i="3"/>
  <c r="Z540" i="3"/>
  <c r="L540" i="3"/>
  <c r="M540" i="3" s="1"/>
  <c r="N540" i="3" s="1"/>
  <c r="AC539" i="3"/>
  <c r="AB539" i="3"/>
  <c r="AA539" i="3"/>
  <c r="Z539" i="3"/>
  <c r="L539" i="3"/>
  <c r="M539" i="3" s="1"/>
  <c r="N539" i="3" s="1"/>
  <c r="AC538" i="3"/>
  <c r="AB538" i="3"/>
  <c r="AA538" i="3"/>
  <c r="Z538" i="3"/>
  <c r="M538" i="3"/>
  <c r="N538" i="3" s="1"/>
  <c r="L538" i="3"/>
  <c r="AC537" i="3"/>
  <c r="AB537" i="3"/>
  <c r="AA537" i="3"/>
  <c r="Z537" i="3"/>
  <c r="L537" i="3"/>
  <c r="M537" i="3" s="1"/>
  <c r="N537" i="3" s="1"/>
  <c r="AC536" i="3"/>
  <c r="AB536" i="3"/>
  <c r="AA536" i="3"/>
  <c r="Z536" i="3"/>
  <c r="M536" i="3"/>
  <c r="N536" i="3" s="1"/>
  <c r="L536" i="3"/>
  <c r="AC535" i="3"/>
  <c r="AB535" i="3"/>
  <c r="AA535" i="3"/>
  <c r="Z535" i="3"/>
  <c r="L535" i="3"/>
  <c r="M535" i="3" s="1"/>
  <c r="N535" i="3" s="1"/>
  <c r="AC534" i="3"/>
  <c r="AB534" i="3"/>
  <c r="AA534" i="3"/>
  <c r="Z534" i="3"/>
  <c r="L534" i="3"/>
  <c r="M534" i="3" s="1"/>
  <c r="N534" i="3" s="1"/>
  <c r="AC533" i="3"/>
  <c r="AB533" i="3"/>
  <c r="AA533" i="3"/>
  <c r="Z533" i="3"/>
  <c r="M533" i="3"/>
  <c r="N533" i="3" s="1"/>
  <c r="L533" i="3"/>
  <c r="AC532" i="3"/>
  <c r="AB532" i="3"/>
  <c r="AA532" i="3"/>
  <c r="Z532" i="3"/>
  <c r="L532" i="3"/>
  <c r="M532" i="3" s="1"/>
  <c r="N532" i="3" s="1"/>
  <c r="AC531" i="3"/>
  <c r="AB531" i="3"/>
  <c r="AA531" i="3"/>
  <c r="Z531" i="3"/>
  <c r="L531" i="3"/>
  <c r="M531" i="3" s="1"/>
  <c r="N531" i="3" s="1"/>
  <c r="AC530" i="3"/>
  <c r="AB530" i="3"/>
  <c r="AA530" i="3"/>
  <c r="Z530" i="3"/>
  <c r="M530" i="3"/>
  <c r="N530" i="3" s="1"/>
  <c r="L530" i="3"/>
  <c r="AC529" i="3"/>
  <c r="AB529" i="3"/>
  <c r="AA529" i="3"/>
  <c r="Z529" i="3"/>
  <c r="L529" i="3"/>
  <c r="M529" i="3" s="1"/>
  <c r="N529" i="3" s="1"/>
  <c r="AC528" i="3"/>
  <c r="AB528" i="3"/>
  <c r="AA528" i="3"/>
  <c r="Z528" i="3"/>
  <c r="M528" i="3"/>
  <c r="N528" i="3" s="1"/>
  <c r="L528" i="3"/>
  <c r="AC527" i="3"/>
  <c r="AB527" i="3"/>
  <c r="AA527" i="3"/>
  <c r="Z527" i="3"/>
  <c r="L527" i="3"/>
  <c r="M527" i="3" s="1"/>
  <c r="N527" i="3" s="1"/>
  <c r="AC526" i="3"/>
  <c r="AB526" i="3"/>
  <c r="AA526" i="3"/>
  <c r="Z526" i="3"/>
  <c r="L526" i="3"/>
  <c r="M526" i="3" s="1"/>
  <c r="N526" i="3" s="1"/>
  <c r="AC525" i="3"/>
  <c r="AB525" i="3"/>
  <c r="AA525" i="3"/>
  <c r="Z525" i="3"/>
  <c r="M525" i="3"/>
  <c r="N525" i="3" s="1"/>
  <c r="L525" i="3"/>
  <c r="AC524" i="3"/>
  <c r="AB524" i="3"/>
  <c r="AA524" i="3"/>
  <c r="Z524" i="3"/>
  <c r="L524" i="3"/>
  <c r="M524" i="3" s="1"/>
  <c r="N524" i="3" s="1"/>
  <c r="AC523" i="3"/>
  <c r="AB523" i="3"/>
  <c r="AA523" i="3"/>
  <c r="Z523" i="3"/>
  <c r="L523" i="3"/>
  <c r="M523" i="3" s="1"/>
  <c r="N523" i="3" s="1"/>
  <c r="AC522" i="3"/>
  <c r="AB522" i="3"/>
  <c r="AA522" i="3"/>
  <c r="Z522" i="3"/>
  <c r="M522" i="3"/>
  <c r="N522" i="3" s="1"/>
  <c r="L522" i="3"/>
  <c r="AC521" i="3"/>
  <c r="AB521" i="3"/>
  <c r="AA521" i="3"/>
  <c r="Z521" i="3"/>
  <c r="L521" i="3"/>
  <c r="M521" i="3" s="1"/>
  <c r="N521" i="3" s="1"/>
  <c r="AC520" i="3"/>
  <c r="AB520" i="3"/>
  <c r="AA520" i="3"/>
  <c r="Z520" i="3"/>
  <c r="M520" i="3"/>
  <c r="N520" i="3" s="1"/>
  <c r="L520" i="3"/>
  <c r="AC519" i="3"/>
  <c r="AB519" i="3"/>
  <c r="AA519" i="3"/>
  <c r="Z519" i="3"/>
  <c r="L519" i="3"/>
  <c r="M519" i="3" s="1"/>
  <c r="N519" i="3" s="1"/>
  <c r="AC518" i="3"/>
  <c r="AB518" i="3"/>
  <c r="AA518" i="3"/>
  <c r="Z518" i="3"/>
  <c r="N518" i="3"/>
  <c r="M518" i="3"/>
  <c r="L518" i="3"/>
  <c r="AC517" i="3"/>
  <c r="AB517" i="3"/>
  <c r="AA517" i="3"/>
  <c r="Z517" i="3"/>
  <c r="M517" i="3"/>
  <c r="N517" i="3" s="1"/>
  <c r="L517" i="3"/>
  <c r="AC516" i="3"/>
  <c r="AB516" i="3"/>
  <c r="AA516" i="3"/>
  <c r="Z516" i="3"/>
  <c r="L516" i="3"/>
  <c r="M516" i="3" s="1"/>
  <c r="N516" i="3" s="1"/>
  <c r="AC515" i="3"/>
  <c r="AB515" i="3"/>
  <c r="AA515" i="3"/>
  <c r="Z515" i="3"/>
  <c r="N515" i="3"/>
  <c r="M515" i="3"/>
  <c r="L515" i="3"/>
  <c r="AC514" i="3"/>
  <c r="AB514" i="3"/>
  <c r="AA514" i="3"/>
  <c r="Z514" i="3"/>
  <c r="M514" i="3"/>
  <c r="N514" i="3" s="1"/>
  <c r="L514" i="3"/>
  <c r="AC513" i="3"/>
  <c r="AB513" i="3"/>
  <c r="AA513" i="3"/>
  <c r="Z513" i="3"/>
  <c r="L513" i="3"/>
  <c r="M513" i="3" s="1"/>
  <c r="N513" i="3" s="1"/>
  <c r="AC512" i="3"/>
  <c r="AB512" i="3"/>
  <c r="AA512" i="3"/>
  <c r="Z512" i="3"/>
  <c r="M512" i="3"/>
  <c r="N512" i="3" s="1"/>
  <c r="L512" i="3"/>
  <c r="AC511" i="3"/>
  <c r="AB511" i="3"/>
  <c r="AA511" i="3"/>
  <c r="Z511" i="3"/>
  <c r="L511" i="3"/>
  <c r="M511" i="3" s="1"/>
  <c r="N511" i="3" s="1"/>
  <c r="AC510" i="3"/>
  <c r="AB510" i="3"/>
  <c r="AA510" i="3"/>
  <c r="Z510" i="3"/>
  <c r="L510" i="3"/>
  <c r="M510" i="3" s="1"/>
  <c r="N510" i="3" s="1"/>
  <c r="AC509" i="3"/>
  <c r="AB509" i="3"/>
  <c r="AA509" i="3"/>
  <c r="Z509" i="3"/>
  <c r="M509" i="3"/>
  <c r="N509" i="3" s="1"/>
  <c r="L509" i="3"/>
  <c r="AC508" i="3"/>
  <c r="AB508" i="3"/>
  <c r="AA508" i="3"/>
  <c r="Z508" i="3"/>
  <c r="L508" i="3"/>
  <c r="M508" i="3" s="1"/>
  <c r="N508" i="3" s="1"/>
  <c r="AC507" i="3"/>
  <c r="AB507" i="3"/>
  <c r="AA507" i="3"/>
  <c r="Z507" i="3"/>
  <c r="N507" i="3"/>
  <c r="M507" i="3"/>
  <c r="L507" i="3"/>
  <c r="AC506" i="3"/>
  <c r="AB506" i="3"/>
  <c r="AA506" i="3"/>
  <c r="Z506" i="3"/>
  <c r="M506" i="3"/>
  <c r="N506" i="3" s="1"/>
  <c r="L506" i="3"/>
  <c r="AC505" i="3"/>
  <c r="AB505" i="3"/>
  <c r="AA505" i="3"/>
  <c r="Z505" i="3"/>
  <c r="L505" i="3"/>
  <c r="M505" i="3" s="1"/>
  <c r="N505" i="3" s="1"/>
  <c r="AC504" i="3"/>
  <c r="AB504" i="3"/>
  <c r="AA504" i="3"/>
  <c r="Z504" i="3"/>
  <c r="M504" i="3"/>
  <c r="N504" i="3" s="1"/>
  <c r="L504" i="3"/>
  <c r="AC503" i="3"/>
  <c r="AB503" i="3"/>
  <c r="AA503" i="3"/>
  <c r="Z503" i="3"/>
  <c r="L503" i="3"/>
  <c r="M503" i="3" s="1"/>
  <c r="N503" i="3" s="1"/>
  <c r="AC502" i="3"/>
  <c r="AB502" i="3"/>
  <c r="AA502" i="3"/>
  <c r="Z502" i="3"/>
  <c r="L502" i="3"/>
  <c r="M502" i="3" s="1"/>
  <c r="N502" i="3" s="1"/>
  <c r="AC501" i="3"/>
  <c r="AB501" i="3"/>
  <c r="AA501" i="3"/>
  <c r="Z501" i="3"/>
  <c r="M501" i="3"/>
  <c r="N501" i="3" s="1"/>
  <c r="L501" i="3"/>
  <c r="AC500" i="3"/>
  <c r="AB500" i="3"/>
  <c r="AA500" i="3"/>
  <c r="Z500" i="3"/>
  <c r="L500" i="3"/>
  <c r="M500" i="3" s="1"/>
  <c r="N500" i="3" s="1"/>
  <c r="AC499" i="3"/>
  <c r="AB499" i="3"/>
  <c r="AA499" i="3"/>
  <c r="Z499" i="3"/>
  <c r="N499" i="3"/>
  <c r="M499" i="3"/>
  <c r="L499" i="3"/>
  <c r="AC498" i="3"/>
  <c r="AB498" i="3"/>
  <c r="AA498" i="3"/>
  <c r="Z498" i="3"/>
  <c r="M498" i="3"/>
  <c r="N498" i="3" s="1"/>
  <c r="L498" i="3"/>
  <c r="AC497" i="3"/>
  <c r="AB497" i="3"/>
  <c r="AA497" i="3"/>
  <c r="Z497" i="3"/>
  <c r="L497" i="3"/>
  <c r="M497" i="3" s="1"/>
  <c r="N497" i="3" s="1"/>
  <c r="AC496" i="3"/>
  <c r="AB496" i="3"/>
  <c r="AA496" i="3"/>
  <c r="Z496" i="3"/>
  <c r="M496" i="3"/>
  <c r="N496" i="3" s="1"/>
  <c r="L496" i="3"/>
  <c r="AC495" i="3"/>
  <c r="AB495" i="3"/>
  <c r="AA495" i="3"/>
  <c r="Z495" i="3"/>
  <c r="L495" i="3"/>
  <c r="M495" i="3" s="1"/>
  <c r="N495" i="3" s="1"/>
  <c r="AC494" i="3"/>
  <c r="AB494" i="3"/>
  <c r="AA494" i="3"/>
  <c r="Z494" i="3"/>
  <c r="L494" i="3"/>
  <c r="M494" i="3" s="1"/>
  <c r="N494" i="3" s="1"/>
  <c r="AC493" i="3"/>
  <c r="AB493" i="3"/>
  <c r="AA493" i="3"/>
  <c r="Z493" i="3"/>
  <c r="M493" i="3"/>
  <c r="N493" i="3" s="1"/>
  <c r="L493" i="3"/>
  <c r="AC492" i="3"/>
  <c r="AB492" i="3"/>
  <c r="AA492" i="3"/>
  <c r="Z492" i="3"/>
  <c r="L492" i="3"/>
  <c r="M492" i="3" s="1"/>
  <c r="N492" i="3" s="1"/>
  <c r="AC491" i="3"/>
  <c r="AB491" i="3"/>
  <c r="AA491" i="3"/>
  <c r="Z491" i="3"/>
  <c r="N491" i="3"/>
  <c r="M491" i="3"/>
  <c r="L491" i="3"/>
  <c r="AC490" i="3"/>
  <c r="AB490" i="3"/>
  <c r="AA490" i="3"/>
  <c r="Z490" i="3"/>
  <c r="M490" i="3"/>
  <c r="N490" i="3" s="1"/>
  <c r="L490" i="3"/>
  <c r="AC489" i="3"/>
  <c r="AB489" i="3"/>
  <c r="AA489" i="3"/>
  <c r="Z489" i="3"/>
  <c r="L489" i="3"/>
  <c r="M489" i="3" s="1"/>
  <c r="N489" i="3" s="1"/>
  <c r="AC488" i="3"/>
  <c r="AB488" i="3"/>
  <c r="AA488" i="3"/>
  <c r="Z488" i="3"/>
  <c r="M488" i="3"/>
  <c r="N488" i="3" s="1"/>
  <c r="L488" i="3"/>
  <c r="AC487" i="3"/>
  <c r="AB487" i="3"/>
  <c r="AA487" i="3"/>
  <c r="Z487" i="3"/>
  <c r="L487" i="3"/>
  <c r="M487" i="3" s="1"/>
  <c r="N487" i="3" s="1"/>
  <c r="AC486" i="3"/>
  <c r="AB486" i="3"/>
  <c r="AA486" i="3"/>
  <c r="Z486" i="3"/>
  <c r="L486" i="3"/>
  <c r="M486" i="3" s="1"/>
  <c r="N486" i="3" s="1"/>
  <c r="AC485" i="3"/>
  <c r="AB485" i="3"/>
  <c r="AA485" i="3"/>
  <c r="Z485" i="3"/>
  <c r="M485" i="3"/>
  <c r="N485" i="3" s="1"/>
  <c r="L485" i="3"/>
  <c r="AC484" i="3"/>
  <c r="AB484" i="3"/>
  <c r="AA484" i="3"/>
  <c r="Z484" i="3"/>
  <c r="L484" i="3"/>
  <c r="M484" i="3" s="1"/>
  <c r="N484" i="3" s="1"/>
  <c r="AC483" i="3"/>
  <c r="AB483" i="3"/>
  <c r="AA483" i="3"/>
  <c r="Z483" i="3"/>
  <c r="N483" i="3"/>
  <c r="M483" i="3"/>
  <c r="L483" i="3"/>
  <c r="AC482" i="3"/>
  <c r="AB482" i="3"/>
  <c r="AA482" i="3"/>
  <c r="Z482" i="3"/>
  <c r="M482" i="3"/>
  <c r="N482" i="3" s="1"/>
  <c r="L482" i="3"/>
  <c r="AC481" i="3"/>
  <c r="AB481" i="3"/>
  <c r="AA481" i="3"/>
  <c r="Z481" i="3"/>
  <c r="L481" i="3"/>
  <c r="M481" i="3" s="1"/>
  <c r="N481" i="3" s="1"/>
  <c r="AC480" i="3"/>
  <c r="AB480" i="3"/>
  <c r="AA480" i="3"/>
  <c r="Z480" i="3"/>
  <c r="M480" i="3"/>
  <c r="N480" i="3" s="1"/>
  <c r="L480" i="3"/>
  <c r="AC479" i="3"/>
  <c r="AB479" i="3"/>
  <c r="AA479" i="3"/>
  <c r="Z479" i="3"/>
  <c r="L479" i="3"/>
  <c r="M479" i="3" s="1"/>
  <c r="N479" i="3" s="1"/>
  <c r="AC478" i="3"/>
  <c r="AB478" i="3"/>
  <c r="AA478" i="3"/>
  <c r="Z478" i="3"/>
  <c r="L478" i="3"/>
  <c r="M478" i="3" s="1"/>
  <c r="N478" i="3" s="1"/>
  <c r="AC477" i="3"/>
  <c r="AB477" i="3"/>
  <c r="AA477" i="3"/>
  <c r="Z477" i="3"/>
  <c r="M477" i="3"/>
  <c r="N477" i="3" s="1"/>
  <c r="L477" i="3"/>
  <c r="AC476" i="3"/>
  <c r="AB476" i="3"/>
  <c r="AA476" i="3"/>
  <c r="Z476" i="3"/>
  <c r="L476" i="3"/>
  <c r="M476" i="3" s="1"/>
  <c r="N476" i="3" s="1"/>
  <c r="AC475" i="3"/>
  <c r="AB475" i="3"/>
  <c r="AA475" i="3"/>
  <c r="Z475" i="3"/>
  <c r="N475" i="3"/>
  <c r="M475" i="3"/>
  <c r="L475" i="3"/>
  <c r="AC474" i="3"/>
  <c r="AB474" i="3"/>
  <c r="AA474" i="3"/>
  <c r="Z474" i="3"/>
  <c r="M474" i="3"/>
  <c r="N474" i="3" s="1"/>
  <c r="L474" i="3"/>
  <c r="AC473" i="3"/>
  <c r="AB473" i="3"/>
  <c r="AA473" i="3"/>
  <c r="Z473" i="3"/>
  <c r="L473" i="3"/>
  <c r="M473" i="3" s="1"/>
  <c r="N473" i="3" s="1"/>
  <c r="AC472" i="3"/>
  <c r="AB472" i="3"/>
  <c r="AA472" i="3"/>
  <c r="Z472" i="3"/>
  <c r="M472" i="3"/>
  <c r="N472" i="3" s="1"/>
  <c r="L472" i="3"/>
  <c r="AC471" i="3"/>
  <c r="AB471" i="3"/>
  <c r="AA471" i="3"/>
  <c r="Z471" i="3"/>
  <c r="L471" i="3"/>
  <c r="M471" i="3" s="1"/>
  <c r="N471" i="3" s="1"/>
  <c r="AC470" i="3"/>
  <c r="AB470" i="3"/>
  <c r="AA470" i="3"/>
  <c r="Z470" i="3"/>
  <c r="L470" i="3"/>
  <c r="M470" i="3" s="1"/>
  <c r="N470" i="3" s="1"/>
  <c r="AC469" i="3"/>
  <c r="AB469" i="3"/>
  <c r="AA469" i="3"/>
  <c r="Z469" i="3"/>
  <c r="M469" i="3"/>
  <c r="N469" i="3" s="1"/>
  <c r="L469" i="3"/>
  <c r="AC468" i="3"/>
  <c r="AB468" i="3"/>
  <c r="AA468" i="3"/>
  <c r="Z468" i="3"/>
  <c r="L468" i="3"/>
  <c r="M468" i="3" s="1"/>
  <c r="N468" i="3" s="1"/>
  <c r="AC467" i="3"/>
  <c r="AB467" i="3"/>
  <c r="AA467" i="3"/>
  <c r="Z467" i="3"/>
  <c r="L467" i="3"/>
  <c r="M467" i="3" s="1"/>
  <c r="N467" i="3" s="1"/>
  <c r="AC466" i="3"/>
  <c r="AB466" i="3"/>
  <c r="AA466" i="3"/>
  <c r="Z466" i="3"/>
  <c r="M466" i="3"/>
  <c r="N466" i="3" s="1"/>
  <c r="L466" i="3"/>
  <c r="AC465" i="3"/>
  <c r="AB465" i="3"/>
  <c r="AA465" i="3"/>
  <c r="Z465" i="3"/>
  <c r="L465" i="3"/>
  <c r="M465" i="3" s="1"/>
  <c r="N465" i="3" s="1"/>
  <c r="AC464" i="3"/>
  <c r="AB464" i="3"/>
  <c r="AA464" i="3"/>
  <c r="Z464" i="3"/>
  <c r="M464" i="3"/>
  <c r="N464" i="3" s="1"/>
  <c r="L464" i="3"/>
  <c r="AC463" i="3"/>
  <c r="AB463" i="3"/>
  <c r="AA463" i="3"/>
  <c r="Z463" i="3"/>
  <c r="L463" i="3"/>
  <c r="M463" i="3" s="1"/>
  <c r="N463" i="3" s="1"/>
  <c r="AC462" i="3"/>
  <c r="AB462" i="3"/>
  <c r="AA462" i="3"/>
  <c r="Z462" i="3"/>
  <c r="L462" i="3"/>
  <c r="M462" i="3" s="1"/>
  <c r="N462" i="3" s="1"/>
  <c r="AC461" i="3"/>
  <c r="AB461" i="3"/>
  <c r="AA461" i="3"/>
  <c r="Z461" i="3"/>
  <c r="M461" i="3"/>
  <c r="N461" i="3" s="1"/>
  <c r="L461" i="3"/>
  <c r="AC460" i="3"/>
  <c r="AB460" i="3"/>
  <c r="AA460" i="3"/>
  <c r="Z460" i="3"/>
  <c r="L460" i="3"/>
  <c r="M460" i="3" s="1"/>
  <c r="N460" i="3" s="1"/>
  <c r="AC459" i="3"/>
  <c r="AB459" i="3"/>
  <c r="AA459" i="3"/>
  <c r="Z459" i="3"/>
  <c r="N459" i="3"/>
  <c r="M459" i="3"/>
  <c r="L459" i="3"/>
  <c r="AC458" i="3"/>
  <c r="AB458" i="3"/>
  <c r="AA458" i="3"/>
  <c r="Z458" i="3"/>
  <c r="M458" i="3"/>
  <c r="N458" i="3" s="1"/>
  <c r="L458" i="3"/>
  <c r="AC457" i="3"/>
  <c r="AB457" i="3"/>
  <c r="AA457" i="3"/>
  <c r="Z457" i="3"/>
  <c r="L457" i="3"/>
  <c r="M457" i="3" s="1"/>
  <c r="N457" i="3" s="1"/>
  <c r="AC456" i="3"/>
  <c r="AB456" i="3"/>
  <c r="AA456" i="3"/>
  <c r="Z456" i="3"/>
  <c r="M456" i="3"/>
  <c r="N456" i="3" s="1"/>
  <c r="L456" i="3"/>
  <c r="AC455" i="3"/>
  <c r="AB455" i="3"/>
  <c r="AA455" i="3"/>
  <c r="Z455" i="3"/>
  <c r="L455" i="3"/>
  <c r="M455" i="3" s="1"/>
  <c r="N455" i="3" s="1"/>
  <c r="AC454" i="3"/>
  <c r="AB454" i="3"/>
  <c r="AA454" i="3"/>
  <c r="Z454" i="3"/>
  <c r="L454" i="3"/>
  <c r="M454" i="3" s="1"/>
  <c r="N454" i="3" s="1"/>
  <c r="AC453" i="3"/>
  <c r="AB453" i="3"/>
  <c r="AA453" i="3"/>
  <c r="Z453" i="3"/>
  <c r="M453" i="3"/>
  <c r="N453" i="3" s="1"/>
  <c r="L453" i="3"/>
  <c r="AC452" i="3"/>
  <c r="AB452" i="3"/>
  <c r="AA452" i="3"/>
  <c r="Z452" i="3"/>
  <c r="L452" i="3"/>
  <c r="M452" i="3" s="1"/>
  <c r="N452" i="3" s="1"/>
  <c r="AC451" i="3"/>
  <c r="AB451" i="3"/>
  <c r="AA451" i="3"/>
  <c r="Z451" i="3"/>
  <c r="N451" i="3"/>
  <c r="M451" i="3"/>
  <c r="L451" i="3"/>
  <c r="AC450" i="3"/>
  <c r="AB450" i="3"/>
  <c r="AA450" i="3"/>
  <c r="Z450" i="3"/>
  <c r="M450" i="3"/>
  <c r="N450" i="3" s="1"/>
  <c r="L450" i="3"/>
  <c r="AC449" i="3"/>
  <c r="AB449" i="3"/>
  <c r="AA449" i="3"/>
  <c r="Z449" i="3"/>
  <c r="L449" i="3"/>
  <c r="M449" i="3" s="1"/>
  <c r="N449" i="3" s="1"/>
  <c r="AC448" i="3"/>
  <c r="AB448" i="3"/>
  <c r="AA448" i="3"/>
  <c r="Z448" i="3"/>
  <c r="M448" i="3"/>
  <c r="N448" i="3" s="1"/>
  <c r="L448" i="3"/>
  <c r="AC447" i="3"/>
  <c r="AB447" i="3"/>
  <c r="AA447" i="3"/>
  <c r="Z447" i="3"/>
  <c r="L447" i="3"/>
  <c r="M447" i="3" s="1"/>
  <c r="N447" i="3" s="1"/>
  <c r="AC446" i="3"/>
  <c r="AB446" i="3"/>
  <c r="AA446" i="3"/>
  <c r="Z446" i="3"/>
  <c r="L446" i="3"/>
  <c r="M446" i="3" s="1"/>
  <c r="N446" i="3" s="1"/>
  <c r="AC445" i="3"/>
  <c r="AB445" i="3"/>
  <c r="AA445" i="3"/>
  <c r="Z445" i="3"/>
  <c r="M445" i="3"/>
  <c r="N445" i="3" s="1"/>
  <c r="L445" i="3"/>
  <c r="AC444" i="3"/>
  <c r="AB444" i="3"/>
  <c r="AA444" i="3"/>
  <c r="Z444" i="3"/>
  <c r="L444" i="3"/>
  <c r="M444" i="3" s="1"/>
  <c r="N444" i="3" s="1"/>
  <c r="AC443" i="3"/>
  <c r="AB443" i="3"/>
  <c r="AA443" i="3"/>
  <c r="Z443" i="3"/>
  <c r="N443" i="3"/>
  <c r="M443" i="3"/>
  <c r="L443" i="3"/>
  <c r="AC442" i="3"/>
  <c r="AB442" i="3"/>
  <c r="AA442" i="3"/>
  <c r="Z442" i="3"/>
  <c r="M442" i="3"/>
  <c r="N442" i="3" s="1"/>
  <c r="L442" i="3"/>
  <c r="AC441" i="3"/>
  <c r="AB441" i="3"/>
  <c r="AA441" i="3"/>
  <c r="Z441" i="3"/>
  <c r="L441" i="3"/>
  <c r="M441" i="3" s="1"/>
  <c r="N441" i="3" s="1"/>
  <c r="AC440" i="3"/>
  <c r="AB440" i="3"/>
  <c r="AA440" i="3"/>
  <c r="Z440" i="3"/>
  <c r="M440" i="3"/>
  <c r="N440" i="3" s="1"/>
  <c r="L440" i="3"/>
  <c r="AC439" i="3"/>
  <c r="AB439" i="3"/>
  <c r="AA439" i="3"/>
  <c r="Z439" i="3"/>
  <c r="L439" i="3"/>
  <c r="M439" i="3" s="1"/>
  <c r="N439" i="3" s="1"/>
  <c r="AC438" i="3"/>
  <c r="AB438" i="3"/>
  <c r="AA438" i="3"/>
  <c r="Z438" i="3"/>
  <c r="L438" i="3"/>
  <c r="M438" i="3" s="1"/>
  <c r="N438" i="3" s="1"/>
  <c r="AC437" i="3"/>
  <c r="AB437" i="3"/>
  <c r="AA437" i="3"/>
  <c r="Z437" i="3"/>
  <c r="M437" i="3"/>
  <c r="N437" i="3" s="1"/>
  <c r="L437" i="3"/>
  <c r="AC436" i="3"/>
  <c r="AB436" i="3"/>
  <c r="AA436" i="3"/>
  <c r="Z436" i="3"/>
  <c r="L436" i="3"/>
  <c r="M436" i="3" s="1"/>
  <c r="N436" i="3" s="1"/>
  <c r="AC435" i="3"/>
  <c r="AB435" i="3"/>
  <c r="AA435" i="3"/>
  <c r="Z435" i="3"/>
  <c r="N435" i="3"/>
  <c r="M435" i="3"/>
  <c r="L435" i="3"/>
  <c r="AC434" i="3"/>
  <c r="AB434" i="3"/>
  <c r="AA434" i="3"/>
  <c r="Z434" i="3"/>
  <c r="M434" i="3"/>
  <c r="N434" i="3" s="1"/>
  <c r="L434" i="3"/>
  <c r="AC433" i="3"/>
  <c r="AB433" i="3"/>
  <c r="AA433" i="3"/>
  <c r="Z433" i="3"/>
  <c r="L433" i="3"/>
  <c r="M433" i="3" s="1"/>
  <c r="N433" i="3" s="1"/>
  <c r="AC432" i="3"/>
  <c r="AB432" i="3"/>
  <c r="AA432" i="3"/>
  <c r="Z432" i="3"/>
  <c r="M432" i="3"/>
  <c r="N432" i="3" s="1"/>
  <c r="L432" i="3"/>
  <c r="AC431" i="3"/>
  <c r="AB431" i="3"/>
  <c r="AA431" i="3"/>
  <c r="Z431" i="3"/>
  <c r="L431" i="3"/>
  <c r="M431" i="3" s="1"/>
  <c r="N431" i="3" s="1"/>
  <c r="AC430" i="3"/>
  <c r="AB430" i="3"/>
  <c r="AA430" i="3"/>
  <c r="Z430" i="3"/>
  <c r="L430" i="3"/>
  <c r="M430" i="3" s="1"/>
  <c r="N430" i="3" s="1"/>
  <c r="AC429" i="3"/>
  <c r="AB429" i="3"/>
  <c r="AA429" i="3"/>
  <c r="Z429" i="3"/>
  <c r="M429" i="3"/>
  <c r="N429" i="3" s="1"/>
  <c r="L429" i="3"/>
  <c r="AC428" i="3"/>
  <c r="AB428" i="3"/>
  <c r="AA428" i="3"/>
  <c r="Z428" i="3"/>
  <c r="L428" i="3"/>
  <c r="M428" i="3" s="1"/>
  <c r="N428" i="3" s="1"/>
  <c r="AC427" i="3"/>
  <c r="AB427" i="3"/>
  <c r="AA427" i="3"/>
  <c r="Z427" i="3"/>
  <c r="N427" i="3"/>
  <c r="M427" i="3"/>
  <c r="L427" i="3"/>
  <c r="AC426" i="3"/>
  <c r="AB426" i="3"/>
  <c r="AA426" i="3"/>
  <c r="Z426" i="3"/>
  <c r="M426" i="3"/>
  <c r="N426" i="3" s="1"/>
  <c r="L426" i="3"/>
  <c r="AC425" i="3"/>
  <c r="AB425" i="3"/>
  <c r="AA425" i="3"/>
  <c r="Z425" i="3"/>
  <c r="L425" i="3"/>
  <c r="M425" i="3" s="1"/>
  <c r="N425" i="3" s="1"/>
  <c r="AC424" i="3"/>
  <c r="AB424" i="3"/>
  <c r="AA424" i="3"/>
  <c r="Z424" i="3"/>
  <c r="M424" i="3"/>
  <c r="N424" i="3" s="1"/>
  <c r="L424" i="3"/>
  <c r="AC423" i="3"/>
  <c r="AB423" i="3"/>
  <c r="AA423" i="3"/>
  <c r="Z423" i="3"/>
  <c r="L423" i="3"/>
  <c r="M423" i="3" s="1"/>
  <c r="N423" i="3" s="1"/>
  <c r="AC422" i="3"/>
  <c r="AB422" i="3"/>
  <c r="AA422" i="3"/>
  <c r="Z422" i="3"/>
  <c r="L422" i="3"/>
  <c r="M422" i="3" s="1"/>
  <c r="N422" i="3" s="1"/>
  <c r="AC421" i="3"/>
  <c r="AB421" i="3"/>
  <c r="AA421" i="3"/>
  <c r="Z421" i="3"/>
  <c r="M421" i="3"/>
  <c r="N421" i="3" s="1"/>
  <c r="L421" i="3"/>
  <c r="AC420" i="3"/>
  <c r="AB420" i="3"/>
  <c r="AA420" i="3"/>
  <c r="Z420" i="3"/>
  <c r="L420" i="3"/>
  <c r="M420" i="3" s="1"/>
  <c r="N420" i="3" s="1"/>
  <c r="AC419" i="3"/>
  <c r="AB419" i="3"/>
  <c r="AA419" i="3"/>
  <c r="Z419" i="3"/>
  <c r="N419" i="3"/>
  <c r="M419" i="3"/>
  <c r="L419" i="3"/>
  <c r="AC418" i="3"/>
  <c r="AB418" i="3"/>
  <c r="AA418" i="3"/>
  <c r="Z418" i="3"/>
  <c r="M418" i="3"/>
  <c r="N418" i="3" s="1"/>
  <c r="L418" i="3"/>
  <c r="AC417" i="3"/>
  <c r="AB417" i="3"/>
  <c r="AA417" i="3"/>
  <c r="Z417" i="3"/>
  <c r="L417" i="3"/>
  <c r="M417" i="3" s="1"/>
  <c r="N417" i="3" s="1"/>
  <c r="AC416" i="3"/>
  <c r="AB416" i="3"/>
  <c r="AA416" i="3"/>
  <c r="Z416" i="3"/>
  <c r="M416" i="3"/>
  <c r="N416" i="3" s="1"/>
  <c r="L416" i="3"/>
  <c r="AC415" i="3"/>
  <c r="AB415" i="3"/>
  <c r="AA415" i="3"/>
  <c r="Z415" i="3"/>
  <c r="L415" i="3"/>
  <c r="M415" i="3" s="1"/>
  <c r="N415" i="3" s="1"/>
  <c r="AC414" i="3"/>
  <c r="AB414" i="3"/>
  <c r="AA414" i="3"/>
  <c r="Z414" i="3"/>
  <c r="L414" i="3"/>
  <c r="M414" i="3" s="1"/>
  <c r="N414" i="3" s="1"/>
  <c r="AC413" i="3"/>
  <c r="AB413" i="3"/>
  <c r="AA413" i="3"/>
  <c r="Z413" i="3"/>
  <c r="M413" i="3"/>
  <c r="N413" i="3" s="1"/>
  <c r="L413" i="3"/>
  <c r="AC412" i="3"/>
  <c r="AB412" i="3"/>
  <c r="AA412" i="3"/>
  <c r="Z412" i="3"/>
  <c r="L412" i="3"/>
  <c r="M412" i="3" s="1"/>
  <c r="N412" i="3" s="1"/>
  <c r="AC411" i="3"/>
  <c r="AB411" i="3"/>
  <c r="AA411" i="3"/>
  <c r="Z411" i="3"/>
  <c r="L411" i="3"/>
  <c r="M411" i="3" s="1"/>
  <c r="N411" i="3" s="1"/>
  <c r="AC410" i="3"/>
  <c r="AB410" i="3"/>
  <c r="AA410" i="3"/>
  <c r="Z410" i="3"/>
  <c r="M410" i="3"/>
  <c r="N410" i="3" s="1"/>
  <c r="L410" i="3"/>
  <c r="AC409" i="3"/>
  <c r="AB409" i="3"/>
  <c r="AA409" i="3"/>
  <c r="Z409" i="3"/>
  <c r="L409" i="3"/>
  <c r="M409" i="3" s="1"/>
  <c r="N409" i="3" s="1"/>
  <c r="AC408" i="3"/>
  <c r="AB408" i="3"/>
  <c r="AA408" i="3"/>
  <c r="Z408" i="3"/>
  <c r="M408" i="3"/>
  <c r="N408" i="3" s="1"/>
  <c r="L408" i="3"/>
  <c r="AC407" i="3"/>
  <c r="AB407" i="3"/>
  <c r="AA407" i="3"/>
  <c r="Z407" i="3"/>
  <c r="L407" i="3"/>
  <c r="M407" i="3" s="1"/>
  <c r="N407" i="3" s="1"/>
  <c r="AC406" i="3"/>
  <c r="AB406" i="3"/>
  <c r="AA406" i="3"/>
  <c r="Z406" i="3"/>
  <c r="L406" i="3"/>
  <c r="M406" i="3" s="1"/>
  <c r="N406" i="3" s="1"/>
  <c r="AC405" i="3"/>
  <c r="AB405" i="3"/>
  <c r="AA405" i="3"/>
  <c r="Z405" i="3"/>
  <c r="M405" i="3"/>
  <c r="N405" i="3" s="1"/>
  <c r="L405" i="3"/>
  <c r="AC404" i="3"/>
  <c r="AB404" i="3"/>
  <c r="AA404" i="3"/>
  <c r="Z404" i="3"/>
  <c r="L404" i="3"/>
  <c r="M404" i="3" s="1"/>
  <c r="N404" i="3" s="1"/>
  <c r="AC403" i="3"/>
  <c r="AB403" i="3"/>
  <c r="AA403" i="3"/>
  <c r="Z403" i="3"/>
  <c r="L403" i="3"/>
  <c r="M403" i="3" s="1"/>
  <c r="N403" i="3" s="1"/>
  <c r="AC402" i="3"/>
  <c r="AB402" i="3"/>
  <c r="AA402" i="3"/>
  <c r="Z402" i="3"/>
  <c r="M402" i="3"/>
  <c r="N402" i="3" s="1"/>
  <c r="L402" i="3"/>
  <c r="AC401" i="3"/>
  <c r="AB401" i="3"/>
  <c r="AA401" i="3"/>
  <c r="Z401" i="3"/>
  <c r="L401" i="3"/>
  <c r="M401" i="3" s="1"/>
  <c r="N401" i="3" s="1"/>
  <c r="AC400" i="3"/>
  <c r="AB400" i="3"/>
  <c r="AA400" i="3"/>
  <c r="Z400" i="3"/>
  <c r="M400" i="3"/>
  <c r="N400" i="3" s="1"/>
  <c r="L400" i="3"/>
  <c r="AC399" i="3"/>
  <c r="AB399" i="3"/>
  <c r="AA399" i="3"/>
  <c r="Z399" i="3"/>
  <c r="L399" i="3"/>
  <c r="M399" i="3" s="1"/>
  <c r="N399" i="3" s="1"/>
  <c r="AC398" i="3"/>
  <c r="AB398" i="3"/>
  <c r="AA398" i="3"/>
  <c r="Z398" i="3"/>
  <c r="L398" i="3"/>
  <c r="M398" i="3" s="1"/>
  <c r="N398" i="3" s="1"/>
  <c r="AC397" i="3"/>
  <c r="AB397" i="3"/>
  <c r="AA397" i="3"/>
  <c r="Z397" i="3"/>
  <c r="M397" i="3"/>
  <c r="N397" i="3" s="1"/>
  <c r="L397" i="3"/>
  <c r="AC396" i="3"/>
  <c r="AB396" i="3"/>
  <c r="AA396" i="3"/>
  <c r="Z396" i="3"/>
  <c r="L396" i="3"/>
  <c r="M396" i="3" s="1"/>
  <c r="N396" i="3" s="1"/>
  <c r="AC395" i="3"/>
  <c r="AB395" i="3"/>
  <c r="AA395" i="3"/>
  <c r="Z395" i="3"/>
  <c r="L395" i="3"/>
  <c r="M395" i="3" s="1"/>
  <c r="N395" i="3" s="1"/>
  <c r="AC394" i="3"/>
  <c r="AB394" i="3"/>
  <c r="AA394" i="3"/>
  <c r="Z394" i="3"/>
  <c r="M394" i="3"/>
  <c r="N394" i="3" s="1"/>
  <c r="L394" i="3"/>
  <c r="AC393" i="3"/>
  <c r="AB393" i="3"/>
  <c r="AA393" i="3"/>
  <c r="Z393" i="3"/>
  <c r="L393" i="3"/>
  <c r="M393" i="3" s="1"/>
  <c r="N393" i="3" s="1"/>
  <c r="AC392" i="3"/>
  <c r="AB392" i="3"/>
  <c r="AA392" i="3"/>
  <c r="Z392" i="3"/>
  <c r="M392" i="3"/>
  <c r="N392" i="3" s="1"/>
  <c r="L392" i="3"/>
  <c r="AC391" i="3"/>
  <c r="AB391" i="3"/>
  <c r="AA391" i="3"/>
  <c r="Z391" i="3"/>
  <c r="L391" i="3"/>
  <c r="M391" i="3" s="1"/>
  <c r="N391" i="3" s="1"/>
  <c r="AC390" i="3"/>
  <c r="AB390" i="3"/>
  <c r="AA390" i="3"/>
  <c r="Z390" i="3"/>
  <c r="L390" i="3"/>
  <c r="M390" i="3" s="1"/>
  <c r="N390" i="3" s="1"/>
  <c r="AC389" i="3"/>
  <c r="AB389" i="3"/>
  <c r="AA389" i="3"/>
  <c r="Z389" i="3"/>
  <c r="M389" i="3"/>
  <c r="N389" i="3" s="1"/>
  <c r="L389" i="3"/>
  <c r="AC388" i="3"/>
  <c r="AB388" i="3"/>
  <c r="AA388" i="3"/>
  <c r="Z388" i="3"/>
  <c r="L388" i="3"/>
  <c r="M388" i="3" s="1"/>
  <c r="N388" i="3" s="1"/>
  <c r="AC387" i="3"/>
  <c r="AB387" i="3"/>
  <c r="AA387" i="3"/>
  <c r="Z387" i="3"/>
  <c r="N387" i="3"/>
  <c r="M387" i="3"/>
  <c r="L387" i="3"/>
  <c r="AC386" i="3"/>
  <c r="AB386" i="3"/>
  <c r="AA386" i="3"/>
  <c r="Z386" i="3"/>
  <c r="M386" i="3"/>
  <c r="N386" i="3" s="1"/>
  <c r="L386" i="3"/>
  <c r="AC385" i="3"/>
  <c r="AB385" i="3"/>
  <c r="AA385" i="3"/>
  <c r="Z385" i="3"/>
  <c r="L385" i="3"/>
  <c r="M385" i="3" s="1"/>
  <c r="N385" i="3" s="1"/>
  <c r="AC384" i="3"/>
  <c r="AB384" i="3"/>
  <c r="AA384" i="3"/>
  <c r="Z384" i="3"/>
  <c r="M384" i="3"/>
  <c r="N384" i="3" s="1"/>
  <c r="L384" i="3"/>
  <c r="AC383" i="3"/>
  <c r="AB383" i="3"/>
  <c r="AA383" i="3"/>
  <c r="Z383" i="3"/>
  <c r="L383" i="3"/>
  <c r="M383" i="3" s="1"/>
  <c r="N383" i="3" s="1"/>
  <c r="AC382" i="3"/>
  <c r="AB382" i="3"/>
  <c r="AA382" i="3"/>
  <c r="Z382" i="3"/>
  <c r="L382" i="3"/>
  <c r="M382" i="3" s="1"/>
  <c r="N382" i="3" s="1"/>
  <c r="AC381" i="3"/>
  <c r="AB381" i="3"/>
  <c r="AA381" i="3"/>
  <c r="Z381" i="3"/>
  <c r="M381" i="3"/>
  <c r="N381" i="3" s="1"/>
  <c r="L381" i="3"/>
  <c r="AC380" i="3"/>
  <c r="AB380" i="3"/>
  <c r="AA380" i="3"/>
  <c r="Z380" i="3"/>
  <c r="L380" i="3"/>
  <c r="M380" i="3" s="1"/>
  <c r="N380" i="3" s="1"/>
  <c r="AC379" i="3"/>
  <c r="AB379" i="3"/>
  <c r="AA379" i="3"/>
  <c r="Z379" i="3"/>
  <c r="L379" i="3"/>
  <c r="M379" i="3" s="1"/>
  <c r="N379" i="3" s="1"/>
  <c r="AC378" i="3"/>
  <c r="AB378" i="3"/>
  <c r="AA378" i="3"/>
  <c r="Z378" i="3"/>
  <c r="M378" i="3"/>
  <c r="N378" i="3" s="1"/>
  <c r="L378" i="3"/>
  <c r="AC377" i="3"/>
  <c r="AB377" i="3"/>
  <c r="AA377" i="3"/>
  <c r="Z377" i="3"/>
  <c r="L377" i="3"/>
  <c r="M377" i="3" s="1"/>
  <c r="N377" i="3" s="1"/>
  <c r="AC376" i="3"/>
  <c r="AB376" i="3"/>
  <c r="AA376" i="3"/>
  <c r="Z376" i="3"/>
  <c r="M376" i="3"/>
  <c r="N376" i="3" s="1"/>
  <c r="L376" i="3"/>
  <c r="AC375" i="3"/>
  <c r="AB375" i="3"/>
  <c r="AA375" i="3"/>
  <c r="Z375" i="3"/>
  <c r="L375" i="3"/>
  <c r="M375" i="3" s="1"/>
  <c r="N375" i="3" s="1"/>
  <c r="AC374" i="3"/>
  <c r="AB374" i="3"/>
  <c r="AA374" i="3"/>
  <c r="Z374" i="3"/>
  <c r="L374" i="3"/>
  <c r="M374" i="3" s="1"/>
  <c r="N374" i="3" s="1"/>
  <c r="AC373" i="3"/>
  <c r="AB373" i="3"/>
  <c r="AA373" i="3"/>
  <c r="Z373" i="3"/>
  <c r="M373" i="3"/>
  <c r="N373" i="3" s="1"/>
  <c r="L373" i="3"/>
  <c r="AC372" i="3"/>
  <c r="AB372" i="3"/>
  <c r="AA372" i="3"/>
  <c r="Z372" i="3"/>
  <c r="L372" i="3"/>
  <c r="M372" i="3" s="1"/>
  <c r="N372" i="3" s="1"/>
  <c r="AC371" i="3"/>
  <c r="AB371" i="3"/>
  <c r="AA371" i="3"/>
  <c r="Z371" i="3"/>
  <c r="N371" i="3"/>
  <c r="M371" i="3"/>
  <c r="L371" i="3"/>
  <c r="AC370" i="3"/>
  <c r="AB370" i="3"/>
  <c r="AA370" i="3"/>
  <c r="Z370" i="3"/>
  <c r="M370" i="3"/>
  <c r="N370" i="3" s="1"/>
  <c r="L370" i="3"/>
  <c r="AC369" i="3"/>
  <c r="AB369" i="3"/>
  <c r="AA369" i="3"/>
  <c r="Z369" i="3"/>
  <c r="L369" i="3"/>
  <c r="M369" i="3" s="1"/>
  <c r="N369" i="3" s="1"/>
  <c r="AC368" i="3"/>
  <c r="AB368" i="3"/>
  <c r="AA368" i="3"/>
  <c r="Z368" i="3"/>
  <c r="M368" i="3"/>
  <c r="N368" i="3" s="1"/>
  <c r="L368" i="3"/>
  <c r="AC367" i="3"/>
  <c r="AB367" i="3"/>
  <c r="AA367" i="3"/>
  <c r="Z367" i="3"/>
  <c r="L367" i="3"/>
  <c r="M367" i="3" s="1"/>
  <c r="N367" i="3" s="1"/>
  <c r="AC366" i="3"/>
  <c r="AB366" i="3"/>
  <c r="AA366" i="3"/>
  <c r="Z366" i="3"/>
  <c r="L366" i="3"/>
  <c r="M366" i="3" s="1"/>
  <c r="N366" i="3" s="1"/>
  <c r="AC365" i="3"/>
  <c r="AB365" i="3"/>
  <c r="AA365" i="3"/>
  <c r="Z365" i="3"/>
  <c r="M365" i="3"/>
  <c r="N365" i="3" s="1"/>
  <c r="L365" i="3"/>
  <c r="AC364" i="3"/>
  <c r="AB364" i="3"/>
  <c r="AA364" i="3"/>
  <c r="Z364" i="3"/>
  <c r="L364" i="3"/>
  <c r="M364" i="3" s="1"/>
  <c r="N364" i="3" s="1"/>
  <c r="AC363" i="3"/>
  <c r="AB363" i="3"/>
  <c r="AA363" i="3"/>
  <c r="Z363" i="3"/>
  <c r="L363" i="3"/>
  <c r="M363" i="3" s="1"/>
  <c r="N363" i="3" s="1"/>
  <c r="AC362" i="3"/>
  <c r="AB362" i="3"/>
  <c r="AA362" i="3"/>
  <c r="Z362" i="3"/>
  <c r="M362" i="3"/>
  <c r="N362" i="3" s="1"/>
  <c r="L362" i="3"/>
  <c r="AC361" i="3"/>
  <c r="AB361" i="3"/>
  <c r="AA361" i="3"/>
  <c r="Z361" i="3"/>
  <c r="L361" i="3"/>
  <c r="M361" i="3" s="1"/>
  <c r="N361" i="3" s="1"/>
  <c r="AC360" i="3"/>
  <c r="AB360" i="3"/>
  <c r="AA360" i="3"/>
  <c r="Z360" i="3"/>
  <c r="M360" i="3"/>
  <c r="N360" i="3" s="1"/>
  <c r="L360" i="3"/>
  <c r="AC359" i="3"/>
  <c r="AB359" i="3"/>
  <c r="AA359" i="3"/>
  <c r="Z359" i="3"/>
  <c r="L359" i="3"/>
  <c r="M359" i="3" s="1"/>
  <c r="N359" i="3" s="1"/>
  <c r="AC358" i="3"/>
  <c r="AB358" i="3"/>
  <c r="AA358" i="3"/>
  <c r="Z358" i="3"/>
  <c r="L358" i="3"/>
  <c r="M358" i="3" s="1"/>
  <c r="N358" i="3" s="1"/>
  <c r="AC357" i="3"/>
  <c r="AB357" i="3"/>
  <c r="AA357" i="3"/>
  <c r="Z357" i="3"/>
  <c r="M357" i="3"/>
  <c r="N357" i="3" s="1"/>
  <c r="L357" i="3"/>
  <c r="AC356" i="3"/>
  <c r="AB356" i="3"/>
  <c r="AA356" i="3"/>
  <c r="Z356" i="3"/>
  <c r="L356" i="3"/>
  <c r="M356" i="3" s="1"/>
  <c r="N356" i="3" s="1"/>
  <c r="AC355" i="3"/>
  <c r="AB355" i="3"/>
  <c r="AA355" i="3"/>
  <c r="Z355" i="3"/>
  <c r="N355" i="3"/>
  <c r="M355" i="3"/>
  <c r="L355" i="3"/>
  <c r="AC354" i="3"/>
  <c r="AB354" i="3"/>
  <c r="AA354" i="3"/>
  <c r="Z354" i="3"/>
  <c r="M354" i="3"/>
  <c r="N354" i="3" s="1"/>
  <c r="L354" i="3"/>
  <c r="AC353" i="3"/>
  <c r="AB353" i="3"/>
  <c r="AA353" i="3"/>
  <c r="Z353" i="3"/>
  <c r="L353" i="3"/>
  <c r="M353" i="3" s="1"/>
  <c r="N353" i="3" s="1"/>
  <c r="AC352" i="3"/>
  <c r="AB352" i="3"/>
  <c r="AA352" i="3"/>
  <c r="Z352" i="3"/>
  <c r="M352" i="3"/>
  <c r="N352" i="3" s="1"/>
  <c r="L352" i="3"/>
  <c r="AC351" i="3"/>
  <c r="AB351" i="3"/>
  <c r="AA351" i="3"/>
  <c r="Z351" i="3"/>
  <c r="L351" i="3"/>
  <c r="M351" i="3" s="1"/>
  <c r="N351" i="3" s="1"/>
  <c r="AC350" i="3"/>
  <c r="AB350" i="3"/>
  <c r="AA350" i="3"/>
  <c r="Z350" i="3"/>
  <c r="L350" i="3"/>
  <c r="M350" i="3" s="1"/>
  <c r="N350" i="3" s="1"/>
  <c r="AC349" i="3"/>
  <c r="AB349" i="3"/>
  <c r="AA349" i="3"/>
  <c r="Z349" i="3"/>
  <c r="M349" i="3"/>
  <c r="N349" i="3" s="1"/>
  <c r="L349" i="3"/>
  <c r="AC348" i="3"/>
  <c r="AB348" i="3"/>
  <c r="AA348" i="3"/>
  <c r="Z348" i="3"/>
  <c r="L348" i="3"/>
  <c r="M348" i="3" s="1"/>
  <c r="N348" i="3" s="1"/>
  <c r="AC347" i="3"/>
  <c r="AB347" i="3"/>
  <c r="AA347" i="3"/>
  <c r="Z347" i="3"/>
  <c r="N347" i="3"/>
  <c r="M347" i="3"/>
  <c r="L347" i="3"/>
  <c r="AC346" i="3"/>
  <c r="AB346" i="3"/>
  <c r="AA346" i="3"/>
  <c r="Z346" i="3"/>
  <c r="M346" i="3"/>
  <c r="N346" i="3" s="1"/>
  <c r="L346" i="3"/>
  <c r="AC345" i="3"/>
  <c r="AB345" i="3"/>
  <c r="AA345" i="3"/>
  <c r="Z345" i="3"/>
  <c r="L345" i="3"/>
  <c r="M345" i="3" s="1"/>
  <c r="N345" i="3" s="1"/>
  <c r="AC344" i="3"/>
  <c r="AB344" i="3"/>
  <c r="AA344" i="3"/>
  <c r="Z344" i="3"/>
  <c r="M344" i="3"/>
  <c r="N344" i="3" s="1"/>
  <c r="L344" i="3"/>
  <c r="AC343" i="3"/>
  <c r="AB343" i="3"/>
  <c r="AA343" i="3"/>
  <c r="Z343" i="3"/>
  <c r="L343" i="3"/>
  <c r="M343" i="3" s="1"/>
  <c r="N343" i="3" s="1"/>
  <c r="AC342" i="3"/>
  <c r="AB342" i="3"/>
  <c r="AA342" i="3"/>
  <c r="Z342" i="3"/>
  <c r="L342" i="3"/>
  <c r="M342" i="3" s="1"/>
  <c r="N342" i="3" s="1"/>
  <c r="AC341" i="3"/>
  <c r="AB341" i="3"/>
  <c r="AA341" i="3"/>
  <c r="Z341" i="3"/>
  <c r="M341" i="3"/>
  <c r="N341" i="3" s="1"/>
  <c r="L341" i="3"/>
  <c r="AC340" i="3"/>
  <c r="AB340" i="3"/>
  <c r="AA340" i="3"/>
  <c r="Z340" i="3"/>
  <c r="L340" i="3"/>
  <c r="M340" i="3" s="1"/>
  <c r="N340" i="3" s="1"/>
  <c r="AC339" i="3"/>
  <c r="AB339" i="3"/>
  <c r="AA339" i="3"/>
  <c r="Z339" i="3"/>
  <c r="L339" i="3"/>
  <c r="M339" i="3" s="1"/>
  <c r="N339" i="3" s="1"/>
  <c r="AC338" i="3"/>
  <c r="AB338" i="3"/>
  <c r="AA338" i="3"/>
  <c r="Z338" i="3"/>
  <c r="M338" i="3"/>
  <c r="N338" i="3" s="1"/>
  <c r="L338" i="3"/>
  <c r="AC337" i="3"/>
  <c r="AB337" i="3"/>
  <c r="AA337" i="3"/>
  <c r="Z337" i="3"/>
  <c r="L337" i="3"/>
  <c r="M337" i="3" s="1"/>
  <c r="N337" i="3" s="1"/>
  <c r="AC336" i="3"/>
  <c r="AB336" i="3"/>
  <c r="AA336" i="3"/>
  <c r="Z336" i="3"/>
  <c r="M336" i="3"/>
  <c r="N336" i="3" s="1"/>
  <c r="L336" i="3"/>
  <c r="AC335" i="3"/>
  <c r="AB335" i="3"/>
  <c r="AA335" i="3"/>
  <c r="Z335" i="3"/>
  <c r="L335" i="3"/>
  <c r="M335" i="3" s="1"/>
  <c r="N335" i="3" s="1"/>
  <c r="AC334" i="3"/>
  <c r="AB334" i="3"/>
  <c r="AA334" i="3"/>
  <c r="Z334" i="3"/>
  <c r="L334" i="3"/>
  <c r="M334" i="3" s="1"/>
  <c r="N334" i="3" s="1"/>
  <c r="AC333" i="3"/>
  <c r="AB333" i="3"/>
  <c r="AA333" i="3"/>
  <c r="Z333" i="3"/>
  <c r="M333" i="3"/>
  <c r="N333" i="3" s="1"/>
  <c r="L333" i="3"/>
  <c r="AC332" i="3"/>
  <c r="AB332" i="3"/>
  <c r="AA332" i="3"/>
  <c r="Z332" i="3"/>
  <c r="L332" i="3"/>
  <c r="M332" i="3" s="1"/>
  <c r="N332" i="3" s="1"/>
  <c r="AC331" i="3"/>
  <c r="AB331" i="3"/>
  <c r="AA331" i="3"/>
  <c r="Z331" i="3"/>
  <c r="N331" i="3"/>
  <c r="M331" i="3"/>
  <c r="L331" i="3"/>
  <c r="AC330" i="3"/>
  <c r="AB330" i="3"/>
  <c r="AA330" i="3"/>
  <c r="Z330" i="3"/>
  <c r="M330" i="3"/>
  <c r="N330" i="3" s="1"/>
  <c r="L330" i="3"/>
  <c r="AC329" i="3"/>
  <c r="AB329" i="3"/>
  <c r="AA329" i="3"/>
  <c r="Z329" i="3"/>
  <c r="L329" i="3"/>
  <c r="M329" i="3" s="1"/>
  <c r="N329" i="3" s="1"/>
  <c r="AC328" i="3"/>
  <c r="AB328" i="3"/>
  <c r="AA328" i="3"/>
  <c r="Z328" i="3"/>
  <c r="M328" i="3"/>
  <c r="N328" i="3" s="1"/>
  <c r="L328" i="3"/>
  <c r="AC327" i="3"/>
  <c r="AB327" i="3"/>
  <c r="AA327" i="3"/>
  <c r="Z327" i="3"/>
  <c r="L327" i="3"/>
  <c r="M327" i="3" s="1"/>
  <c r="N327" i="3" s="1"/>
  <c r="AC326" i="3"/>
  <c r="AB326" i="3"/>
  <c r="AA326" i="3"/>
  <c r="Z326" i="3"/>
  <c r="L326" i="3"/>
  <c r="M326" i="3" s="1"/>
  <c r="N326" i="3" s="1"/>
  <c r="AC325" i="3"/>
  <c r="AB325" i="3"/>
  <c r="AA325" i="3"/>
  <c r="Z325" i="3"/>
  <c r="M325" i="3"/>
  <c r="N325" i="3" s="1"/>
  <c r="L325" i="3"/>
  <c r="AC324" i="3"/>
  <c r="AB324" i="3"/>
  <c r="AA324" i="3"/>
  <c r="Z324" i="3"/>
  <c r="L324" i="3"/>
  <c r="M324" i="3" s="1"/>
  <c r="N324" i="3" s="1"/>
  <c r="AC323" i="3"/>
  <c r="AB323" i="3"/>
  <c r="AA323" i="3"/>
  <c r="Z323" i="3"/>
  <c r="N323" i="3"/>
  <c r="M323" i="3"/>
  <c r="L323" i="3"/>
  <c r="AC322" i="3"/>
  <c r="AB322" i="3"/>
  <c r="AA322" i="3"/>
  <c r="Z322" i="3"/>
  <c r="M322" i="3"/>
  <c r="N322" i="3" s="1"/>
  <c r="L322" i="3"/>
  <c r="AC321" i="3"/>
  <c r="AB321" i="3"/>
  <c r="AA321" i="3"/>
  <c r="Z321" i="3"/>
  <c r="L321" i="3"/>
  <c r="M321" i="3" s="1"/>
  <c r="N321" i="3" s="1"/>
  <c r="AC320" i="3"/>
  <c r="AB320" i="3"/>
  <c r="AA320" i="3"/>
  <c r="Z320" i="3"/>
  <c r="M320" i="3"/>
  <c r="N320" i="3" s="1"/>
  <c r="L320" i="3"/>
  <c r="AC319" i="3"/>
  <c r="AB319" i="3"/>
  <c r="AA319" i="3"/>
  <c r="Z319" i="3"/>
  <c r="L319" i="3"/>
  <c r="M319" i="3" s="1"/>
  <c r="N319" i="3" s="1"/>
  <c r="AC318" i="3"/>
  <c r="AB318" i="3"/>
  <c r="AA318" i="3"/>
  <c r="Z318" i="3"/>
  <c r="L318" i="3"/>
  <c r="M318" i="3" s="1"/>
  <c r="N318" i="3" s="1"/>
  <c r="AC317" i="3"/>
  <c r="AB317" i="3"/>
  <c r="AA317" i="3"/>
  <c r="Z317" i="3"/>
  <c r="M317" i="3"/>
  <c r="N317" i="3" s="1"/>
  <c r="L317" i="3"/>
  <c r="AC316" i="3"/>
  <c r="AB316" i="3"/>
  <c r="AA316" i="3"/>
  <c r="Z316" i="3"/>
  <c r="L316" i="3"/>
  <c r="M316" i="3" s="1"/>
  <c r="N316" i="3" s="1"/>
  <c r="AC315" i="3"/>
  <c r="AB315" i="3"/>
  <c r="AA315" i="3"/>
  <c r="Z315" i="3"/>
  <c r="N315" i="3"/>
  <c r="M315" i="3"/>
  <c r="L315" i="3"/>
  <c r="AC314" i="3"/>
  <c r="AB314" i="3"/>
  <c r="AA314" i="3"/>
  <c r="Z314" i="3"/>
  <c r="M314" i="3"/>
  <c r="N314" i="3" s="1"/>
  <c r="L314" i="3"/>
  <c r="AC313" i="3"/>
  <c r="AB313" i="3"/>
  <c r="AA313" i="3"/>
  <c r="Z313" i="3"/>
  <c r="L313" i="3"/>
  <c r="M313" i="3" s="1"/>
  <c r="N313" i="3" s="1"/>
  <c r="AC312" i="3"/>
  <c r="AB312" i="3"/>
  <c r="AA312" i="3"/>
  <c r="Z312" i="3"/>
  <c r="M312" i="3"/>
  <c r="N312" i="3" s="1"/>
  <c r="L312" i="3"/>
  <c r="AC311" i="3"/>
  <c r="AB311" i="3"/>
  <c r="AA311" i="3"/>
  <c r="Z311" i="3"/>
  <c r="L311" i="3"/>
  <c r="M311" i="3" s="1"/>
  <c r="N311" i="3" s="1"/>
  <c r="AC310" i="3"/>
  <c r="AB310" i="3"/>
  <c r="AA310" i="3"/>
  <c r="Z310" i="3"/>
  <c r="L310" i="3"/>
  <c r="M310" i="3" s="1"/>
  <c r="N310" i="3" s="1"/>
  <c r="AC309" i="3"/>
  <c r="AB309" i="3"/>
  <c r="AA309" i="3"/>
  <c r="Z309" i="3"/>
  <c r="M309" i="3"/>
  <c r="N309" i="3" s="1"/>
  <c r="L309" i="3"/>
  <c r="AC308" i="3"/>
  <c r="AB308" i="3"/>
  <c r="AA308" i="3"/>
  <c r="Z308" i="3"/>
  <c r="L308" i="3"/>
  <c r="M308" i="3" s="1"/>
  <c r="N308" i="3" s="1"/>
  <c r="AC307" i="3"/>
  <c r="AB307" i="3"/>
  <c r="AA307" i="3"/>
  <c r="Z307" i="3"/>
  <c r="N307" i="3"/>
  <c r="M307" i="3"/>
  <c r="L307" i="3"/>
  <c r="AC306" i="3"/>
  <c r="AB306" i="3"/>
  <c r="AA306" i="3"/>
  <c r="Z306" i="3"/>
  <c r="M306" i="3"/>
  <c r="N306" i="3" s="1"/>
  <c r="L306" i="3"/>
  <c r="AC305" i="3"/>
  <c r="AB305" i="3"/>
  <c r="AA305" i="3"/>
  <c r="Z305" i="3"/>
  <c r="L305" i="3"/>
  <c r="M305" i="3" s="1"/>
  <c r="N305" i="3" s="1"/>
  <c r="AC304" i="3"/>
  <c r="AB304" i="3"/>
  <c r="AA304" i="3"/>
  <c r="Z304" i="3"/>
  <c r="M304" i="3"/>
  <c r="N304" i="3" s="1"/>
  <c r="L304" i="3"/>
  <c r="AC303" i="3"/>
  <c r="AB303" i="3"/>
  <c r="AA303" i="3"/>
  <c r="Z303" i="3"/>
  <c r="L303" i="3"/>
  <c r="M303" i="3" s="1"/>
  <c r="N303" i="3" s="1"/>
  <c r="AC302" i="3"/>
  <c r="AB302" i="3"/>
  <c r="AA302" i="3"/>
  <c r="Z302" i="3"/>
  <c r="L302" i="3"/>
  <c r="M302" i="3" s="1"/>
  <c r="N302" i="3" s="1"/>
  <c r="AC301" i="3"/>
  <c r="AB301" i="3"/>
  <c r="AA301" i="3"/>
  <c r="Z301" i="3"/>
  <c r="M301" i="3"/>
  <c r="N301" i="3" s="1"/>
  <c r="L301" i="3"/>
  <c r="AC300" i="3"/>
  <c r="AB300" i="3"/>
  <c r="AA300" i="3"/>
  <c r="Z300" i="3"/>
  <c r="L300" i="3"/>
  <c r="M300" i="3" s="1"/>
  <c r="N300" i="3" s="1"/>
  <c r="AC299" i="3"/>
  <c r="AB299" i="3"/>
  <c r="AA299" i="3"/>
  <c r="Z299" i="3"/>
  <c r="N299" i="3"/>
  <c r="L299" i="3"/>
  <c r="M299" i="3" s="1"/>
  <c r="AC298" i="3"/>
  <c r="AB298" i="3"/>
  <c r="AA298" i="3"/>
  <c r="Z298" i="3"/>
  <c r="M298" i="3"/>
  <c r="N298" i="3" s="1"/>
  <c r="L298" i="3"/>
  <c r="AC297" i="3"/>
  <c r="AB297" i="3"/>
  <c r="AA297" i="3"/>
  <c r="Z297" i="3"/>
  <c r="L297" i="3"/>
  <c r="M297" i="3" s="1"/>
  <c r="N297" i="3" s="1"/>
  <c r="AC296" i="3"/>
  <c r="AB296" i="3"/>
  <c r="AA296" i="3"/>
  <c r="Z296" i="3"/>
  <c r="M296" i="3"/>
  <c r="N296" i="3" s="1"/>
  <c r="L296" i="3"/>
  <c r="AC295" i="3"/>
  <c r="AB295" i="3"/>
  <c r="AA295" i="3"/>
  <c r="Z295" i="3"/>
  <c r="L295" i="3"/>
  <c r="M295" i="3" s="1"/>
  <c r="N295" i="3" s="1"/>
  <c r="AC294" i="3"/>
  <c r="AB294" i="3"/>
  <c r="AA294" i="3"/>
  <c r="Z294" i="3"/>
  <c r="N294" i="3"/>
  <c r="L294" i="3"/>
  <c r="M294" i="3" s="1"/>
  <c r="AC293" i="3"/>
  <c r="AB293" i="3"/>
  <c r="AA293" i="3"/>
  <c r="Z293" i="3"/>
  <c r="M293" i="3"/>
  <c r="N293" i="3" s="1"/>
  <c r="L293" i="3"/>
  <c r="AC292" i="3"/>
  <c r="AB292" i="3"/>
  <c r="AA292" i="3"/>
  <c r="Z292" i="3"/>
  <c r="L292" i="3"/>
  <c r="M292" i="3" s="1"/>
  <c r="N292" i="3" s="1"/>
  <c r="AC291" i="3"/>
  <c r="AB291" i="3"/>
  <c r="AA291" i="3"/>
  <c r="Z291" i="3"/>
  <c r="N291" i="3"/>
  <c r="M291" i="3"/>
  <c r="L291" i="3"/>
  <c r="AC290" i="3"/>
  <c r="AB290" i="3"/>
  <c r="AA290" i="3"/>
  <c r="Z290" i="3"/>
  <c r="M290" i="3"/>
  <c r="N290" i="3" s="1"/>
  <c r="L290" i="3"/>
  <c r="AC289" i="3"/>
  <c r="AB289" i="3"/>
  <c r="AA289" i="3"/>
  <c r="Z289" i="3"/>
  <c r="L289" i="3"/>
  <c r="M289" i="3" s="1"/>
  <c r="N289" i="3" s="1"/>
  <c r="AC288" i="3"/>
  <c r="AB288" i="3"/>
  <c r="AA288" i="3"/>
  <c r="Z288" i="3"/>
  <c r="N288" i="3"/>
  <c r="M288" i="3"/>
  <c r="L288" i="3"/>
  <c r="AC287" i="3"/>
  <c r="AB287" i="3"/>
  <c r="AA287" i="3"/>
  <c r="Z287" i="3"/>
  <c r="M287" i="3"/>
  <c r="N287" i="3" s="1"/>
  <c r="L287" i="3"/>
  <c r="AC286" i="3"/>
  <c r="AB286" i="3"/>
  <c r="AA286" i="3"/>
  <c r="Z286" i="3"/>
  <c r="N286" i="3"/>
  <c r="L286" i="3"/>
  <c r="M286" i="3" s="1"/>
  <c r="AC285" i="3"/>
  <c r="AB285" i="3"/>
  <c r="AA285" i="3"/>
  <c r="Z285" i="3"/>
  <c r="M285" i="3"/>
  <c r="N285" i="3" s="1"/>
  <c r="L285" i="3"/>
  <c r="AC284" i="3"/>
  <c r="AB284" i="3"/>
  <c r="AA284" i="3"/>
  <c r="Z284" i="3"/>
  <c r="L284" i="3"/>
  <c r="M284" i="3" s="1"/>
  <c r="N284" i="3" s="1"/>
  <c r="AC283" i="3"/>
  <c r="AB283" i="3"/>
  <c r="AA283" i="3"/>
  <c r="Z283" i="3"/>
  <c r="N283" i="3"/>
  <c r="M283" i="3"/>
  <c r="L283" i="3"/>
  <c r="AC282" i="3"/>
  <c r="AB282" i="3"/>
  <c r="AA282" i="3"/>
  <c r="Z282" i="3"/>
  <c r="M282" i="3"/>
  <c r="N282" i="3" s="1"/>
  <c r="L282" i="3"/>
  <c r="AC281" i="3"/>
  <c r="AB281" i="3"/>
  <c r="AA281" i="3"/>
  <c r="Z281" i="3"/>
  <c r="L281" i="3"/>
  <c r="M281" i="3" s="1"/>
  <c r="N281" i="3" s="1"/>
  <c r="AC280" i="3"/>
  <c r="AB280" i="3"/>
  <c r="AA280" i="3"/>
  <c r="Z280" i="3"/>
  <c r="N280" i="3"/>
  <c r="M280" i="3"/>
  <c r="L280" i="3"/>
  <c r="AC279" i="3"/>
  <c r="AB279" i="3"/>
  <c r="AA279" i="3"/>
  <c r="Z279" i="3"/>
  <c r="M279" i="3"/>
  <c r="N279" i="3" s="1"/>
  <c r="L279" i="3"/>
  <c r="AC278" i="3"/>
  <c r="AB278" i="3"/>
  <c r="AA278" i="3"/>
  <c r="Z278" i="3"/>
  <c r="N278" i="3"/>
  <c r="L278" i="3"/>
  <c r="M278" i="3" s="1"/>
  <c r="AC277" i="3"/>
  <c r="AB277" i="3"/>
  <c r="AA277" i="3"/>
  <c r="Z277" i="3"/>
  <c r="M277" i="3"/>
  <c r="N277" i="3" s="1"/>
  <c r="L277" i="3"/>
  <c r="AC276" i="3"/>
  <c r="AB276" i="3"/>
  <c r="AA276" i="3"/>
  <c r="Z276" i="3"/>
  <c r="L276" i="3"/>
  <c r="M276" i="3" s="1"/>
  <c r="N276" i="3" s="1"/>
  <c r="AC275" i="3"/>
  <c r="AB275" i="3"/>
  <c r="AA275" i="3"/>
  <c r="Z275" i="3"/>
  <c r="N275" i="3"/>
  <c r="L275" i="3"/>
  <c r="M275" i="3" s="1"/>
  <c r="AC274" i="3"/>
  <c r="AB274" i="3"/>
  <c r="AA274" i="3"/>
  <c r="Z274" i="3"/>
  <c r="M274" i="3"/>
  <c r="N274" i="3" s="1"/>
  <c r="L274" i="3"/>
  <c r="AC273" i="3"/>
  <c r="AB273" i="3"/>
  <c r="AA273" i="3"/>
  <c r="Z273" i="3"/>
  <c r="L273" i="3"/>
  <c r="M273" i="3" s="1"/>
  <c r="N273" i="3" s="1"/>
  <c r="AC272" i="3"/>
  <c r="AB272" i="3"/>
  <c r="AA272" i="3"/>
  <c r="Z272" i="3"/>
  <c r="N272" i="3"/>
  <c r="M272" i="3"/>
  <c r="L272" i="3"/>
  <c r="AC271" i="3"/>
  <c r="AB271" i="3"/>
  <c r="AA271" i="3"/>
  <c r="Z271" i="3"/>
  <c r="L271" i="3"/>
  <c r="M271" i="3" s="1"/>
  <c r="N271" i="3" s="1"/>
  <c r="AC270" i="3"/>
  <c r="AB270" i="3"/>
  <c r="AA270" i="3"/>
  <c r="Z270" i="3"/>
  <c r="N270" i="3"/>
  <c r="L270" i="3"/>
  <c r="M270" i="3" s="1"/>
  <c r="AC269" i="3"/>
  <c r="AB269" i="3"/>
  <c r="AA269" i="3"/>
  <c r="Z269" i="3"/>
  <c r="M269" i="3"/>
  <c r="N269" i="3" s="1"/>
  <c r="L269" i="3"/>
  <c r="AC268" i="3"/>
  <c r="AB268" i="3"/>
  <c r="AA268" i="3"/>
  <c r="Z268" i="3"/>
  <c r="L268" i="3"/>
  <c r="M268" i="3" s="1"/>
  <c r="N268" i="3" s="1"/>
  <c r="AC267" i="3"/>
  <c r="AB267" i="3"/>
  <c r="AA267" i="3"/>
  <c r="Z267" i="3"/>
  <c r="L267" i="3"/>
  <c r="M267" i="3" s="1"/>
  <c r="N267" i="3" s="1"/>
  <c r="AC266" i="3"/>
  <c r="AB266" i="3"/>
  <c r="AA266" i="3"/>
  <c r="Z266" i="3"/>
  <c r="M266" i="3"/>
  <c r="N266" i="3" s="1"/>
  <c r="L266" i="3"/>
  <c r="AC265" i="3"/>
  <c r="AB265" i="3"/>
  <c r="AA265" i="3"/>
  <c r="Z265" i="3"/>
  <c r="L265" i="3"/>
  <c r="M265" i="3" s="1"/>
  <c r="N265" i="3" s="1"/>
  <c r="AC264" i="3"/>
  <c r="AB264" i="3"/>
  <c r="AA264" i="3"/>
  <c r="Z264" i="3"/>
  <c r="N264" i="3"/>
  <c r="M264" i="3"/>
  <c r="L264" i="3"/>
  <c r="AC263" i="3"/>
  <c r="AB263" i="3"/>
  <c r="AA263" i="3"/>
  <c r="Z263" i="3"/>
  <c r="M263" i="3"/>
  <c r="N263" i="3" s="1"/>
  <c r="L263" i="3"/>
  <c r="AC262" i="3"/>
  <c r="AB262" i="3"/>
  <c r="AA262" i="3"/>
  <c r="Z262" i="3"/>
  <c r="L262" i="3"/>
  <c r="M262" i="3" s="1"/>
  <c r="N262" i="3" s="1"/>
  <c r="AC261" i="3"/>
  <c r="AB261" i="3"/>
  <c r="AA261" i="3"/>
  <c r="Z261" i="3"/>
  <c r="M261" i="3"/>
  <c r="N261" i="3" s="1"/>
  <c r="L261" i="3"/>
  <c r="AC260" i="3"/>
  <c r="AB260" i="3"/>
  <c r="AA260" i="3"/>
  <c r="Z260" i="3"/>
  <c r="L260" i="3"/>
  <c r="M260" i="3" s="1"/>
  <c r="N260" i="3" s="1"/>
  <c r="AC259" i="3"/>
  <c r="AB259" i="3"/>
  <c r="AA259" i="3"/>
  <c r="Z259" i="3"/>
  <c r="N259" i="3"/>
  <c r="L259" i="3"/>
  <c r="M259" i="3" s="1"/>
  <c r="AC258" i="3"/>
  <c r="AB258" i="3"/>
  <c r="AA258" i="3"/>
  <c r="Z258" i="3"/>
  <c r="M258" i="3"/>
  <c r="N258" i="3" s="1"/>
  <c r="L258" i="3"/>
  <c r="AC257" i="3"/>
  <c r="AB257" i="3"/>
  <c r="AA257" i="3"/>
  <c r="Z257" i="3"/>
  <c r="L257" i="3"/>
  <c r="M257" i="3" s="1"/>
  <c r="N257" i="3" s="1"/>
  <c r="AC256" i="3"/>
  <c r="AB256" i="3"/>
  <c r="AA256" i="3"/>
  <c r="Z256" i="3"/>
  <c r="N256" i="3"/>
  <c r="M256" i="3"/>
  <c r="L256" i="3"/>
  <c r="AC255" i="3"/>
  <c r="AB255" i="3"/>
  <c r="AA255" i="3"/>
  <c r="Z255" i="3"/>
  <c r="M255" i="3"/>
  <c r="N255" i="3" s="1"/>
  <c r="L255" i="3"/>
  <c r="AC254" i="3"/>
  <c r="AB254" i="3"/>
  <c r="AA254" i="3"/>
  <c r="Z254" i="3"/>
  <c r="N254" i="3"/>
  <c r="L254" i="3"/>
  <c r="M254" i="3" s="1"/>
  <c r="AC253" i="3"/>
  <c r="AB253" i="3"/>
  <c r="AA253" i="3"/>
  <c r="Z253" i="3"/>
  <c r="M253" i="3"/>
  <c r="N253" i="3" s="1"/>
  <c r="L253" i="3"/>
  <c r="AC252" i="3"/>
  <c r="AB252" i="3"/>
  <c r="AA252" i="3"/>
  <c r="Z252" i="3"/>
  <c r="L252" i="3"/>
  <c r="M252" i="3" s="1"/>
  <c r="N252" i="3" s="1"/>
  <c r="AC251" i="3"/>
  <c r="AB251" i="3"/>
  <c r="AA251" i="3"/>
  <c r="Z251" i="3"/>
  <c r="N251" i="3"/>
  <c r="M251" i="3"/>
  <c r="L251" i="3"/>
  <c r="AC250" i="3"/>
  <c r="AB250" i="3"/>
  <c r="AA250" i="3"/>
  <c r="Z250" i="3"/>
  <c r="M250" i="3"/>
  <c r="N250" i="3" s="1"/>
  <c r="L250" i="3"/>
  <c r="AC249" i="3"/>
  <c r="AB249" i="3"/>
  <c r="AA249" i="3"/>
  <c r="Z249" i="3"/>
  <c r="L249" i="3"/>
  <c r="M249" i="3" s="1"/>
  <c r="N249" i="3" s="1"/>
  <c r="AC248" i="3"/>
  <c r="AB248" i="3"/>
  <c r="AA248" i="3"/>
  <c r="Z248" i="3"/>
  <c r="L248" i="3"/>
  <c r="M248" i="3" s="1"/>
  <c r="N248" i="3" s="1"/>
  <c r="AC247" i="3"/>
  <c r="AB247" i="3"/>
  <c r="AA247" i="3"/>
  <c r="Z247" i="3"/>
  <c r="L247" i="3"/>
  <c r="M247" i="3" s="1"/>
  <c r="N247" i="3" s="1"/>
  <c r="AC246" i="3"/>
  <c r="AB246" i="3"/>
  <c r="AA246" i="3"/>
  <c r="Z246" i="3"/>
  <c r="N246" i="3"/>
  <c r="L246" i="3"/>
  <c r="M246" i="3" s="1"/>
  <c r="AC245" i="3"/>
  <c r="AB245" i="3"/>
  <c r="AA245" i="3"/>
  <c r="Z245" i="3"/>
  <c r="M245" i="3"/>
  <c r="N245" i="3" s="1"/>
  <c r="L245" i="3"/>
  <c r="AC244" i="3"/>
  <c r="AB244" i="3"/>
  <c r="AA244" i="3"/>
  <c r="Z244" i="3"/>
  <c r="L244" i="3"/>
  <c r="M244" i="3" s="1"/>
  <c r="N244" i="3" s="1"/>
  <c r="AC243" i="3"/>
  <c r="AB243" i="3"/>
  <c r="AA243" i="3"/>
  <c r="Z243" i="3"/>
  <c r="L243" i="3"/>
  <c r="M243" i="3" s="1"/>
  <c r="N243" i="3" s="1"/>
  <c r="AC242" i="3"/>
  <c r="AB242" i="3"/>
  <c r="AA242" i="3"/>
  <c r="Z242" i="3"/>
  <c r="M242" i="3"/>
  <c r="N242" i="3" s="1"/>
  <c r="L242" i="3"/>
  <c r="AC241" i="3"/>
  <c r="AB241" i="3"/>
  <c r="AA241" i="3"/>
  <c r="Z241" i="3"/>
  <c r="L241" i="3"/>
  <c r="M241" i="3" s="1"/>
  <c r="N241" i="3" s="1"/>
  <c r="AC240" i="3"/>
  <c r="AB240" i="3"/>
  <c r="AA240" i="3"/>
  <c r="Z240" i="3"/>
  <c r="L240" i="3"/>
  <c r="M240" i="3" s="1"/>
  <c r="N240" i="3" s="1"/>
  <c r="AC239" i="3"/>
  <c r="AB239" i="3"/>
  <c r="AA239" i="3"/>
  <c r="Z239" i="3"/>
  <c r="L239" i="3"/>
  <c r="M239" i="3" s="1"/>
  <c r="N239" i="3" s="1"/>
  <c r="AC238" i="3"/>
  <c r="AB238" i="3"/>
  <c r="AA238" i="3"/>
  <c r="Z238" i="3"/>
  <c r="L238" i="3"/>
  <c r="M238" i="3" s="1"/>
  <c r="N238" i="3" s="1"/>
  <c r="AC237" i="3"/>
  <c r="AB237" i="3"/>
  <c r="AA237" i="3"/>
  <c r="Z237" i="3"/>
  <c r="M237" i="3"/>
  <c r="N237" i="3" s="1"/>
  <c r="L237" i="3"/>
  <c r="AC236" i="3"/>
  <c r="AB236" i="3"/>
  <c r="AA236" i="3"/>
  <c r="Z236" i="3"/>
  <c r="L236" i="3"/>
  <c r="M236" i="3" s="1"/>
  <c r="N236" i="3" s="1"/>
  <c r="AC235" i="3"/>
  <c r="AB235" i="3"/>
  <c r="AA235" i="3"/>
  <c r="Z235" i="3"/>
  <c r="N235" i="3"/>
  <c r="L235" i="3"/>
  <c r="M235" i="3" s="1"/>
  <c r="AC234" i="3"/>
  <c r="AB234" i="3"/>
  <c r="AA234" i="3"/>
  <c r="Z234" i="3"/>
  <c r="M234" i="3"/>
  <c r="N234" i="3" s="1"/>
  <c r="L234" i="3"/>
  <c r="AC233" i="3"/>
  <c r="AB233" i="3"/>
  <c r="AA233" i="3"/>
  <c r="Z233" i="3"/>
  <c r="L233" i="3"/>
  <c r="M233" i="3" s="1"/>
  <c r="N233" i="3" s="1"/>
  <c r="AC232" i="3"/>
  <c r="AB232" i="3"/>
  <c r="AA232" i="3"/>
  <c r="Z232" i="3"/>
  <c r="L232" i="3"/>
  <c r="M232" i="3" s="1"/>
  <c r="N232" i="3" s="1"/>
  <c r="AC231" i="3"/>
  <c r="AB231" i="3"/>
  <c r="AA231" i="3"/>
  <c r="Z231" i="3"/>
  <c r="L231" i="3"/>
  <c r="M231" i="3" s="1"/>
  <c r="N231" i="3" s="1"/>
  <c r="AC230" i="3"/>
  <c r="AB230" i="3"/>
  <c r="AA230" i="3"/>
  <c r="Z230" i="3"/>
  <c r="N230" i="3"/>
  <c r="M230" i="3"/>
  <c r="L230" i="3"/>
  <c r="AC229" i="3"/>
  <c r="AB229" i="3"/>
  <c r="AA229" i="3"/>
  <c r="Z229" i="3"/>
  <c r="M229" i="3"/>
  <c r="N229" i="3" s="1"/>
  <c r="L229" i="3"/>
  <c r="AC228" i="3"/>
  <c r="AB228" i="3"/>
  <c r="AA228" i="3"/>
  <c r="Z228" i="3"/>
  <c r="L228" i="3"/>
  <c r="M228" i="3" s="1"/>
  <c r="N228" i="3" s="1"/>
  <c r="AC227" i="3"/>
  <c r="AB227" i="3"/>
  <c r="AA227" i="3"/>
  <c r="Z227" i="3"/>
  <c r="N227" i="3"/>
  <c r="M227" i="3"/>
  <c r="L227" i="3"/>
  <c r="AC226" i="3"/>
  <c r="AB226" i="3"/>
  <c r="AA226" i="3"/>
  <c r="Z226" i="3"/>
  <c r="M226" i="3"/>
  <c r="N226" i="3" s="1"/>
  <c r="L226" i="3"/>
  <c r="AC225" i="3"/>
  <c r="AB225" i="3"/>
  <c r="AA225" i="3"/>
  <c r="Z225" i="3"/>
  <c r="M225" i="3"/>
  <c r="N225" i="3" s="1"/>
  <c r="L225" i="3"/>
  <c r="AC224" i="3"/>
  <c r="AB224" i="3"/>
  <c r="AA224" i="3"/>
  <c r="Z224" i="3"/>
  <c r="L224" i="3"/>
  <c r="M224" i="3" s="1"/>
  <c r="N224" i="3" s="1"/>
  <c r="AC223" i="3"/>
  <c r="AB223" i="3"/>
  <c r="AA223" i="3"/>
  <c r="Z223" i="3"/>
  <c r="M223" i="3"/>
  <c r="N223" i="3" s="1"/>
  <c r="L223" i="3"/>
  <c r="AC222" i="3"/>
  <c r="AB222" i="3"/>
  <c r="AA222" i="3"/>
  <c r="Z222" i="3"/>
  <c r="L222" i="3"/>
  <c r="M222" i="3" s="1"/>
  <c r="N222" i="3" s="1"/>
  <c r="AC221" i="3"/>
  <c r="AB221" i="3"/>
  <c r="AA221" i="3"/>
  <c r="Z221" i="3"/>
  <c r="M221" i="3"/>
  <c r="N221" i="3" s="1"/>
  <c r="L221" i="3"/>
  <c r="AC220" i="3"/>
  <c r="AB220" i="3"/>
  <c r="AA220" i="3"/>
  <c r="Z220" i="3"/>
  <c r="L220" i="3"/>
  <c r="M220" i="3" s="1"/>
  <c r="N220" i="3" s="1"/>
  <c r="AC219" i="3"/>
  <c r="AB219" i="3"/>
  <c r="AA219" i="3"/>
  <c r="Z219" i="3"/>
  <c r="M219" i="3"/>
  <c r="N219" i="3" s="1"/>
  <c r="L219" i="3"/>
  <c r="AC218" i="3"/>
  <c r="AB218" i="3"/>
  <c r="AA218" i="3"/>
  <c r="Z218" i="3"/>
  <c r="L218" i="3"/>
  <c r="M218" i="3" s="1"/>
  <c r="N218" i="3" s="1"/>
  <c r="AC217" i="3"/>
  <c r="AB217" i="3"/>
  <c r="AA217" i="3"/>
  <c r="Z217" i="3"/>
  <c r="M217" i="3"/>
  <c r="N217" i="3" s="1"/>
  <c r="L217" i="3"/>
  <c r="AC216" i="3"/>
  <c r="AB216" i="3"/>
  <c r="AA216" i="3"/>
  <c r="Z216" i="3"/>
  <c r="L216" i="3"/>
  <c r="M216" i="3" s="1"/>
  <c r="N216" i="3" s="1"/>
  <c r="AC215" i="3"/>
  <c r="AB215" i="3"/>
  <c r="AA215" i="3"/>
  <c r="Z215" i="3"/>
  <c r="L215" i="3"/>
  <c r="M215" i="3" s="1"/>
  <c r="N215" i="3" s="1"/>
  <c r="AC214" i="3"/>
  <c r="AB214" i="3"/>
  <c r="AA214" i="3"/>
  <c r="Z214" i="3"/>
  <c r="N214" i="3"/>
  <c r="M214" i="3"/>
  <c r="L214" i="3"/>
  <c r="AC213" i="3"/>
  <c r="AB213" i="3"/>
  <c r="AA213" i="3"/>
  <c r="Z213" i="3"/>
  <c r="M213" i="3"/>
  <c r="N213" i="3" s="1"/>
  <c r="L213" i="3"/>
  <c r="AC212" i="3"/>
  <c r="AB212" i="3"/>
  <c r="AA212" i="3"/>
  <c r="Z212" i="3"/>
  <c r="L212" i="3"/>
  <c r="M212" i="3" s="1"/>
  <c r="N212" i="3" s="1"/>
  <c r="AC211" i="3"/>
  <c r="AB211" i="3"/>
  <c r="AA211" i="3"/>
  <c r="Z211" i="3"/>
  <c r="M211" i="3"/>
  <c r="N211" i="3" s="1"/>
  <c r="L211" i="3"/>
  <c r="AC210" i="3"/>
  <c r="AB210" i="3"/>
  <c r="AA210" i="3"/>
  <c r="Z210" i="3"/>
  <c r="L210" i="3"/>
  <c r="M210" i="3" s="1"/>
  <c r="N210" i="3" s="1"/>
  <c r="AC209" i="3"/>
  <c r="AB209" i="3"/>
  <c r="AA209" i="3"/>
  <c r="Z209" i="3"/>
  <c r="M209" i="3"/>
  <c r="N209" i="3" s="1"/>
  <c r="L209" i="3"/>
  <c r="AC208" i="3"/>
  <c r="AB208" i="3"/>
  <c r="AA208" i="3"/>
  <c r="Z208" i="3"/>
  <c r="L208" i="3"/>
  <c r="M208" i="3" s="1"/>
  <c r="N208" i="3" s="1"/>
  <c r="AC207" i="3"/>
  <c r="AB207" i="3"/>
  <c r="AA207" i="3"/>
  <c r="Z207" i="3"/>
  <c r="L207" i="3"/>
  <c r="M207" i="3" s="1"/>
  <c r="N207" i="3" s="1"/>
  <c r="AC206" i="3"/>
  <c r="AB206" i="3"/>
  <c r="AA206" i="3"/>
  <c r="Z206" i="3"/>
  <c r="N206" i="3"/>
  <c r="M206" i="3"/>
  <c r="L206" i="3"/>
  <c r="AC205" i="3"/>
  <c r="AB205" i="3"/>
  <c r="AA205" i="3"/>
  <c r="Z205" i="3"/>
  <c r="M205" i="3"/>
  <c r="N205" i="3" s="1"/>
  <c r="L205" i="3"/>
  <c r="AC204" i="3"/>
  <c r="AB204" i="3"/>
  <c r="AA204" i="3"/>
  <c r="Z204" i="3"/>
  <c r="L204" i="3"/>
  <c r="M204" i="3" s="1"/>
  <c r="N204" i="3" s="1"/>
  <c r="AC203" i="3"/>
  <c r="AB203" i="3"/>
  <c r="AA203" i="3"/>
  <c r="Z203" i="3"/>
  <c r="M203" i="3"/>
  <c r="N203" i="3" s="1"/>
  <c r="L203" i="3"/>
  <c r="AC202" i="3"/>
  <c r="AB202" i="3"/>
  <c r="AA202" i="3"/>
  <c r="Z202" i="3"/>
  <c r="L202" i="3"/>
  <c r="M202" i="3" s="1"/>
  <c r="N202" i="3" s="1"/>
  <c r="AC201" i="3"/>
  <c r="AB201" i="3"/>
  <c r="AA201" i="3"/>
  <c r="Z201" i="3"/>
  <c r="M201" i="3"/>
  <c r="N201" i="3" s="1"/>
  <c r="L201" i="3"/>
  <c r="AC200" i="3"/>
  <c r="AB200" i="3"/>
  <c r="AA200" i="3"/>
  <c r="Z200" i="3"/>
  <c r="L200" i="3"/>
  <c r="M200" i="3" s="1"/>
  <c r="N200" i="3" s="1"/>
  <c r="AC199" i="3"/>
  <c r="AB199" i="3"/>
  <c r="AA199" i="3"/>
  <c r="Z199" i="3"/>
  <c r="L199" i="3"/>
  <c r="M199" i="3" s="1"/>
  <c r="N199" i="3" s="1"/>
  <c r="AC198" i="3"/>
  <c r="AB198" i="3"/>
  <c r="AA198" i="3"/>
  <c r="Z198" i="3"/>
  <c r="N198" i="3"/>
  <c r="M198" i="3"/>
  <c r="L198" i="3"/>
  <c r="AC197" i="3"/>
  <c r="AB197" i="3"/>
  <c r="AA197" i="3"/>
  <c r="Z197" i="3"/>
  <c r="M197" i="3"/>
  <c r="N197" i="3" s="1"/>
  <c r="L197" i="3"/>
  <c r="AC196" i="3"/>
  <c r="AB196" i="3"/>
  <c r="AA196" i="3"/>
  <c r="Z196" i="3"/>
  <c r="L196" i="3"/>
  <c r="M196" i="3" s="1"/>
  <c r="N196" i="3" s="1"/>
  <c r="AC195" i="3"/>
  <c r="AB195" i="3"/>
  <c r="AA195" i="3"/>
  <c r="Z195" i="3"/>
  <c r="M195" i="3"/>
  <c r="N195" i="3" s="1"/>
  <c r="L195" i="3"/>
  <c r="AC194" i="3"/>
  <c r="AB194" i="3"/>
  <c r="AA194" i="3"/>
  <c r="Z194" i="3"/>
  <c r="L194" i="3"/>
  <c r="M194" i="3" s="1"/>
  <c r="N194" i="3" s="1"/>
  <c r="AC193" i="3"/>
  <c r="AB193" i="3"/>
  <c r="AA193" i="3"/>
  <c r="Z193" i="3"/>
  <c r="M193" i="3"/>
  <c r="N193" i="3" s="1"/>
  <c r="L193" i="3"/>
  <c r="AC192" i="3"/>
  <c r="AB192" i="3"/>
  <c r="AA192" i="3"/>
  <c r="Z192" i="3"/>
  <c r="L192" i="3"/>
  <c r="M192" i="3" s="1"/>
  <c r="N192" i="3" s="1"/>
  <c r="AC191" i="3"/>
  <c r="AB191" i="3"/>
  <c r="AA191" i="3"/>
  <c r="Z191" i="3"/>
  <c r="L191" i="3"/>
  <c r="M191" i="3" s="1"/>
  <c r="N191" i="3" s="1"/>
  <c r="AC190" i="3"/>
  <c r="AB190" i="3"/>
  <c r="AA190" i="3"/>
  <c r="Z190" i="3"/>
  <c r="N190" i="3"/>
  <c r="M190" i="3"/>
  <c r="L190" i="3"/>
  <c r="AC189" i="3"/>
  <c r="AB189" i="3"/>
  <c r="AA189" i="3"/>
  <c r="Z189" i="3"/>
  <c r="M189" i="3"/>
  <c r="N189" i="3" s="1"/>
  <c r="L189" i="3"/>
  <c r="AC188" i="3"/>
  <c r="AB188" i="3"/>
  <c r="AA188" i="3"/>
  <c r="Z188" i="3"/>
  <c r="L188" i="3"/>
  <c r="M188" i="3" s="1"/>
  <c r="N188" i="3" s="1"/>
  <c r="AC187" i="3"/>
  <c r="AB187" i="3"/>
  <c r="AA187" i="3"/>
  <c r="Z187" i="3"/>
  <c r="M187" i="3"/>
  <c r="N187" i="3" s="1"/>
  <c r="L187" i="3"/>
  <c r="AC186" i="3"/>
  <c r="AB186" i="3"/>
  <c r="AA186" i="3"/>
  <c r="Z186" i="3"/>
  <c r="L186" i="3"/>
  <c r="M186" i="3" s="1"/>
  <c r="N186" i="3" s="1"/>
  <c r="AC185" i="3"/>
  <c r="AB185" i="3"/>
  <c r="AA185" i="3"/>
  <c r="Z185" i="3"/>
  <c r="M185" i="3"/>
  <c r="N185" i="3" s="1"/>
  <c r="L185" i="3"/>
  <c r="AC184" i="3"/>
  <c r="AB184" i="3"/>
  <c r="AA184" i="3"/>
  <c r="Z184" i="3"/>
  <c r="L184" i="3"/>
  <c r="M184" i="3" s="1"/>
  <c r="N184" i="3" s="1"/>
  <c r="AC183" i="3"/>
  <c r="AB183" i="3"/>
  <c r="AA183" i="3"/>
  <c r="Z183" i="3"/>
  <c r="L183" i="3"/>
  <c r="M183" i="3" s="1"/>
  <c r="N183" i="3" s="1"/>
  <c r="AC182" i="3"/>
  <c r="AB182" i="3"/>
  <c r="AA182" i="3"/>
  <c r="Z182" i="3"/>
  <c r="N182" i="3"/>
  <c r="M182" i="3"/>
  <c r="L182" i="3"/>
  <c r="AC181" i="3"/>
  <c r="AB181" i="3"/>
  <c r="AA181" i="3"/>
  <c r="Z181" i="3"/>
  <c r="M181" i="3"/>
  <c r="N181" i="3" s="1"/>
  <c r="L181" i="3"/>
  <c r="AC180" i="3"/>
  <c r="AB180" i="3"/>
  <c r="AA180" i="3"/>
  <c r="Z180" i="3"/>
  <c r="L180" i="3"/>
  <c r="M180" i="3" s="1"/>
  <c r="N180" i="3" s="1"/>
  <c r="AC179" i="3"/>
  <c r="AB179" i="3"/>
  <c r="AA179" i="3"/>
  <c r="Z179" i="3"/>
  <c r="M179" i="3"/>
  <c r="N179" i="3" s="1"/>
  <c r="L179" i="3"/>
  <c r="AC178" i="3"/>
  <c r="AB178" i="3"/>
  <c r="AA178" i="3"/>
  <c r="Z178" i="3"/>
  <c r="L178" i="3"/>
  <c r="M178" i="3" s="1"/>
  <c r="N178" i="3" s="1"/>
  <c r="AC177" i="3"/>
  <c r="AB177" i="3"/>
  <c r="AA177" i="3"/>
  <c r="Z177" i="3"/>
  <c r="M177" i="3"/>
  <c r="N177" i="3" s="1"/>
  <c r="L177" i="3"/>
  <c r="AC176" i="3"/>
  <c r="AB176" i="3"/>
  <c r="AA176" i="3"/>
  <c r="Z176" i="3"/>
  <c r="L176" i="3"/>
  <c r="M176" i="3" s="1"/>
  <c r="N176" i="3" s="1"/>
  <c r="AC175" i="3"/>
  <c r="AB175" i="3"/>
  <c r="AA175" i="3"/>
  <c r="Z175" i="3"/>
  <c r="L175" i="3"/>
  <c r="M175" i="3" s="1"/>
  <c r="N175" i="3" s="1"/>
  <c r="AC174" i="3"/>
  <c r="AB174" i="3"/>
  <c r="AA174" i="3"/>
  <c r="Z174" i="3"/>
  <c r="N174" i="3"/>
  <c r="M174" i="3"/>
  <c r="L174" i="3"/>
  <c r="AC173" i="3"/>
  <c r="AB173" i="3"/>
  <c r="AA173" i="3"/>
  <c r="Z173" i="3"/>
  <c r="M173" i="3"/>
  <c r="N173" i="3" s="1"/>
  <c r="L173" i="3"/>
  <c r="AC172" i="3"/>
  <c r="AB172" i="3"/>
  <c r="AA172" i="3"/>
  <c r="Z172" i="3"/>
  <c r="L172" i="3"/>
  <c r="M172" i="3" s="1"/>
  <c r="N172" i="3" s="1"/>
  <c r="AC171" i="3"/>
  <c r="AB171" i="3"/>
  <c r="AA171" i="3"/>
  <c r="Z171" i="3"/>
  <c r="M171" i="3"/>
  <c r="N171" i="3" s="1"/>
  <c r="L171" i="3"/>
  <c r="AC170" i="3"/>
  <c r="AB170" i="3"/>
  <c r="AA170" i="3"/>
  <c r="Z170" i="3"/>
  <c r="L170" i="3"/>
  <c r="M170" i="3" s="1"/>
  <c r="N170" i="3" s="1"/>
  <c r="AC169" i="3"/>
  <c r="AB169" i="3"/>
  <c r="AA169" i="3"/>
  <c r="Z169" i="3"/>
  <c r="M169" i="3"/>
  <c r="N169" i="3" s="1"/>
  <c r="L169" i="3"/>
  <c r="AC168" i="3"/>
  <c r="AB168" i="3"/>
  <c r="AA168" i="3"/>
  <c r="Z168" i="3"/>
  <c r="L168" i="3"/>
  <c r="M168" i="3" s="1"/>
  <c r="N168" i="3" s="1"/>
  <c r="AC167" i="3"/>
  <c r="AB167" i="3"/>
  <c r="AA167" i="3"/>
  <c r="Z167" i="3"/>
  <c r="L167" i="3"/>
  <c r="M167" i="3" s="1"/>
  <c r="N167" i="3" s="1"/>
  <c r="AC166" i="3"/>
  <c r="AB166" i="3"/>
  <c r="AA166" i="3"/>
  <c r="Z166" i="3"/>
  <c r="N166" i="3"/>
  <c r="M166" i="3"/>
  <c r="L166" i="3"/>
  <c r="AC165" i="3"/>
  <c r="AB165" i="3"/>
  <c r="AA165" i="3"/>
  <c r="Z165" i="3"/>
  <c r="M165" i="3"/>
  <c r="N165" i="3" s="1"/>
  <c r="L165" i="3"/>
  <c r="AC164" i="3"/>
  <c r="AB164" i="3"/>
  <c r="AA164" i="3"/>
  <c r="Z164" i="3"/>
  <c r="L164" i="3"/>
  <c r="M164" i="3" s="1"/>
  <c r="N164" i="3" s="1"/>
  <c r="AC163" i="3"/>
  <c r="AB163" i="3"/>
  <c r="AA163" i="3"/>
  <c r="Z163" i="3"/>
  <c r="M163" i="3"/>
  <c r="N163" i="3" s="1"/>
  <c r="L163" i="3"/>
  <c r="AC162" i="3"/>
  <c r="AB162" i="3"/>
  <c r="AA162" i="3"/>
  <c r="Z162" i="3"/>
  <c r="L162" i="3"/>
  <c r="M162" i="3" s="1"/>
  <c r="N162" i="3" s="1"/>
  <c r="AC161" i="3"/>
  <c r="AB161" i="3"/>
  <c r="AA161" i="3"/>
  <c r="Z161" i="3"/>
  <c r="M161" i="3"/>
  <c r="N161" i="3" s="1"/>
  <c r="L161" i="3"/>
  <c r="AC160" i="3"/>
  <c r="AB160" i="3"/>
  <c r="AA160" i="3"/>
  <c r="Z160" i="3"/>
  <c r="L160" i="3"/>
  <c r="M160" i="3" s="1"/>
  <c r="N160" i="3" s="1"/>
  <c r="AC159" i="3"/>
  <c r="AB159" i="3"/>
  <c r="AA159" i="3"/>
  <c r="Z159" i="3"/>
  <c r="L159" i="3"/>
  <c r="M159" i="3" s="1"/>
  <c r="N159" i="3" s="1"/>
  <c r="AC158" i="3"/>
  <c r="AB158" i="3"/>
  <c r="AA158" i="3"/>
  <c r="Z158" i="3"/>
  <c r="N158" i="3"/>
  <c r="M158" i="3"/>
  <c r="L158" i="3"/>
  <c r="AC157" i="3"/>
  <c r="AB157" i="3"/>
  <c r="AA157" i="3"/>
  <c r="Z157" i="3"/>
  <c r="M157" i="3"/>
  <c r="N157" i="3" s="1"/>
  <c r="L157" i="3"/>
  <c r="AC156" i="3"/>
  <c r="AB156" i="3"/>
  <c r="AA156" i="3"/>
  <c r="Z156" i="3"/>
  <c r="L156" i="3"/>
  <c r="M156" i="3" s="1"/>
  <c r="N156" i="3" s="1"/>
  <c r="AC155" i="3"/>
  <c r="AB155" i="3"/>
  <c r="AA155" i="3"/>
  <c r="Z155" i="3"/>
  <c r="M155" i="3"/>
  <c r="N155" i="3" s="1"/>
  <c r="L155" i="3"/>
  <c r="AC154" i="3"/>
  <c r="AB154" i="3"/>
  <c r="AA154" i="3"/>
  <c r="Z154" i="3"/>
  <c r="L154" i="3"/>
  <c r="M154" i="3" s="1"/>
  <c r="N154" i="3" s="1"/>
  <c r="AC153" i="3"/>
  <c r="AB153" i="3"/>
  <c r="AA153" i="3"/>
  <c r="Z153" i="3"/>
  <c r="M153" i="3"/>
  <c r="N153" i="3" s="1"/>
  <c r="L153" i="3"/>
  <c r="AC152" i="3"/>
  <c r="AB152" i="3"/>
  <c r="AA152" i="3"/>
  <c r="Z152" i="3"/>
  <c r="L152" i="3"/>
  <c r="M152" i="3" s="1"/>
  <c r="N152" i="3" s="1"/>
  <c r="AC151" i="3"/>
  <c r="AB151" i="3"/>
  <c r="AA151" i="3"/>
  <c r="Z151" i="3"/>
  <c r="L151" i="3"/>
  <c r="M151" i="3" s="1"/>
  <c r="N151" i="3" s="1"/>
  <c r="AC150" i="3"/>
  <c r="AB150" i="3"/>
  <c r="AA150" i="3"/>
  <c r="Z150" i="3"/>
  <c r="N150" i="3"/>
  <c r="M150" i="3"/>
  <c r="L150" i="3"/>
  <c r="AC149" i="3"/>
  <c r="AB149" i="3"/>
  <c r="AA149" i="3"/>
  <c r="Z149" i="3"/>
  <c r="M149" i="3"/>
  <c r="N149" i="3" s="1"/>
  <c r="L149" i="3"/>
  <c r="AC148" i="3"/>
  <c r="AB148" i="3"/>
  <c r="AA148" i="3"/>
  <c r="Z148" i="3"/>
  <c r="L148" i="3"/>
  <c r="M148" i="3" s="1"/>
  <c r="N148" i="3" s="1"/>
  <c r="AC147" i="3"/>
  <c r="AB147" i="3"/>
  <c r="AA147" i="3"/>
  <c r="Z147" i="3"/>
  <c r="M147" i="3"/>
  <c r="N147" i="3" s="1"/>
  <c r="L147" i="3"/>
  <c r="AC146" i="3"/>
  <c r="AB146" i="3"/>
  <c r="AA146" i="3"/>
  <c r="Z146" i="3"/>
  <c r="L146" i="3"/>
  <c r="M146" i="3" s="1"/>
  <c r="N146" i="3" s="1"/>
  <c r="AC145" i="3"/>
  <c r="AB145" i="3"/>
  <c r="AA145" i="3"/>
  <c r="Z145" i="3"/>
  <c r="N145" i="3"/>
  <c r="M145" i="3"/>
  <c r="L145" i="3"/>
  <c r="AC144" i="3"/>
  <c r="AB144" i="3"/>
  <c r="AA144" i="3"/>
  <c r="Z144" i="3"/>
  <c r="M144" i="3"/>
  <c r="N144" i="3" s="1"/>
  <c r="L144" i="3"/>
  <c r="AC143" i="3"/>
  <c r="AB143" i="3"/>
  <c r="AA143" i="3"/>
  <c r="Z143" i="3"/>
  <c r="L143" i="3"/>
  <c r="M143" i="3" s="1"/>
  <c r="N143" i="3" s="1"/>
  <c r="AC142" i="3"/>
  <c r="AB142" i="3"/>
  <c r="AA142" i="3"/>
  <c r="Z142" i="3"/>
  <c r="N142" i="3"/>
  <c r="M142" i="3"/>
  <c r="L142" i="3"/>
  <c r="AC141" i="3"/>
  <c r="AB141" i="3"/>
  <c r="AA141" i="3"/>
  <c r="Z141" i="3"/>
  <c r="M141" i="3"/>
  <c r="N141" i="3" s="1"/>
  <c r="L141" i="3"/>
  <c r="AC140" i="3"/>
  <c r="AB140" i="3"/>
  <c r="AA140" i="3"/>
  <c r="Z140" i="3"/>
  <c r="L140" i="3"/>
  <c r="M140" i="3" s="1"/>
  <c r="N140" i="3" s="1"/>
  <c r="AC139" i="3"/>
  <c r="AB139" i="3"/>
  <c r="AA139" i="3"/>
  <c r="Z139" i="3"/>
  <c r="M139" i="3"/>
  <c r="N139" i="3" s="1"/>
  <c r="L139" i="3"/>
  <c r="AC138" i="3"/>
  <c r="AB138" i="3"/>
  <c r="AA138" i="3"/>
  <c r="Z138" i="3"/>
  <c r="L138" i="3"/>
  <c r="M138" i="3" s="1"/>
  <c r="N138" i="3" s="1"/>
  <c r="AC137" i="3"/>
  <c r="AB137" i="3"/>
  <c r="AA137" i="3"/>
  <c r="Z137" i="3"/>
  <c r="N137" i="3"/>
  <c r="M137" i="3"/>
  <c r="L137" i="3"/>
  <c r="AC136" i="3"/>
  <c r="AB136" i="3"/>
  <c r="AA136" i="3"/>
  <c r="Z136" i="3"/>
  <c r="M136" i="3"/>
  <c r="N136" i="3" s="1"/>
  <c r="L136" i="3"/>
  <c r="AC135" i="3"/>
  <c r="AB135" i="3"/>
  <c r="AA135" i="3"/>
  <c r="Z135" i="3"/>
  <c r="L135" i="3"/>
  <c r="M135" i="3" s="1"/>
  <c r="N135" i="3" s="1"/>
  <c r="AC134" i="3"/>
  <c r="AB134" i="3"/>
  <c r="AA134" i="3"/>
  <c r="Z134" i="3"/>
  <c r="N134" i="3"/>
  <c r="M134" i="3"/>
  <c r="L134" i="3"/>
  <c r="AC133" i="3"/>
  <c r="AB133" i="3"/>
  <c r="AA133" i="3"/>
  <c r="Z133" i="3"/>
  <c r="M133" i="3"/>
  <c r="N133" i="3" s="1"/>
  <c r="L133" i="3"/>
  <c r="AC132" i="3"/>
  <c r="AB132" i="3"/>
  <c r="AA132" i="3"/>
  <c r="Z132" i="3"/>
  <c r="L132" i="3"/>
  <c r="M132" i="3" s="1"/>
  <c r="N132" i="3" s="1"/>
  <c r="AC131" i="3"/>
  <c r="AB131" i="3"/>
  <c r="AA131" i="3"/>
  <c r="Z131" i="3"/>
  <c r="M131" i="3"/>
  <c r="N131" i="3" s="1"/>
  <c r="L131" i="3"/>
  <c r="AC130" i="3"/>
  <c r="AB130" i="3"/>
  <c r="AA130" i="3"/>
  <c r="Z130" i="3"/>
  <c r="L130" i="3"/>
  <c r="M130" i="3" s="1"/>
  <c r="N130" i="3" s="1"/>
  <c r="AC129" i="3"/>
  <c r="AB129" i="3"/>
  <c r="AA129" i="3"/>
  <c r="Z129" i="3"/>
  <c r="N129" i="3"/>
  <c r="M129" i="3"/>
  <c r="L129" i="3"/>
  <c r="AC128" i="3"/>
  <c r="AB128" i="3"/>
  <c r="AA128" i="3"/>
  <c r="Z128" i="3"/>
  <c r="M128" i="3"/>
  <c r="N128" i="3" s="1"/>
  <c r="L128" i="3"/>
  <c r="AC127" i="3"/>
  <c r="AB127" i="3"/>
  <c r="AA127" i="3"/>
  <c r="Z127" i="3"/>
  <c r="L127" i="3"/>
  <c r="M127" i="3" s="1"/>
  <c r="N127" i="3" s="1"/>
  <c r="AC126" i="3"/>
  <c r="AB126" i="3"/>
  <c r="AA126" i="3"/>
  <c r="Z126" i="3"/>
  <c r="N126" i="3"/>
  <c r="M126" i="3"/>
  <c r="L126" i="3"/>
  <c r="AC125" i="3"/>
  <c r="AB125" i="3"/>
  <c r="AA125" i="3"/>
  <c r="Z125" i="3"/>
  <c r="M125" i="3"/>
  <c r="N125" i="3" s="1"/>
  <c r="L125" i="3"/>
  <c r="AC124" i="3"/>
  <c r="AB124" i="3"/>
  <c r="AA124" i="3"/>
  <c r="Z124" i="3"/>
  <c r="L124" i="3"/>
  <c r="M124" i="3" s="1"/>
  <c r="N124" i="3" s="1"/>
  <c r="AC123" i="3"/>
  <c r="AB123" i="3"/>
  <c r="AA123" i="3"/>
  <c r="Z123" i="3"/>
  <c r="M123" i="3"/>
  <c r="N123" i="3" s="1"/>
  <c r="L123" i="3"/>
  <c r="AC122" i="3"/>
  <c r="AB122" i="3"/>
  <c r="AA122" i="3"/>
  <c r="Z122" i="3"/>
  <c r="L122" i="3"/>
  <c r="M122" i="3" s="1"/>
  <c r="N122" i="3" s="1"/>
  <c r="AC121" i="3"/>
  <c r="AB121" i="3"/>
  <c r="AA121" i="3"/>
  <c r="Z121" i="3"/>
  <c r="N121" i="3"/>
  <c r="M121" i="3"/>
  <c r="L121" i="3"/>
  <c r="AC120" i="3"/>
  <c r="AB120" i="3"/>
  <c r="AA120" i="3"/>
  <c r="Z120" i="3"/>
  <c r="M120" i="3"/>
  <c r="N120" i="3" s="1"/>
  <c r="L120" i="3"/>
  <c r="AC119" i="3"/>
  <c r="AB119" i="3"/>
  <c r="AA119" i="3"/>
  <c r="Z119" i="3"/>
  <c r="L119" i="3"/>
  <c r="M119" i="3" s="1"/>
  <c r="N119" i="3" s="1"/>
  <c r="AC118" i="3"/>
  <c r="AB118" i="3"/>
  <c r="AA118" i="3"/>
  <c r="Z118" i="3"/>
  <c r="N118" i="3"/>
  <c r="M118" i="3"/>
  <c r="L118" i="3"/>
  <c r="AC117" i="3"/>
  <c r="AB117" i="3"/>
  <c r="AA117" i="3"/>
  <c r="Z117" i="3"/>
  <c r="M117" i="3"/>
  <c r="N117" i="3" s="1"/>
  <c r="L117" i="3"/>
  <c r="AC116" i="3"/>
  <c r="AB116" i="3"/>
  <c r="AA116" i="3"/>
  <c r="Z116" i="3"/>
  <c r="L116" i="3"/>
  <c r="M116" i="3" s="1"/>
  <c r="N116" i="3" s="1"/>
  <c r="AC115" i="3"/>
  <c r="AB115" i="3"/>
  <c r="AA115" i="3"/>
  <c r="Z115" i="3"/>
  <c r="M115" i="3"/>
  <c r="N115" i="3" s="1"/>
  <c r="L115" i="3"/>
  <c r="AC114" i="3"/>
  <c r="AB114" i="3"/>
  <c r="AA114" i="3"/>
  <c r="Z114" i="3"/>
  <c r="L114" i="3"/>
  <c r="M114" i="3" s="1"/>
  <c r="N114" i="3" s="1"/>
  <c r="AC113" i="3"/>
  <c r="AB113" i="3"/>
  <c r="AA113" i="3"/>
  <c r="Z113" i="3"/>
  <c r="N113" i="3"/>
  <c r="M113" i="3"/>
  <c r="L113" i="3"/>
  <c r="AC112" i="3"/>
  <c r="AB112" i="3"/>
  <c r="AA112" i="3"/>
  <c r="Z112" i="3"/>
  <c r="M112" i="3"/>
  <c r="N112" i="3" s="1"/>
  <c r="L112" i="3"/>
  <c r="AC111" i="3"/>
  <c r="AB111" i="3"/>
  <c r="AA111" i="3"/>
  <c r="Z111" i="3"/>
  <c r="L111" i="3"/>
  <c r="M111" i="3" s="1"/>
  <c r="N111" i="3" s="1"/>
  <c r="AC110" i="3"/>
  <c r="AB110" i="3"/>
  <c r="AA110" i="3"/>
  <c r="Z110" i="3"/>
  <c r="N110" i="3"/>
  <c r="M110" i="3"/>
  <c r="L110" i="3"/>
  <c r="AC109" i="3"/>
  <c r="AB109" i="3"/>
  <c r="AA109" i="3"/>
  <c r="Z109" i="3"/>
  <c r="M109" i="3"/>
  <c r="N109" i="3" s="1"/>
  <c r="L109" i="3"/>
  <c r="AC108" i="3"/>
  <c r="AB108" i="3"/>
  <c r="AA108" i="3"/>
  <c r="Z108" i="3"/>
  <c r="L108" i="3"/>
  <c r="M108" i="3" s="1"/>
  <c r="N108" i="3" s="1"/>
  <c r="AC107" i="3"/>
  <c r="AB107" i="3"/>
  <c r="AA107" i="3"/>
  <c r="Z107" i="3"/>
  <c r="M107" i="3"/>
  <c r="N107" i="3" s="1"/>
  <c r="L107" i="3"/>
  <c r="AC106" i="3"/>
  <c r="AB106" i="3"/>
  <c r="AA106" i="3"/>
  <c r="Z106" i="3"/>
  <c r="L106" i="3"/>
  <c r="M106" i="3" s="1"/>
  <c r="N106" i="3" s="1"/>
  <c r="AC105" i="3"/>
  <c r="AB105" i="3"/>
  <c r="AA105" i="3"/>
  <c r="Z105" i="3"/>
  <c r="L105" i="3"/>
  <c r="M105" i="3" s="1"/>
  <c r="N105" i="3" s="1"/>
  <c r="AC104" i="3"/>
  <c r="AB104" i="3"/>
  <c r="AA104" i="3"/>
  <c r="Z104" i="3"/>
  <c r="M104" i="3"/>
  <c r="N104" i="3" s="1"/>
  <c r="L104" i="3"/>
  <c r="AC103" i="3"/>
  <c r="AB103" i="3"/>
  <c r="AA103" i="3"/>
  <c r="Z103" i="3"/>
  <c r="L103" i="3"/>
  <c r="M103" i="3" s="1"/>
  <c r="N103" i="3" s="1"/>
  <c r="AC102" i="3"/>
  <c r="AB102" i="3"/>
  <c r="AA102" i="3"/>
  <c r="Z102" i="3"/>
  <c r="M102" i="3"/>
  <c r="N102" i="3" s="1"/>
  <c r="L102" i="3"/>
  <c r="AC101" i="3"/>
  <c r="AB101" i="3"/>
  <c r="AA101" i="3"/>
  <c r="Z101" i="3"/>
  <c r="M101" i="3"/>
  <c r="N101" i="3" s="1"/>
  <c r="L101" i="3"/>
  <c r="AC100" i="3"/>
  <c r="AB100" i="3"/>
  <c r="AA100" i="3"/>
  <c r="Z100" i="3"/>
  <c r="L100" i="3"/>
  <c r="M100" i="3" s="1"/>
  <c r="N100" i="3" s="1"/>
  <c r="AC99" i="3"/>
  <c r="AB99" i="3"/>
  <c r="AA99" i="3"/>
  <c r="Z99" i="3"/>
  <c r="M99" i="3"/>
  <c r="N99" i="3" s="1"/>
  <c r="L99" i="3"/>
  <c r="AC98" i="3"/>
  <c r="AB98" i="3"/>
  <c r="AA98" i="3"/>
  <c r="Z98" i="3"/>
  <c r="L98" i="3"/>
  <c r="M98" i="3" s="1"/>
  <c r="N98" i="3" s="1"/>
  <c r="AC97" i="3"/>
  <c r="AB97" i="3"/>
  <c r="AA97" i="3"/>
  <c r="Z97" i="3"/>
  <c r="N97" i="3"/>
  <c r="M97" i="3"/>
  <c r="L97" i="3"/>
  <c r="AC96" i="3"/>
  <c r="AB96" i="3"/>
  <c r="AA96" i="3"/>
  <c r="Z96" i="3"/>
  <c r="N96" i="3"/>
  <c r="M96" i="3"/>
  <c r="L96" i="3"/>
  <c r="AC95" i="3"/>
  <c r="AB95" i="3"/>
  <c r="AA95" i="3"/>
  <c r="Z95" i="3"/>
  <c r="N95" i="3"/>
  <c r="M95" i="3"/>
  <c r="L95" i="3"/>
  <c r="AC94" i="3"/>
  <c r="AB94" i="3"/>
  <c r="AA94" i="3"/>
  <c r="Z94" i="3"/>
  <c r="M94" i="3"/>
  <c r="N94" i="3" s="1"/>
  <c r="L94" i="3"/>
  <c r="AC93" i="3"/>
  <c r="AB93" i="3"/>
  <c r="AA93" i="3"/>
  <c r="Z93" i="3"/>
  <c r="L93" i="3"/>
  <c r="M93" i="3" s="1"/>
  <c r="N93" i="3" s="1"/>
  <c r="AC92" i="3"/>
  <c r="AB92" i="3"/>
  <c r="AA92" i="3"/>
  <c r="Z92" i="3"/>
  <c r="L92" i="3"/>
  <c r="M92" i="3" s="1"/>
  <c r="N92" i="3" s="1"/>
  <c r="AC91" i="3"/>
  <c r="AB91" i="3"/>
  <c r="AA91" i="3"/>
  <c r="Z91" i="3"/>
  <c r="M91" i="3"/>
  <c r="N91" i="3" s="1"/>
  <c r="L91" i="3"/>
  <c r="AC90" i="3"/>
  <c r="AB90" i="3"/>
  <c r="AA90" i="3"/>
  <c r="Z90" i="3"/>
  <c r="L90" i="3"/>
  <c r="M90" i="3" s="1"/>
  <c r="N90" i="3" s="1"/>
  <c r="AC89" i="3"/>
  <c r="AB89" i="3"/>
  <c r="AA89" i="3"/>
  <c r="Z89" i="3"/>
  <c r="L89" i="3"/>
  <c r="M89" i="3" s="1"/>
  <c r="N89" i="3" s="1"/>
  <c r="AC88" i="3"/>
  <c r="AB88" i="3"/>
  <c r="AA88" i="3"/>
  <c r="Z88" i="3"/>
  <c r="N88" i="3"/>
  <c r="M88" i="3"/>
  <c r="L88" i="3"/>
  <c r="AC87" i="3"/>
  <c r="AB87" i="3"/>
  <c r="AA87" i="3"/>
  <c r="Z87" i="3"/>
  <c r="N87" i="3"/>
  <c r="M87" i="3"/>
  <c r="L87" i="3"/>
  <c r="AC86" i="3"/>
  <c r="AB86" i="3"/>
  <c r="AA86" i="3"/>
  <c r="Z86" i="3"/>
  <c r="M86" i="3"/>
  <c r="N86" i="3" s="1"/>
  <c r="L86" i="3"/>
  <c r="AC85" i="3"/>
  <c r="AB85" i="3"/>
  <c r="AA85" i="3"/>
  <c r="Z85" i="3"/>
  <c r="L85" i="3"/>
  <c r="M85" i="3" s="1"/>
  <c r="N85" i="3" s="1"/>
  <c r="AC84" i="3"/>
  <c r="AB84" i="3"/>
  <c r="AA84" i="3"/>
  <c r="Z84" i="3"/>
  <c r="L84" i="3"/>
  <c r="M84" i="3" s="1"/>
  <c r="N84" i="3" s="1"/>
  <c r="AC83" i="3"/>
  <c r="AB83" i="3"/>
  <c r="AA83" i="3"/>
  <c r="Z83" i="3"/>
  <c r="M83" i="3"/>
  <c r="N83" i="3" s="1"/>
  <c r="L83" i="3"/>
  <c r="AC82" i="3"/>
  <c r="AB82" i="3"/>
  <c r="AA82" i="3"/>
  <c r="Z82" i="3"/>
  <c r="L82" i="3"/>
  <c r="M82" i="3" s="1"/>
  <c r="N82" i="3" s="1"/>
  <c r="AC81" i="3"/>
  <c r="AB81" i="3"/>
  <c r="AA81" i="3"/>
  <c r="Z81" i="3"/>
  <c r="L81" i="3"/>
  <c r="M81" i="3" s="1"/>
  <c r="N81" i="3" s="1"/>
  <c r="AC80" i="3"/>
  <c r="AB80" i="3"/>
  <c r="AA80" i="3"/>
  <c r="Z80" i="3"/>
  <c r="N80" i="3"/>
  <c r="M80" i="3"/>
  <c r="L80" i="3"/>
  <c r="AC79" i="3"/>
  <c r="AB79" i="3"/>
  <c r="AA79" i="3"/>
  <c r="Z79" i="3"/>
  <c r="N79" i="3"/>
  <c r="M79" i="3"/>
  <c r="L79" i="3"/>
  <c r="AC78" i="3"/>
  <c r="AB78" i="3"/>
  <c r="AA78" i="3"/>
  <c r="Z78" i="3"/>
  <c r="M78" i="3"/>
  <c r="N78" i="3" s="1"/>
  <c r="L78" i="3"/>
  <c r="AC77" i="3"/>
  <c r="AB77" i="3"/>
  <c r="AA77" i="3"/>
  <c r="Z77" i="3"/>
  <c r="L77" i="3"/>
  <c r="M77" i="3" s="1"/>
  <c r="N77" i="3" s="1"/>
  <c r="AC76" i="3"/>
  <c r="AB76" i="3"/>
  <c r="AA76" i="3"/>
  <c r="Z76" i="3"/>
  <c r="L76" i="3"/>
  <c r="M76" i="3" s="1"/>
  <c r="N76" i="3" s="1"/>
  <c r="AC75" i="3"/>
  <c r="AB75" i="3"/>
  <c r="AA75" i="3"/>
  <c r="Z75" i="3"/>
  <c r="M75" i="3"/>
  <c r="N75" i="3" s="1"/>
  <c r="L75" i="3"/>
  <c r="AC74" i="3"/>
  <c r="AB74" i="3"/>
  <c r="AA74" i="3"/>
  <c r="Z74" i="3"/>
  <c r="L74" i="3"/>
  <c r="M74" i="3" s="1"/>
  <c r="N74" i="3" s="1"/>
  <c r="AC73" i="3"/>
  <c r="AB73" i="3"/>
  <c r="AA73" i="3"/>
  <c r="Z73" i="3"/>
  <c r="L73" i="3"/>
  <c r="M73" i="3" s="1"/>
  <c r="N73" i="3" s="1"/>
  <c r="AC72" i="3"/>
  <c r="AB72" i="3"/>
  <c r="AA72" i="3"/>
  <c r="Z72" i="3"/>
  <c r="N72" i="3"/>
  <c r="M72" i="3"/>
  <c r="L72" i="3"/>
  <c r="AC71" i="3"/>
  <c r="AB71" i="3"/>
  <c r="AA71" i="3"/>
  <c r="Z71" i="3"/>
  <c r="N71" i="3"/>
  <c r="M71" i="3"/>
  <c r="L71" i="3"/>
  <c r="AC70" i="3"/>
  <c r="AB70" i="3"/>
  <c r="AA70" i="3"/>
  <c r="Z70" i="3"/>
  <c r="M70" i="3"/>
  <c r="N70" i="3" s="1"/>
  <c r="L70" i="3"/>
  <c r="AC69" i="3"/>
  <c r="AB69" i="3"/>
  <c r="AA69" i="3"/>
  <c r="Z69" i="3"/>
  <c r="L69" i="3"/>
  <c r="M69" i="3" s="1"/>
  <c r="N69" i="3" s="1"/>
  <c r="AC68" i="3"/>
  <c r="AB68" i="3"/>
  <c r="AA68" i="3"/>
  <c r="Z68" i="3"/>
  <c r="L68" i="3"/>
  <c r="M68" i="3" s="1"/>
  <c r="N68" i="3" s="1"/>
  <c r="AC67" i="3"/>
  <c r="AB67" i="3"/>
  <c r="AA67" i="3"/>
  <c r="Z67" i="3"/>
  <c r="M67" i="3"/>
  <c r="N67" i="3" s="1"/>
  <c r="L67" i="3"/>
  <c r="AC66" i="3"/>
  <c r="AB66" i="3"/>
  <c r="AA66" i="3"/>
  <c r="Z66" i="3"/>
  <c r="L66" i="3"/>
  <c r="M66" i="3" s="1"/>
  <c r="N66" i="3" s="1"/>
  <c r="AC65" i="3"/>
  <c r="AB65" i="3"/>
  <c r="AA65" i="3"/>
  <c r="Z65" i="3"/>
  <c r="N65" i="3"/>
  <c r="M65" i="3"/>
  <c r="L65" i="3"/>
  <c r="AC64" i="3"/>
  <c r="AB64" i="3"/>
  <c r="AA64" i="3"/>
  <c r="Z64" i="3"/>
  <c r="N64" i="3"/>
  <c r="M64" i="3"/>
  <c r="L64" i="3"/>
  <c r="AC63" i="3"/>
  <c r="AB63" i="3"/>
  <c r="AA63" i="3"/>
  <c r="Z63" i="3"/>
  <c r="N63" i="3"/>
  <c r="M63" i="3"/>
  <c r="L63" i="3"/>
  <c r="AC62" i="3"/>
  <c r="AB62" i="3"/>
  <c r="AA62" i="3"/>
  <c r="Z62" i="3"/>
  <c r="M62" i="3"/>
  <c r="N62" i="3" s="1"/>
  <c r="L62" i="3"/>
  <c r="AC61" i="3"/>
  <c r="AB61" i="3"/>
  <c r="AA61" i="3"/>
  <c r="Z61" i="3"/>
  <c r="L61" i="3"/>
  <c r="M61" i="3" s="1"/>
  <c r="N61" i="3" s="1"/>
  <c r="AC60" i="3"/>
  <c r="AB60" i="3"/>
  <c r="AA60" i="3"/>
  <c r="Z60" i="3"/>
  <c r="L60" i="3"/>
  <c r="M60" i="3" s="1"/>
  <c r="N60" i="3" s="1"/>
  <c r="AC59" i="3"/>
  <c r="AB59" i="3"/>
  <c r="AA59" i="3"/>
  <c r="Z59" i="3"/>
  <c r="M59" i="3"/>
  <c r="N59" i="3" s="1"/>
  <c r="L59" i="3"/>
  <c r="AC58" i="3"/>
  <c r="AB58" i="3"/>
  <c r="AA58" i="3"/>
  <c r="Z58" i="3"/>
  <c r="L58" i="3"/>
  <c r="M58" i="3" s="1"/>
  <c r="N58" i="3" s="1"/>
  <c r="AC57" i="3"/>
  <c r="AB57" i="3"/>
  <c r="AA57" i="3"/>
  <c r="Z57" i="3"/>
  <c r="M57" i="3"/>
  <c r="N57" i="3" s="1"/>
  <c r="L57" i="3"/>
  <c r="AC56" i="3"/>
  <c r="AB56" i="3"/>
  <c r="AA56" i="3"/>
  <c r="Z56" i="3"/>
  <c r="L56" i="3"/>
  <c r="M56" i="3" s="1"/>
  <c r="N56" i="3" s="1"/>
  <c r="AC55" i="3"/>
  <c r="AB55" i="3"/>
  <c r="AA55" i="3"/>
  <c r="Z55" i="3"/>
  <c r="N55" i="3"/>
  <c r="M55" i="3"/>
  <c r="L55" i="3"/>
  <c r="AC54" i="3"/>
  <c r="AB54" i="3"/>
  <c r="AA54" i="3"/>
  <c r="Z54" i="3"/>
  <c r="M54" i="3"/>
  <c r="N54" i="3" s="1"/>
  <c r="L54" i="3"/>
  <c r="AC53" i="3"/>
  <c r="AB53" i="3"/>
  <c r="AA53" i="3"/>
  <c r="Z53" i="3"/>
  <c r="L53" i="3"/>
  <c r="M53" i="3" s="1"/>
  <c r="N53" i="3" s="1"/>
  <c r="AC52" i="3"/>
  <c r="AB52" i="3"/>
  <c r="AA52" i="3"/>
  <c r="Z52" i="3"/>
  <c r="N52" i="3"/>
  <c r="M52" i="3"/>
  <c r="L52" i="3"/>
  <c r="AC51" i="3"/>
  <c r="AB51" i="3"/>
  <c r="AA51" i="3"/>
  <c r="Z51" i="3"/>
  <c r="M51" i="3"/>
  <c r="N51" i="3" s="1"/>
  <c r="L51" i="3"/>
  <c r="AC50" i="3"/>
  <c r="AB50" i="3"/>
  <c r="AA50" i="3"/>
  <c r="Z50" i="3"/>
  <c r="L50" i="3"/>
  <c r="M50" i="3" s="1"/>
  <c r="N50" i="3" s="1"/>
  <c r="AC49" i="3"/>
  <c r="AB49" i="3"/>
  <c r="AA49" i="3"/>
  <c r="Z49" i="3"/>
  <c r="M49" i="3"/>
  <c r="N49" i="3" s="1"/>
  <c r="L49" i="3"/>
  <c r="AC48" i="3"/>
  <c r="AB48" i="3"/>
  <c r="AA48" i="3"/>
  <c r="Z48" i="3"/>
  <c r="L48" i="3"/>
  <c r="M48" i="3" s="1"/>
  <c r="N48" i="3" s="1"/>
  <c r="AC47" i="3"/>
  <c r="AB47" i="3"/>
  <c r="AA47" i="3"/>
  <c r="Z47" i="3"/>
  <c r="N47" i="3"/>
  <c r="M47" i="3"/>
  <c r="L47" i="3"/>
  <c r="AC46" i="3"/>
  <c r="AB46" i="3"/>
  <c r="AA46" i="3"/>
  <c r="Z46" i="3"/>
  <c r="M46" i="3"/>
  <c r="N46" i="3" s="1"/>
  <c r="L46" i="3"/>
  <c r="AC45" i="3"/>
  <c r="AB45" i="3"/>
  <c r="AA45" i="3"/>
  <c r="Z45" i="3"/>
  <c r="L45" i="3"/>
  <c r="M45" i="3" s="1"/>
  <c r="N45" i="3" s="1"/>
  <c r="AC44" i="3"/>
  <c r="AB44" i="3"/>
  <c r="AA44" i="3"/>
  <c r="Z44" i="3"/>
  <c r="L44" i="3"/>
  <c r="M44" i="3" s="1"/>
  <c r="N44" i="3" s="1"/>
  <c r="AC43" i="3"/>
  <c r="AB43" i="3"/>
  <c r="AA43" i="3"/>
  <c r="Z43" i="3"/>
  <c r="M43" i="3"/>
  <c r="N43" i="3" s="1"/>
  <c r="L43" i="3"/>
  <c r="AC42" i="3"/>
  <c r="AB42" i="3"/>
  <c r="AA42" i="3"/>
  <c r="Z42" i="3"/>
  <c r="L42" i="3"/>
  <c r="M42" i="3" s="1"/>
  <c r="N42" i="3" s="1"/>
  <c r="AC41" i="3"/>
  <c r="AB41" i="3"/>
  <c r="AA41" i="3"/>
  <c r="Z41" i="3"/>
  <c r="L41" i="3"/>
  <c r="M41" i="3" s="1"/>
  <c r="N41" i="3" s="1"/>
  <c r="AC40" i="3"/>
  <c r="AB40" i="3"/>
  <c r="AA40" i="3"/>
  <c r="Z40" i="3"/>
  <c r="L40" i="3"/>
  <c r="M40" i="3" s="1"/>
  <c r="N40" i="3" s="1"/>
  <c r="AC39" i="3"/>
  <c r="AB39" i="3"/>
  <c r="AA39" i="3"/>
  <c r="Z39" i="3"/>
  <c r="N39" i="3"/>
  <c r="M39" i="3"/>
  <c r="L39" i="3"/>
  <c r="AC38" i="3"/>
  <c r="AB38" i="3"/>
  <c r="AA38" i="3"/>
  <c r="Z38" i="3"/>
  <c r="M38" i="3"/>
  <c r="N38" i="3" s="1"/>
  <c r="L38" i="3"/>
  <c r="AC37" i="3"/>
  <c r="AB37" i="3"/>
  <c r="AA37" i="3"/>
  <c r="Z37" i="3"/>
  <c r="L37" i="3"/>
  <c r="M37" i="3" s="1"/>
  <c r="N37" i="3" s="1"/>
  <c r="AC36" i="3"/>
  <c r="AB36" i="3"/>
  <c r="AA36" i="3"/>
  <c r="Z36" i="3"/>
  <c r="M36" i="3"/>
  <c r="N36" i="3" s="1"/>
  <c r="L36" i="3"/>
  <c r="AC35" i="3"/>
  <c r="AB35" i="3"/>
  <c r="AA35" i="3"/>
  <c r="Z35" i="3"/>
  <c r="L35" i="3"/>
  <c r="M35" i="3" s="1"/>
  <c r="N35" i="3" s="1"/>
  <c r="AC34" i="3"/>
  <c r="AB34" i="3"/>
  <c r="AA34" i="3"/>
  <c r="Z34" i="3"/>
  <c r="M34" i="3"/>
  <c r="N34" i="3" s="1"/>
  <c r="L34" i="3"/>
  <c r="AC33" i="3"/>
  <c r="AB33" i="3"/>
  <c r="AA33" i="3"/>
  <c r="Z33" i="3"/>
  <c r="L33" i="3"/>
  <c r="M33" i="3" s="1"/>
  <c r="N33" i="3" s="1"/>
  <c r="AC32" i="3"/>
  <c r="AB32" i="3"/>
  <c r="AA32" i="3"/>
  <c r="Z32" i="3"/>
  <c r="L32" i="3"/>
  <c r="M32" i="3" s="1"/>
  <c r="N32" i="3" s="1"/>
  <c r="AC31" i="3"/>
  <c r="AB31" i="3"/>
  <c r="AA31" i="3"/>
  <c r="Z31" i="3"/>
  <c r="N31" i="3"/>
  <c r="M31" i="3"/>
  <c r="L31" i="3"/>
  <c r="AC30" i="3"/>
  <c r="AB30" i="3"/>
  <c r="AA30" i="3"/>
  <c r="Z30" i="3"/>
  <c r="M30" i="3"/>
  <c r="N30" i="3" s="1"/>
  <c r="L30" i="3"/>
  <c r="AC29" i="3"/>
  <c r="AB29" i="3"/>
  <c r="AA29" i="3"/>
  <c r="Z29" i="3"/>
  <c r="L29" i="3"/>
  <c r="M29" i="3" s="1"/>
  <c r="N29" i="3" s="1"/>
  <c r="AC28" i="3"/>
  <c r="AB28" i="3"/>
  <c r="AA28" i="3"/>
  <c r="Z28" i="3"/>
  <c r="L28" i="3"/>
  <c r="M28" i="3" s="1"/>
  <c r="N28" i="3" s="1"/>
  <c r="AC27" i="3"/>
  <c r="AB27" i="3"/>
  <c r="AA27" i="3"/>
  <c r="Z27" i="3"/>
  <c r="N27" i="3"/>
  <c r="M27" i="3"/>
  <c r="L27" i="3"/>
  <c r="AC26" i="3"/>
  <c r="AB26" i="3"/>
  <c r="AA26" i="3"/>
  <c r="Z26" i="3"/>
  <c r="M26" i="3"/>
  <c r="N26" i="3" s="1"/>
  <c r="L26" i="3"/>
  <c r="AC25" i="3"/>
  <c r="AB25" i="3"/>
  <c r="AA25" i="3"/>
  <c r="Z25" i="3"/>
  <c r="L25" i="3"/>
  <c r="M25" i="3" s="1"/>
  <c r="N25" i="3" s="1"/>
  <c r="AC24" i="3"/>
  <c r="AB24" i="3"/>
  <c r="AA24" i="3"/>
  <c r="Z24" i="3"/>
  <c r="L24" i="3"/>
  <c r="M24" i="3" s="1"/>
  <c r="N24" i="3" s="1"/>
  <c r="AC23" i="3"/>
  <c r="AB23" i="3"/>
  <c r="AA23" i="3"/>
  <c r="Z23" i="3"/>
  <c r="N23" i="3"/>
  <c r="M23" i="3"/>
  <c r="L23" i="3"/>
  <c r="AC22" i="3"/>
  <c r="AB22" i="3"/>
  <c r="AA22" i="3"/>
  <c r="Z22" i="3"/>
  <c r="M22" i="3"/>
  <c r="N22" i="3" s="1"/>
  <c r="L22" i="3"/>
  <c r="AC21" i="3"/>
  <c r="AB21" i="3"/>
  <c r="AA21" i="3"/>
  <c r="Z21" i="3"/>
  <c r="L21" i="3"/>
  <c r="M21" i="3" s="1"/>
  <c r="N21" i="3" s="1"/>
  <c r="AC20" i="3"/>
  <c r="AB20" i="3"/>
  <c r="AA20" i="3"/>
  <c r="Z20" i="3"/>
  <c r="L20" i="3"/>
  <c r="M20" i="3" s="1"/>
  <c r="N20" i="3" s="1"/>
  <c r="AC19" i="3"/>
  <c r="AB19" i="3"/>
  <c r="AA19" i="3"/>
  <c r="Z19" i="3"/>
  <c r="N19" i="3"/>
  <c r="M19" i="3"/>
  <c r="L19" i="3"/>
  <c r="AC18" i="3"/>
  <c r="AB18" i="3"/>
  <c r="AA18" i="3"/>
  <c r="Z18" i="3"/>
  <c r="M18" i="3"/>
  <c r="N18" i="3" s="1"/>
  <c r="L18" i="3"/>
  <c r="AC17" i="3"/>
  <c r="AB17" i="3"/>
  <c r="AA17" i="3"/>
  <c r="Z17" i="3"/>
  <c r="L17" i="3"/>
  <c r="M17" i="3" s="1"/>
  <c r="N17" i="3" s="1"/>
  <c r="AC16" i="3"/>
  <c r="AB16" i="3"/>
  <c r="AA16" i="3"/>
  <c r="Z16" i="3"/>
  <c r="L16" i="3"/>
  <c r="M16" i="3" s="1"/>
  <c r="N16" i="3" s="1"/>
  <c r="AC15" i="3"/>
  <c r="AB15" i="3"/>
  <c r="AA15" i="3"/>
  <c r="Z15" i="3"/>
  <c r="N15" i="3"/>
  <c r="M15" i="3"/>
  <c r="L15" i="3"/>
  <c r="AC14" i="3"/>
  <c r="AB14" i="3"/>
  <c r="AA14" i="3"/>
  <c r="Z14" i="3"/>
  <c r="M14" i="3"/>
  <c r="N14" i="3" s="1"/>
  <c r="L14" i="3"/>
  <c r="AC13" i="3"/>
  <c r="AB13" i="3"/>
  <c r="AA13" i="3"/>
  <c r="Z13" i="3"/>
  <c r="L13" i="3"/>
  <c r="M13" i="3" s="1"/>
  <c r="N13" i="3" s="1"/>
  <c r="AC12" i="3"/>
  <c r="AB12" i="3"/>
  <c r="AA12" i="3"/>
  <c r="Z12" i="3"/>
  <c r="L12" i="3"/>
  <c r="M12" i="3" s="1"/>
  <c r="N12" i="3" s="1"/>
  <c r="AC11" i="3"/>
  <c r="AB11" i="3"/>
  <c r="AA11" i="3"/>
  <c r="Z11" i="3"/>
  <c r="N11" i="3"/>
  <c r="M11" i="3"/>
  <c r="L11" i="3"/>
  <c r="AC10" i="3"/>
  <c r="AB10" i="3"/>
  <c r="AA10" i="3"/>
  <c r="Z10" i="3"/>
  <c r="M10" i="3"/>
  <c r="N10" i="3" s="1"/>
  <c r="L10" i="3"/>
  <c r="AC9" i="3"/>
  <c r="AB9" i="3"/>
  <c r="AA9" i="3"/>
  <c r="Z9" i="3"/>
  <c r="L9" i="3"/>
  <c r="M9" i="3" s="1"/>
  <c r="N9" i="3" s="1"/>
  <c r="AC8" i="3"/>
  <c r="AB8" i="3"/>
  <c r="AA8" i="3"/>
  <c r="Z8" i="3"/>
  <c r="L8" i="3"/>
  <c r="M8" i="3" s="1"/>
  <c r="N8" i="3" s="1"/>
  <c r="AC7" i="3"/>
  <c r="AB7" i="3"/>
  <c r="AA7" i="3"/>
  <c r="Z7" i="3"/>
  <c r="N7" i="3"/>
  <c r="M7" i="3"/>
  <c r="L7" i="3"/>
  <c r="AC6" i="3"/>
  <c r="AB6" i="3"/>
  <c r="AA6" i="3"/>
  <c r="Z6" i="3"/>
  <c r="M6" i="3"/>
  <c r="N6" i="3" s="1"/>
  <c r="L6" i="3"/>
  <c r="AC5" i="3"/>
  <c r="AB5" i="3"/>
  <c r="AA5" i="3"/>
  <c r="Z5" i="3"/>
  <c r="L5" i="3"/>
  <c r="M5" i="3" s="1"/>
  <c r="N5" i="3" s="1"/>
  <c r="AC4" i="3"/>
  <c r="AB4" i="3"/>
  <c r="AA4" i="3"/>
  <c r="Z4" i="3"/>
  <c r="L4" i="3"/>
  <c r="M4" i="3" s="1"/>
  <c r="N4" i="3" s="1"/>
  <c r="AC3" i="3"/>
  <c r="AB3" i="3"/>
  <c r="AA3" i="3"/>
  <c r="Z3" i="3"/>
  <c r="N3" i="3"/>
  <c r="M3" i="3"/>
  <c r="L3" i="3"/>
  <c r="AC2" i="3"/>
  <c r="AB2" i="3"/>
  <c r="AA2" i="3"/>
  <c r="Z2" i="3"/>
  <c r="M2" i="3"/>
  <c r="N2" i="3" s="1"/>
  <c r="L2" i="3"/>
  <c r="Z634" i="2" l="1"/>
  <c r="Y634" i="2"/>
  <c r="X634" i="2"/>
  <c r="M634" i="2"/>
  <c r="N634" i="2" s="1"/>
  <c r="L634" i="2"/>
  <c r="Z633" i="2"/>
  <c r="Y633" i="2"/>
  <c r="X633" i="2"/>
  <c r="L633" i="2"/>
  <c r="M633" i="2" s="1"/>
  <c r="N633" i="2" s="1"/>
  <c r="Z632" i="2"/>
  <c r="Y632" i="2"/>
  <c r="X632" i="2"/>
  <c r="N632" i="2"/>
  <c r="M632" i="2"/>
  <c r="L632" i="2"/>
  <c r="Z631" i="2"/>
  <c r="Y631" i="2"/>
  <c r="X631" i="2"/>
  <c r="L631" i="2"/>
  <c r="M631" i="2" s="1"/>
  <c r="N631" i="2" s="1"/>
  <c r="Z630" i="2"/>
  <c r="Y630" i="2"/>
  <c r="X630" i="2"/>
  <c r="M630" i="2"/>
  <c r="N630" i="2" s="1"/>
  <c r="L630" i="2"/>
  <c r="Z629" i="2"/>
  <c r="Y629" i="2"/>
  <c r="X629" i="2"/>
  <c r="L629" i="2"/>
  <c r="M629" i="2" s="1"/>
  <c r="N629" i="2" s="1"/>
  <c r="Z628" i="2"/>
  <c r="Y628" i="2"/>
  <c r="X628" i="2"/>
  <c r="N628" i="2"/>
  <c r="M628" i="2"/>
  <c r="L628" i="2"/>
  <c r="Z627" i="2"/>
  <c r="Y627" i="2"/>
  <c r="X627" i="2"/>
  <c r="L627" i="2"/>
  <c r="M627" i="2" s="1"/>
  <c r="N627" i="2" s="1"/>
  <c r="Z626" i="2"/>
  <c r="Y626" i="2"/>
  <c r="X626" i="2"/>
  <c r="M626" i="2"/>
  <c r="N626" i="2" s="1"/>
  <c r="L626" i="2"/>
  <c r="Z625" i="2"/>
  <c r="Y625" i="2"/>
  <c r="X625" i="2"/>
  <c r="L625" i="2"/>
  <c r="M625" i="2" s="1"/>
  <c r="N625" i="2" s="1"/>
  <c r="Z624" i="2"/>
  <c r="Y624" i="2"/>
  <c r="X624" i="2"/>
  <c r="N624" i="2"/>
  <c r="M624" i="2"/>
  <c r="L624" i="2"/>
  <c r="Z623" i="2"/>
  <c r="Y623" i="2"/>
  <c r="X623" i="2"/>
  <c r="L623" i="2"/>
  <c r="M623" i="2" s="1"/>
  <c r="N623" i="2" s="1"/>
  <c r="Z622" i="2"/>
  <c r="Y622" i="2"/>
  <c r="X622" i="2"/>
  <c r="M622" i="2"/>
  <c r="N622" i="2" s="1"/>
  <c r="L622" i="2"/>
  <c r="Z621" i="2"/>
  <c r="Y621" i="2"/>
  <c r="X621" i="2"/>
  <c r="L621" i="2"/>
  <c r="M621" i="2" s="1"/>
  <c r="N621" i="2" s="1"/>
  <c r="Z620" i="2"/>
  <c r="Y620" i="2"/>
  <c r="X620" i="2"/>
  <c r="N620" i="2"/>
  <c r="M620" i="2"/>
  <c r="L620" i="2"/>
  <c r="Z619" i="2"/>
  <c r="Y619" i="2"/>
  <c r="X619" i="2"/>
  <c r="L619" i="2"/>
  <c r="M619" i="2" s="1"/>
  <c r="N619" i="2" s="1"/>
  <c r="Z618" i="2"/>
  <c r="Y618" i="2"/>
  <c r="X618" i="2"/>
  <c r="M618" i="2"/>
  <c r="N618" i="2" s="1"/>
  <c r="L618" i="2"/>
  <c r="Z617" i="2"/>
  <c r="Y617" i="2"/>
  <c r="X617" i="2"/>
  <c r="L617" i="2"/>
  <c r="M617" i="2" s="1"/>
  <c r="N617" i="2" s="1"/>
  <c r="Z616" i="2"/>
  <c r="Y616" i="2"/>
  <c r="X616" i="2"/>
  <c r="N616" i="2"/>
  <c r="M616" i="2"/>
  <c r="L616" i="2"/>
  <c r="Z615" i="2"/>
  <c r="Y615" i="2"/>
  <c r="X615" i="2"/>
  <c r="L615" i="2"/>
  <c r="M615" i="2" s="1"/>
  <c r="N615" i="2" s="1"/>
  <c r="Z614" i="2"/>
  <c r="Y614" i="2"/>
  <c r="X614" i="2"/>
  <c r="M614" i="2"/>
  <c r="N614" i="2" s="1"/>
  <c r="L614" i="2"/>
  <c r="Z613" i="2"/>
  <c r="Y613" i="2"/>
  <c r="X613" i="2"/>
  <c r="L613" i="2"/>
  <c r="M613" i="2" s="1"/>
  <c r="N613" i="2" s="1"/>
  <c r="Z612" i="2"/>
  <c r="Y612" i="2"/>
  <c r="X612" i="2"/>
  <c r="N612" i="2"/>
  <c r="M612" i="2"/>
  <c r="L612" i="2"/>
  <c r="Z611" i="2"/>
  <c r="Y611" i="2"/>
  <c r="X611" i="2"/>
  <c r="L611" i="2"/>
  <c r="M611" i="2" s="1"/>
  <c r="N611" i="2" s="1"/>
  <c r="Z610" i="2"/>
  <c r="Y610" i="2"/>
  <c r="X610" i="2"/>
  <c r="M610" i="2"/>
  <c r="N610" i="2" s="1"/>
  <c r="L610" i="2"/>
  <c r="Z609" i="2"/>
  <c r="Y609" i="2"/>
  <c r="X609" i="2"/>
  <c r="L609" i="2"/>
  <c r="M609" i="2" s="1"/>
  <c r="N609" i="2" s="1"/>
  <c r="Z608" i="2"/>
  <c r="Y608" i="2"/>
  <c r="X608" i="2"/>
  <c r="N608" i="2"/>
  <c r="M608" i="2"/>
  <c r="L608" i="2"/>
  <c r="Z607" i="2"/>
  <c r="Y607" i="2"/>
  <c r="X607" i="2"/>
  <c r="L607" i="2"/>
  <c r="M607" i="2" s="1"/>
  <c r="N607" i="2" s="1"/>
  <c r="Z606" i="2"/>
  <c r="Y606" i="2"/>
  <c r="X606" i="2"/>
  <c r="M606" i="2"/>
  <c r="N606" i="2" s="1"/>
  <c r="L606" i="2"/>
  <c r="Z605" i="2"/>
  <c r="Y605" i="2"/>
  <c r="X605" i="2"/>
  <c r="L605" i="2"/>
  <c r="M605" i="2" s="1"/>
  <c r="N605" i="2" s="1"/>
  <c r="Z604" i="2"/>
  <c r="Y604" i="2"/>
  <c r="X604" i="2"/>
  <c r="N604" i="2"/>
  <c r="M604" i="2"/>
  <c r="L604" i="2"/>
  <c r="Z603" i="2"/>
  <c r="Y603" i="2"/>
  <c r="X603" i="2"/>
  <c r="L603" i="2"/>
  <c r="M603" i="2" s="1"/>
  <c r="N603" i="2" s="1"/>
  <c r="Z602" i="2"/>
  <c r="Y602" i="2"/>
  <c r="X602" i="2"/>
  <c r="M602" i="2"/>
  <c r="N602" i="2" s="1"/>
  <c r="L602" i="2"/>
  <c r="Z601" i="2"/>
  <c r="Y601" i="2"/>
  <c r="X601" i="2"/>
  <c r="L601" i="2"/>
  <c r="M601" i="2" s="1"/>
  <c r="N601" i="2" s="1"/>
  <c r="Z600" i="2"/>
  <c r="Y600" i="2"/>
  <c r="X600" i="2"/>
  <c r="N600" i="2"/>
  <c r="M600" i="2"/>
  <c r="L600" i="2"/>
  <c r="Z599" i="2"/>
  <c r="Y599" i="2"/>
  <c r="X599" i="2"/>
  <c r="L599" i="2"/>
  <c r="M599" i="2" s="1"/>
  <c r="N599" i="2" s="1"/>
  <c r="Z598" i="2"/>
  <c r="Y598" i="2"/>
  <c r="X598" i="2"/>
  <c r="M598" i="2"/>
  <c r="N598" i="2" s="1"/>
  <c r="L598" i="2"/>
  <c r="Z597" i="2"/>
  <c r="Y597" i="2"/>
  <c r="X597" i="2"/>
  <c r="L597" i="2"/>
  <c r="M597" i="2" s="1"/>
  <c r="N597" i="2" s="1"/>
  <c r="Z596" i="2"/>
  <c r="Y596" i="2"/>
  <c r="X596" i="2"/>
  <c r="N596" i="2"/>
  <c r="M596" i="2"/>
  <c r="L596" i="2"/>
  <c r="Z595" i="2"/>
  <c r="Y595" i="2"/>
  <c r="X595" i="2"/>
  <c r="M595" i="2"/>
  <c r="N595" i="2" s="1"/>
  <c r="L595" i="2"/>
  <c r="Z594" i="2"/>
  <c r="Y594" i="2"/>
  <c r="X594" i="2"/>
  <c r="M594" i="2"/>
  <c r="N594" i="2" s="1"/>
  <c r="L594" i="2"/>
  <c r="Z593" i="2"/>
  <c r="Y593" i="2"/>
  <c r="X593" i="2"/>
  <c r="L593" i="2"/>
  <c r="M593" i="2" s="1"/>
  <c r="N593" i="2" s="1"/>
  <c r="Z592" i="2"/>
  <c r="Y592" i="2"/>
  <c r="X592" i="2"/>
  <c r="N592" i="2"/>
  <c r="M592" i="2"/>
  <c r="L592" i="2"/>
  <c r="Z591" i="2"/>
  <c r="Y591" i="2"/>
  <c r="X591" i="2"/>
  <c r="L591" i="2"/>
  <c r="M591" i="2" s="1"/>
  <c r="N591" i="2" s="1"/>
  <c r="Z590" i="2"/>
  <c r="Y590" i="2"/>
  <c r="X590" i="2"/>
  <c r="M590" i="2"/>
  <c r="N590" i="2" s="1"/>
  <c r="L590" i="2"/>
  <c r="Z589" i="2"/>
  <c r="Y589" i="2"/>
  <c r="X589" i="2"/>
  <c r="L589" i="2"/>
  <c r="M589" i="2" s="1"/>
  <c r="N589" i="2" s="1"/>
  <c r="Z588" i="2"/>
  <c r="Y588" i="2"/>
  <c r="X588" i="2"/>
  <c r="N588" i="2"/>
  <c r="M588" i="2"/>
  <c r="L588" i="2"/>
  <c r="Z587" i="2"/>
  <c r="Y587" i="2"/>
  <c r="X587" i="2"/>
  <c r="L587" i="2"/>
  <c r="M587" i="2" s="1"/>
  <c r="N587" i="2" s="1"/>
  <c r="Z586" i="2"/>
  <c r="Y586" i="2"/>
  <c r="X586" i="2"/>
  <c r="M586" i="2"/>
  <c r="N586" i="2" s="1"/>
  <c r="L586" i="2"/>
  <c r="Z585" i="2"/>
  <c r="Y585" i="2"/>
  <c r="X585" i="2"/>
  <c r="L585" i="2"/>
  <c r="M585" i="2" s="1"/>
  <c r="N585" i="2" s="1"/>
  <c r="Z584" i="2"/>
  <c r="Y584" i="2"/>
  <c r="X584" i="2"/>
  <c r="N584" i="2"/>
  <c r="M584" i="2"/>
  <c r="L584" i="2"/>
  <c r="Z583" i="2"/>
  <c r="Y583" i="2"/>
  <c r="X583" i="2"/>
  <c r="L583" i="2"/>
  <c r="M583" i="2" s="1"/>
  <c r="N583" i="2" s="1"/>
  <c r="Z582" i="2"/>
  <c r="Y582" i="2"/>
  <c r="X582" i="2"/>
  <c r="M582" i="2"/>
  <c r="N582" i="2" s="1"/>
  <c r="L582" i="2"/>
  <c r="Z581" i="2"/>
  <c r="Y581" i="2"/>
  <c r="X581" i="2"/>
  <c r="L581" i="2"/>
  <c r="M581" i="2" s="1"/>
  <c r="N581" i="2" s="1"/>
  <c r="Z580" i="2"/>
  <c r="Y580" i="2"/>
  <c r="X580" i="2"/>
  <c r="N580" i="2"/>
  <c r="M580" i="2"/>
  <c r="L580" i="2"/>
  <c r="Z579" i="2"/>
  <c r="Y579" i="2"/>
  <c r="X579" i="2"/>
  <c r="L579" i="2"/>
  <c r="M579" i="2" s="1"/>
  <c r="N579" i="2" s="1"/>
  <c r="Z578" i="2"/>
  <c r="Y578" i="2"/>
  <c r="X578" i="2"/>
  <c r="M578" i="2"/>
  <c r="N578" i="2" s="1"/>
  <c r="L578" i="2"/>
  <c r="Z577" i="2"/>
  <c r="Y577" i="2"/>
  <c r="X577" i="2"/>
  <c r="L577" i="2"/>
  <c r="M577" i="2" s="1"/>
  <c r="N577" i="2" s="1"/>
  <c r="Z576" i="2"/>
  <c r="Y576" i="2"/>
  <c r="X576" i="2"/>
  <c r="N576" i="2"/>
  <c r="M576" i="2"/>
  <c r="L576" i="2"/>
  <c r="Z575" i="2"/>
  <c r="Y575" i="2"/>
  <c r="X575" i="2"/>
  <c r="L575" i="2"/>
  <c r="M575" i="2" s="1"/>
  <c r="N575" i="2" s="1"/>
  <c r="Z574" i="2"/>
  <c r="Y574" i="2"/>
  <c r="X574" i="2"/>
  <c r="M574" i="2"/>
  <c r="N574" i="2" s="1"/>
  <c r="L574" i="2"/>
  <c r="Z573" i="2"/>
  <c r="Y573" i="2"/>
  <c r="X573" i="2"/>
  <c r="L573" i="2"/>
  <c r="M573" i="2" s="1"/>
  <c r="N573" i="2" s="1"/>
  <c r="Z572" i="2"/>
  <c r="Y572" i="2"/>
  <c r="X572" i="2"/>
  <c r="N572" i="2"/>
  <c r="M572" i="2"/>
  <c r="L572" i="2"/>
  <c r="Z571" i="2"/>
  <c r="Y571" i="2"/>
  <c r="X571" i="2"/>
  <c r="L571" i="2"/>
  <c r="M571" i="2" s="1"/>
  <c r="N571" i="2" s="1"/>
  <c r="Z570" i="2"/>
  <c r="Y570" i="2"/>
  <c r="X570" i="2"/>
  <c r="M570" i="2"/>
  <c r="N570" i="2" s="1"/>
  <c r="L570" i="2"/>
  <c r="Z569" i="2"/>
  <c r="Y569" i="2"/>
  <c r="X569" i="2"/>
  <c r="L569" i="2"/>
  <c r="M569" i="2" s="1"/>
  <c r="N569" i="2" s="1"/>
  <c r="Z568" i="2"/>
  <c r="Y568" i="2"/>
  <c r="X568" i="2"/>
  <c r="N568" i="2"/>
  <c r="M568" i="2"/>
  <c r="L568" i="2"/>
  <c r="Z567" i="2"/>
  <c r="Y567" i="2"/>
  <c r="X567" i="2"/>
  <c r="L567" i="2"/>
  <c r="M567" i="2" s="1"/>
  <c r="N567" i="2" s="1"/>
  <c r="Z566" i="2"/>
  <c r="Y566" i="2"/>
  <c r="X566" i="2"/>
  <c r="M566" i="2"/>
  <c r="N566" i="2" s="1"/>
  <c r="L566" i="2"/>
  <c r="Z565" i="2"/>
  <c r="Y565" i="2"/>
  <c r="X565" i="2"/>
  <c r="L565" i="2"/>
  <c r="M565" i="2" s="1"/>
  <c r="N565" i="2" s="1"/>
  <c r="Z564" i="2"/>
  <c r="Y564" i="2"/>
  <c r="X564" i="2"/>
  <c r="N564" i="2"/>
  <c r="M564" i="2"/>
  <c r="L564" i="2"/>
  <c r="Z563" i="2"/>
  <c r="Y563" i="2"/>
  <c r="X563" i="2"/>
  <c r="M563" i="2"/>
  <c r="N563" i="2" s="1"/>
  <c r="L563" i="2"/>
  <c r="Z562" i="2"/>
  <c r="Y562" i="2"/>
  <c r="X562" i="2"/>
  <c r="M562" i="2"/>
  <c r="N562" i="2" s="1"/>
  <c r="L562" i="2"/>
  <c r="Z561" i="2"/>
  <c r="Y561" i="2"/>
  <c r="X561" i="2"/>
  <c r="L561" i="2"/>
  <c r="M561" i="2" s="1"/>
  <c r="N561" i="2" s="1"/>
  <c r="Z560" i="2"/>
  <c r="Y560" i="2"/>
  <c r="X560" i="2"/>
  <c r="N560" i="2"/>
  <c r="M560" i="2"/>
  <c r="L560" i="2"/>
  <c r="Z559" i="2"/>
  <c r="Y559" i="2"/>
  <c r="X559" i="2"/>
  <c r="L559" i="2"/>
  <c r="M559" i="2" s="1"/>
  <c r="N559" i="2" s="1"/>
  <c r="Z558" i="2"/>
  <c r="Y558" i="2"/>
  <c r="X558" i="2"/>
  <c r="M558" i="2"/>
  <c r="N558" i="2" s="1"/>
  <c r="L558" i="2"/>
  <c r="Z557" i="2"/>
  <c r="Y557" i="2"/>
  <c r="X557" i="2"/>
  <c r="L557" i="2"/>
  <c r="M557" i="2" s="1"/>
  <c r="N557" i="2" s="1"/>
  <c r="Z556" i="2"/>
  <c r="Y556" i="2"/>
  <c r="X556" i="2"/>
  <c r="N556" i="2"/>
  <c r="M556" i="2"/>
  <c r="L556" i="2"/>
  <c r="Z555" i="2"/>
  <c r="Y555" i="2"/>
  <c r="X555" i="2"/>
  <c r="L555" i="2"/>
  <c r="M555" i="2" s="1"/>
  <c r="N555" i="2" s="1"/>
  <c r="Z554" i="2"/>
  <c r="Y554" i="2"/>
  <c r="X554" i="2"/>
  <c r="M554" i="2"/>
  <c r="N554" i="2" s="1"/>
  <c r="L554" i="2"/>
  <c r="Z553" i="2"/>
  <c r="Y553" i="2"/>
  <c r="X553" i="2"/>
  <c r="L553" i="2"/>
  <c r="M553" i="2" s="1"/>
  <c r="N553" i="2" s="1"/>
  <c r="Z552" i="2"/>
  <c r="Y552" i="2"/>
  <c r="X552" i="2"/>
  <c r="N552" i="2"/>
  <c r="M552" i="2"/>
  <c r="L552" i="2"/>
  <c r="Z551" i="2"/>
  <c r="Y551" i="2"/>
  <c r="X551" i="2"/>
  <c r="L551" i="2"/>
  <c r="M551" i="2" s="1"/>
  <c r="N551" i="2" s="1"/>
  <c r="Z550" i="2"/>
  <c r="Y550" i="2"/>
  <c r="X550" i="2"/>
  <c r="M550" i="2"/>
  <c r="N550" i="2" s="1"/>
  <c r="L550" i="2"/>
  <c r="Z549" i="2"/>
  <c r="Y549" i="2"/>
  <c r="X549" i="2"/>
  <c r="L549" i="2"/>
  <c r="M549" i="2" s="1"/>
  <c r="N549" i="2" s="1"/>
  <c r="Z548" i="2"/>
  <c r="Y548" i="2"/>
  <c r="X548" i="2"/>
  <c r="N548" i="2"/>
  <c r="M548" i="2"/>
  <c r="L548" i="2"/>
  <c r="Z547" i="2"/>
  <c r="Y547" i="2"/>
  <c r="X547" i="2"/>
  <c r="M547" i="2"/>
  <c r="N547" i="2" s="1"/>
  <c r="L547" i="2"/>
  <c r="Z546" i="2"/>
  <c r="Y546" i="2"/>
  <c r="X546" i="2"/>
  <c r="M546" i="2"/>
  <c r="N546" i="2" s="1"/>
  <c r="L546" i="2"/>
  <c r="Z545" i="2"/>
  <c r="Y545" i="2"/>
  <c r="X545" i="2"/>
  <c r="L545" i="2"/>
  <c r="M545" i="2" s="1"/>
  <c r="N545" i="2" s="1"/>
  <c r="Z544" i="2"/>
  <c r="Y544" i="2"/>
  <c r="X544" i="2"/>
  <c r="N544" i="2"/>
  <c r="M544" i="2"/>
  <c r="L544" i="2"/>
  <c r="Z543" i="2"/>
  <c r="Y543" i="2"/>
  <c r="X543" i="2"/>
  <c r="L543" i="2"/>
  <c r="M543" i="2" s="1"/>
  <c r="N543" i="2" s="1"/>
  <c r="Z542" i="2"/>
  <c r="Y542" i="2"/>
  <c r="X542" i="2"/>
  <c r="M542" i="2"/>
  <c r="N542" i="2" s="1"/>
  <c r="L542" i="2"/>
  <c r="Z541" i="2"/>
  <c r="Y541" i="2"/>
  <c r="X541" i="2"/>
  <c r="L541" i="2"/>
  <c r="M541" i="2" s="1"/>
  <c r="N541" i="2" s="1"/>
  <c r="Z540" i="2"/>
  <c r="Y540" i="2"/>
  <c r="X540" i="2"/>
  <c r="N540" i="2"/>
  <c r="M540" i="2"/>
  <c r="L540" i="2"/>
  <c r="Z539" i="2"/>
  <c r="Y539" i="2"/>
  <c r="X539" i="2"/>
  <c r="L539" i="2"/>
  <c r="M539" i="2" s="1"/>
  <c r="N539" i="2" s="1"/>
  <c r="Z538" i="2"/>
  <c r="Y538" i="2"/>
  <c r="X538" i="2"/>
  <c r="M538" i="2"/>
  <c r="N538" i="2" s="1"/>
  <c r="L538" i="2"/>
  <c r="Z537" i="2"/>
  <c r="Y537" i="2"/>
  <c r="X537" i="2"/>
  <c r="L537" i="2"/>
  <c r="M537" i="2" s="1"/>
  <c r="N537" i="2" s="1"/>
  <c r="Z536" i="2"/>
  <c r="Y536" i="2"/>
  <c r="X536" i="2"/>
  <c r="N536" i="2"/>
  <c r="M536" i="2"/>
  <c r="L536" i="2"/>
  <c r="Z535" i="2"/>
  <c r="Y535" i="2"/>
  <c r="X535" i="2"/>
  <c r="L535" i="2"/>
  <c r="M535" i="2" s="1"/>
  <c r="N535" i="2" s="1"/>
  <c r="Z534" i="2"/>
  <c r="Y534" i="2"/>
  <c r="X534" i="2"/>
  <c r="M534" i="2"/>
  <c r="N534" i="2" s="1"/>
  <c r="L534" i="2"/>
  <c r="Z533" i="2"/>
  <c r="Y533" i="2"/>
  <c r="X533" i="2"/>
  <c r="L533" i="2"/>
  <c r="M533" i="2" s="1"/>
  <c r="N533" i="2" s="1"/>
  <c r="Z532" i="2"/>
  <c r="Y532" i="2"/>
  <c r="X532" i="2"/>
  <c r="N532" i="2"/>
  <c r="M532" i="2"/>
  <c r="L532" i="2"/>
  <c r="Z531" i="2"/>
  <c r="Y531" i="2"/>
  <c r="X531" i="2"/>
  <c r="M531" i="2"/>
  <c r="N531" i="2" s="1"/>
  <c r="L531" i="2"/>
  <c r="Z530" i="2"/>
  <c r="Y530" i="2"/>
  <c r="X530" i="2"/>
  <c r="M530" i="2"/>
  <c r="N530" i="2" s="1"/>
  <c r="L530" i="2"/>
  <c r="Z529" i="2"/>
  <c r="Y529" i="2"/>
  <c r="X529" i="2"/>
  <c r="L529" i="2"/>
  <c r="M529" i="2" s="1"/>
  <c r="N529" i="2" s="1"/>
  <c r="Z528" i="2"/>
  <c r="Y528" i="2"/>
  <c r="X528" i="2"/>
  <c r="N528" i="2"/>
  <c r="M528" i="2"/>
  <c r="L528" i="2"/>
  <c r="Z527" i="2"/>
  <c r="Y527" i="2"/>
  <c r="X527" i="2"/>
  <c r="L527" i="2"/>
  <c r="M527" i="2" s="1"/>
  <c r="N527" i="2" s="1"/>
  <c r="Z526" i="2"/>
  <c r="Y526" i="2"/>
  <c r="X526" i="2"/>
  <c r="M526" i="2"/>
  <c r="N526" i="2" s="1"/>
  <c r="L526" i="2"/>
  <c r="Z525" i="2"/>
  <c r="Y525" i="2"/>
  <c r="X525" i="2"/>
  <c r="L525" i="2"/>
  <c r="M525" i="2" s="1"/>
  <c r="N525" i="2" s="1"/>
  <c r="Z524" i="2"/>
  <c r="Y524" i="2"/>
  <c r="X524" i="2"/>
  <c r="N524" i="2"/>
  <c r="M524" i="2"/>
  <c r="L524" i="2"/>
  <c r="Z523" i="2"/>
  <c r="Y523" i="2"/>
  <c r="X523" i="2"/>
  <c r="L523" i="2"/>
  <c r="M523" i="2" s="1"/>
  <c r="N523" i="2" s="1"/>
  <c r="Z522" i="2"/>
  <c r="Y522" i="2"/>
  <c r="X522" i="2"/>
  <c r="M522" i="2"/>
  <c r="N522" i="2" s="1"/>
  <c r="L522" i="2"/>
  <c r="Z521" i="2"/>
  <c r="Y521" i="2"/>
  <c r="X521" i="2"/>
  <c r="L521" i="2"/>
  <c r="M521" i="2" s="1"/>
  <c r="N521" i="2" s="1"/>
  <c r="Z520" i="2"/>
  <c r="Y520" i="2"/>
  <c r="X520" i="2"/>
  <c r="N520" i="2"/>
  <c r="M520" i="2"/>
  <c r="L520" i="2"/>
  <c r="Z519" i="2"/>
  <c r="Y519" i="2"/>
  <c r="X519" i="2"/>
  <c r="L519" i="2"/>
  <c r="M519" i="2" s="1"/>
  <c r="N519" i="2" s="1"/>
  <c r="Z518" i="2"/>
  <c r="Y518" i="2"/>
  <c r="X518" i="2"/>
  <c r="M518" i="2"/>
  <c r="N518" i="2" s="1"/>
  <c r="L518" i="2"/>
  <c r="Z517" i="2"/>
  <c r="Y517" i="2"/>
  <c r="X517" i="2"/>
  <c r="L517" i="2"/>
  <c r="M517" i="2" s="1"/>
  <c r="N517" i="2" s="1"/>
  <c r="Z516" i="2"/>
  <c r="Y516" i="2"/>
  <c r="X516" i="2"/>
  <c r="N516" i="2"/>
  <c r="M516" i="2"/>
  <c r="L516" i="2"/>
  <c r="Z515" i="2"/>
  <c r="Y515" i="2"/>
  <c r="X515" i="2"/>
  <c r="L515" i="2"/>
  <c r="M515" i="2" s="1"/>
  <c r="N515" i="2" s="1"/>
  <c r="Z514" i="2"/>
  <c r="Y514" i="2"/>
  <c r="X514" i="2"/>
  <c r="M514" i="2"/>
  <c r="N514" i="2" s="1"/>
  <c r="L514" i="2"/>
  <c r="Z513" i="2"/>
  <c r="Y513" i="2"/>
  <c r="X513" i="2"/>
  <c r="L513" i="2"/>
  <c r="M513" i="2" s="1"/>
  <c r="N513" i="2" s="1"/>
  <c r="Z512" i="2"/>
  <c r="Y512" i="2"/>
  <c r="X512" i="2"/>
  <c r="N512" i="2"/>
  <c r="M512" i="2"/>
  <c r="L512" i="2"/>
  <c r="Z511" i="2"/>
  <c r="Y511" i="2"/>
  <c r="X511" i="2"/>
  <c r="L511" i="2"/>
  <c r="M511" i="2" s="1"/>
  <c r="N511" i="2" s="1"/>
  <c r="Z510" i="2"/>
  <c r="Y510" i="2"/>
  <c r="X510" i="2"/>
  <c r="M510" i="2"/>
  <c r="N510" i="2" s="1"/>
  <c r="L510" i="2"/>
  <c r="Z509" i="2"/>
  <c r="Y509" i="2"/>
  <c r="X509" i="2"/>
  <c r="L509" i="2"/>
  <c r="M509" i="2" s="1"/>
  <c r="N509" i="2" s="1"/>
  <c r="Z508" i="2"/>
  <c r="Y508" i="2"/>
  <c r="X508" i="2"/>
  <c r="N508" i="2"/>
  <c r="M508" i="2"/>
  <c r="L508" i="2"/>
  <c r="Z507" i="2"/>
  <c r="Y507" i="2"/>
  <c r="X507" i="2"/>
  <c r="L507" i="2"/>
  <c r="M507" i="2" s="1"/>
  <c r="N507" i="2" s="1"/>
  <c r="Z506" i="2"/>
  <c r="Y506" i="2"/>
  <c r="X506" i="2"/>
  <c r="M506" i="2"/>
  <c r="N506" i="2" s="1"/>
  <c r="L506" i="2"/>
  <c r="Z505" i="2"/>
  <c r="Y505" i="2"/>
  <c r="X505" i="2"/>
  <c r="L505" i="2"/>
  <c r="M505" i="2" s="1"/>
  <c r="N505" i="2" s="1"/>
  <c r="Z504" i="2"/>
  <c r="Y504" i="2"/>
  <c r="X504" i="2"/>
  <c r="N504" i="2"/>
  <c r="M504" i="2"/>
  <c r="L504" i="2"/>
  <c r="Z503" i="2"/>
  <c r="Y503" i="2"/>
  <c r="X503" i="2"/>
  <c r="L503" i="2"/>
  <c r="M503" i="2" s="1"/>
  <c r="N503" i="2" s="1"/>
  <c r="Z502" i="2"/>
  <c r="Y502" i="2"/>
  <c r="X502" i="2"/>
  <c r="M502" i="2"/>
  <c r="N502" i="2" s="1"/>
  <c r="L502" i="2"/>
  <c r="Z501" i="2"/>
  <c r="Y501" i="2"/>
  <c r="X501" i="2"/>
  <c r="L501" i="2"/>
  <c r="M501" i="2" s="1"/>
  <c r="N501" i="2" s="1"/>
  <c r="Z500" i="2"/>
  <c r="Y500" i="2"/>
  <c r="X500" i="2"/>
  <c r="N500" i="2"/>
  <c r="M500" i="2"/>
  <c r="L500" i="2"/>
  <c r="Z499" i="2"/>
  <c r="Y499" i="2"/>
  <c r="X499" i="2"/>
  <c r="M499" i="2"/>
  <c r="N499" i="2" s="1"/>
  <c r="L499" i="2"/>
  <c r="Z498" i="2"/>
  <c r="Y498" i="2"/>
  <c r="X498" i="2"/>
  <c r="M498" i="2"/>
  <c r="N498" i="2" s="1"/>
  <c r="L498" i="2"/>
  <c r="Z497" i="2"/>
  <c r="Y497" i="2"/>
  <c r="X497" i="2"/>
  <c r="L497" i="2"/>
  <c r="M497" i="2" s="1"/>
  <c r="N497" i="2" s="1"/>
  <c r="Z496" i="2"/>
  <c r="Y496" i="2"/>
  <c r="X496" i="2"/>
  <c r="N496" i="2"/>
  <c r="M496" i="2"/>
  <c r="L496" i="2"/>
  <c r="Z495" i="2"/>
  <c r="Y495" i="2"/>
  <c r="X495" i="2"/>
  <c r="L495" i="2"/>
  <c r="M495" i="2" s="1"/>
  <c r="N495" i="2" s="1"/>
  <c r="Z494" i="2"/>
  <c r="Y494" i="2"/>
  <c r="X494" i="2"/>
  <c r="M494" i="2"/>
  <c r="N494" i="2" s="1"/>
  <c r="L494" i="2"/>
  <c r="Z493" i="2"/>
  <c r="Y493" i="2"/>
  <c r="X493" i="2"/>
  <c r="L493" i="2"/>
  <c r="M493" i="2" s="1"/>
  <c r="N493" i="2" s="1"/>
  <c r="Z492" i="2"/>
  <c r="Y492" i="2"/>
  <c r="X492" i="2"/>
  <c r="N492" i="2"/>
  <c r="M492" i="2"/>
  <c r="L492" i="2"/>
  <c r="Z491" i="2"/>
  <c r="Y491" i="2"/>
  <c r="X491" i="2"/>
  <c r="L491" i="2"/>
  <c r="M491" i="2" s="1"/>
  <c r="N491" i="2" s="1"/>
  <c r="Z490" i="2"/>
  <c r="Y490" i="2"/>
  <c r="X490" i="2"/>
  <c r="M490" i="2"/>
  <c r="N490" i="2" s="1"/>
  <c r="L490" i="2"/>
  <c r="Z489" i="2"/>
  <c r="Y489" i="2"/>
  <c r="X489" i="2"/>
  <c r="L489" i="2"/>
  <c r="M489" i="2" s="1"/>
  <c r="N489" i="2" s="1"/>
  <c r="Z488" i="2"/>
  <c r="Y488" i="2"/>
  <c r="X488" i="2"/>
  <c r="N488" i="2"/>
  <c r="M488" i="2"/>
  <c r="L488" i="2"/>
  <c r="Z487" i="2"/>
  <c r="Y487" i="2"/>
  <c r="X487" i="2"/>
  <c r="L487" i="2"/>
  <c r="M487" i="2" s="1"/>
  <c r="N487" i="2" s="1"/>
  <c r="Z486" i="2"/>
  <c r="Y486" i="2"/>
  <c r="X486" i="2"/>
  <c r="M486" i="2"/>
  <c r="N486" i="2" s="1"/>
  <c r="L486" i="2"/>
  <c r="Z485" i="2"/>
  <c r="Y485" i="2"/>
  <c r="X485" i="2"/>
  <c r="L485" i="2"/>
  <c r="M485" i="2" s="1"/>
  <c r="N485" i="2" s="1"/>
  <c r="Z484" i="2"/>
  <c r="Y484" i="2"/>
  <c r="X484" i="2"/>
  <c r="N484" i="2"/>
  <c r="M484" i="2"/>
  <c r="L484" i="2"/>
  <c r="Z483" i="2"/>
  <c r="Y483" i="2"/>
  <c r="X483" i="2"/>
  <c r="M483" i="2"/>
  <c r="N483" i="2" s="1"/>
  <c r="L483" i="2"/>
  <c r="Z482" i="2"/>
  <c r="Y482" i="2"/>
  <c r="X482" i="2"/>
  <c r="M482" i="2"/>
  <c r="N482" i="2" s="1"/>
  <c r="L482" i="2"/>
  <c r="Z481" i="2"/>
  <c r="Y481" i="2"/>
  <c r="X481" i="2"/>
  <c r="L481" i="2"/>
  <c r="M481" i="2" s="1"/>
  <c r="N481" i="2" s="1"/>
  <c r="Z480" i="2"/>
  <c r="Y480" i="2"/>
  <c r="X480" i="2"/>
  <c r="N480" i="2"/>
  <c r="M480" i="2"/>
  <c r="L480" i="2"/>
  <c r="Z479" i="2"/>
  <c r="Y479" i="2"/>
  <c r="X479" i="2"/>
  <c r="L479" i="2"/>
  <c r="M479" i="2" s="1"/>
  <c r="N479" i="2" s="1"/>
  <c r="Z478" i="2"/>
  <c r="Y478" i="2"/>
  <c r="X478" i="2"/>
  <c r="M478" i="2"/>
  <c r="N478" i="2" s="1"/>
  <c r="L478" i="2"/>
  <c r="Z477" i="2"/>
  <c r="Y477" i="2"/>
  <c r="X477" i="2"/>
  <c r="L477" i="2"/>
  <c r="M477" i="2" s="1"/>
  <c r="N477" i="2" s="1"/>
  <c r="Z476" i="2"/>
  <c r="Y476" i="2"/>
  <c r="X476" i="2"/>
  <c r="N476" i="2"/>
  <c r="M476" i="2"/>
  <c r="L476" i="2"/>
  <c r="Z475" i="2"/>
  <c r="Y475" i="2"/>
  <c r="X475" i="2"/>
  <c r="L475" i="2"/>
  <c r="M475" i="2" s="1"/>
  <c r="N475" i="2" s="1"/>
  <c r="Z474" i="2"/>
  <c r="Y474" i="2"/>
  <c r="X474" i="2"/>
  <c r="M474" i="2"/>
  <c r="N474" i="2" s="1"/>
  <c r="L474" i="2"/>
  <c r="Z473" i="2"/>
  <c r="Y473" i="2"/>
  <c r="X473" i="2"/>
  <c r="L473" i="2"/>
  <c r="M473" i="2" s="1"/>
  <c r="N473" i="2" s="1"/>
  <c r="Z472" i="2"/>
  <c r="Y472" i="2"/>
  <c r="X472" i="2"/>
  <c r="N472" i="2"/>
  <c r="M472" i="2"/>
  <c r="L472" i="2"/>
  <c r="Z471" i="2"/>
  <c r="Y471" i="2"/>
  <c r="X471" i="2"/>
  <c r="L471" i="2"/>
  <c r="M471" i="2" s="1"/>
  <c r="N471" i="2" s="1"/>
  <c r="Z470" i="2"/>
  <c r="Y470" i="2"/>
  <c r="X470" i="2"/>
  <c r="M470" i="2"/>
  <c r="N470" i="2" s="1"/>
  <c r="L470" i="2"/>
  <c r="Z469" i="2"/>
  <c r="Y469" i="2"/>
  <c r="X469" i="2"/>
  <c r="L469" i="2"/>
  <c r="M469" i="2" s="1"/>
  <c r="N469" i="2" s="1"/>
  <c r="Z468" i="2"/>
  <c r="Y468" i="2"/>
  <c r="X468" i="2"/>
  <c r="N468" i="2"/>
  <c r="M468" i="2"/>
  <c r="L468" i="2"/>
  <c r="Z467" i="2"/>
  <c r="Y467" i="2"/>
  <c r="X467" i="2"/>
  <c r="M467" i="2"/>
  <c r="N467" i="2" s="1"/>
  <c r="L467" i="2"/>
  <c r="Z466" i="2"/>
  <c r="Y466" i="2"/>
  <c r="X466" i="2"/>
  <c r="M466" i="2"/>
  <c r="N466" i="2" s="1"/>
  <c r="L466" i="2"/>
  <c r="Z465" i="2"/>
  <c r="Y465" i="2"/>
  <c r="X465" i="2"/>
  <c r="L465" i="2"/>
  <c r="M465" i="2" s="1"/>
  <c r="N465" i="2" s="1"/>
  <c r="Z464" i="2"/>
  <c r="Y464" i="2"/>
  <c r="X464" i="2"/>
  <c r="N464" i="2"/>
  <c r="M464" i="2"/>
  <c r="L464" i="2"/>
  <c r="Z463" i="2"/>
  <c r="Y463" i="2"/>
  <c r="X463" i="2"/>
  <c r="L463" i="2"/>
  <c r="M463" i="2" s="1"/>
  <c r="N463" i="2" s="1"/>
  <c r="Z462" i="2"/>
  <c r="Y462" i="2"/>
  <c r="X462" i="2"/>
  <c r="M462" i="2"/>
  <c r="N462" i="2" s="1"/>
  <c r="L462" i="2"/>
  <c r="Z461" i="2"/>
  <c r="Y461" i="2"/>
  <c r="X461" i="2"/>
  <c r="L461" i="2"/>
  <c r="M461" i="2" s="1"/>
  <c r="N461" i="2" s="1"/>
  <c r="Z460" i="2"/>
  <c r="Y460" i="2"/>
  <c r="X460" i="2"/>
  <c r="N460" i="2"/>
  <c r="M460" i="2"/>
  <c r="L460" i="2"/>
  <c r="Z459" i="2"/>
  <c r="Y459" i="2"/>
  <c r="X459" i="2"/>
  <c r="L459" i="2"/>
  <c r="M459" i="2" s="1"/>
  <c r="N459" i="2" s="1"/>
  <c r="Z458" i="2"/>
  <c r="Y458" i="2"/>
  <c r="X458" i="2"/>
  <c r="M458" i="2"/>
  <c r="N458" i="2" s="1"/>
  <c r="L458" i="2"/>
  <c r="Z457" i="2"/>
  <c r="Y457" i="2"/>
  <c r="X457" i="2"/>
  <c r="L457" i="2"/>
  <c r="M457" i="2" s="1"/>
  <c r="N457" i="2" s="1"/>
  <c r="Z456" i="2"/>
  <c r="Y456" i="2"/>
  <c r="X456" i="2"/>
  <c r="N456" i="2"/>
  <c r="M456" i="2"/>
  <c r="L456" i="2"/>
  <c r="Z455" i="2"/>
  <c r="Y455" i="2"/>
  <c r="X455" i="2"/>
  <c r="L455" i="2"/>
  <c r="M455" i="2" s="1"/>
  <c r="N455" i="2" s="1"/>
  <c r="Z454" i="2"/>
  <c r="Y454" i="2"/>
  <c r="X454" i="2"/>
  <c r="M454" i="2"/>
  <c r="N454" i="2" s="1"/>
  <c r="L454" i="2"/>
  <c r="Z453" i="2"/>
  <c r="Y453" i="2"/>
  <c r="X453" i="2"/>
  <c r="L453" i="2"/>
  <c r="M453" i="2" s="1"/>
  <c r="N453" i="2" s="1"/>
  <c r="Z452" i="2"/>
  <c r="Y452" i="2"/>
  <c r="X452" i="2"/>
  <c r="N452" i="2"/>
  <c r="M452" i="2"/>
  <c r="L452" i="2"/>
  <c r="Z451" i="2"/>
  <c r="Y451" i="2"/>
  <c r="X451" i="2"/>
  <c r="L451" i="2"/>
  <c r="M451" i="2" s="1"/>
  <c r="N451" i="2" s="1"/>
  <c r="Z450" i="2"/>
  <c r="Y450" i="2"/>
  <c r="X450" i="2"/>
  <c r="M450" i="2"/>
  <c r="N450" i="2" s="1"/>
  <c r="L450" i="2"/>
  <c r="Z449" i="2"/>
  <c r="Y449" i="2"/>
  <c r="X449" i="2"/>
  <c r="L449" i="2"/>
  <c r="M449" i="2" s="1"/>
  <c r="N449" i="2" s="1"/>
  <c r="Z448" i="2"/>
  <c r="Y448" i="2"/>
  <c r="X448" i="2"/>
  <c r="N448" i="2"/>
  <c r="M448" i="2"/>
  <c r="L448" i="2"/>
  <c r="Z447" i="2"/>
  <c r="Y447" i="2"/>
  <c r="X447" i="2"/>
  <c r="L447" i="2"/>
  <c r="M447" i="2" s="1"/>
  <c r="N447" i="2" s="1"/>
  <c r="Z446" i="2"/>
  <c r="Y446" i="2"/>
  <c r="X446" i="2"/>
  <c r="M446" i="2"/>
  <c r="N446" i="2" s="1"/>
  <c r="L446" i="2"/>
  <c r="Z445" i="2"/>
  <c r="Y445" i="2"/>
  <c r="X445" i="2"/>
  <c r="L445" i="2"/>
  <c r="M445" i="2" s="1"/>
  <c r="N445" i="2" s="1"/>
  <c r="Z444" i="2"/>
  <c r="Y444" i="2"/>
  <c r="X444" i="2"/>
  <c r="N444" i="2"/>
  <c r="M444" i="2"/>
  <c r="L444" i="2"/>
  <c r="Z443" i="2"/>
  <c r="Y443" i="2"/>
  <c r="X443" i="2"/>
  <c r="L443" i="2"/>
  <c r="M443" i="2" s="1"/>
  <c r="N443" i="2" s="1"/>
  <c r="Z442" i="2"/>
  <c r="Y442" i="2"/>
  <c r="X442" i="2"/>
  <c r="M442" i="2"/>
  <c r="N442" i="2" s="1"/>
  <c r="L442" i="2"/>
  <c r="Z441" i="2"/>
  <c r="Y441" i="2"/>
  <c r="X441" i="2"/>
  <c r="L441" i="2"/>
  <c r="M441" i="2" s="1"/>
  <c r="N441" i="2" s="1"/>
  <c r="Z440" i="2"/>
  <c r="Y440" i="2"/>
  <c r="X440" i="2"/>
  <c r="N440" i="2"/>
  <c r="M440" i="2"/>
  <c r="L440" i="2"/>
  <c r="Z439" i="2"/>
  <c r="Y439" i="2"/>
  <c r="X439" i="2"/>
  <c r="L439" i="2"/>
  <c r="M439" i="2" s="1"/>
  <c r="N439" i="2" s="1"/>
  <c r="Z438" i="2"/>
  <c r="Y438" i="2"/>
  <c r="X438" i="2"/>
  <c r="M438" i="2"/>
  <c r="N438" i="2" s="1"/>
  <c r="L438" i="2"/>
  <c r="Z437" i="2"/>
  <c r="Y437" i="2"/>
  <c r="X437" i="2"/>
  <c r="L437" i="2"/>
  <c r="M437" i="2" s="1"/>
  <c r="N437" i="2" s="1"/>
  <c r="Z436" i="2"/>
  <c r="Y436" i="2"/>
  <c r="X436" i="2"/>
  <c r="N436" i="2"/>
  <c r="M436" i="2"/>
  <c r="L436" i="2"/>
  <c r="Z435" i="2"/>
  <c r="Y435" i="2"/>
  <c r="X435" i="2"/>
  <c r="M435" i="2"/>
  <c r="N435" i="2" s="1"/>
  <c r="L435" i="2"/>
  <c r="Z434" i="2"/>
  <c r="Y434" i="2"/>
  <c r="X434" i="2"/>
  <c r="M434" i="2"/>
  <c r="N434" i="2" s="1"/>
  <c r="L434" i="2"/>
  <c r="Z433" i="2"/>
  <c r="Y433" i="2"/>
  <c r="X433" i="2"/>
  <c r="L433" i="2"/>
  <c r="M433" i="2" s="1"/>
  <c r="N433" i="2" s="1"/>
  <c r="Z432" i="2"/>
  <c r="Y432" i="2"/>
  <c r="X432" i="2"/>
  <c r="N432" i="2"/>
  <c r="M432" i="2"/>
  <c r="L432" i="2"/>
  <c r="Z431" i="2"/>
  <c r="Y431" i="2"/>
  <c r="X431" i="2"/>
  <c r="L431" i="2"/>
  <c r="M431" i="2" s="1"/>
  <c r="N431" i="2" s="1"/>
  <c r="Z430" i="2"/>
  <c r="Y430" i="2"/>
  <c r="X430" i="2"/>
  <c r="M430" i="2"/>
  <c r="N430" i="2" s="1"/>
  <c r="L430" i="2"/>
  <c r="Z429" i="2"/>
  <c r="Y429" i="2"/>
  <c r="X429" i="2"/>
  <c r="L429" i="2"/>
  <c r="M429" i="2" s="1"/>
  <c r="N429" i="2" s="1"/>
  <c r="Z428" i="2"/>
  <c r="Y428" i="2"/>
  <c r="X428" i="2"/>
  <c r="N428" i="2"/>
  <c r="M428" i="2"/>
  <c r="L428" i="2"/>
  <c r="Z427" i="2"/>
  <c r="Y427" i="2"/>
  <c r="X427" i="2"/>
  <c r="L427" i="2"/>
  <c r="M427" i="2" s="1"/>
  <c r="N427" i="2" s="1"/>
  <c r="Z426" i="2"/>
  <c r="Y426" i="2"/>
  <c r="X426" i="2"/>
  <c r="M426" i="2"/>
  <c r="N426" i="2" s="1"/>
  <c r="L426" i="2"/>
  <c r="Z425" i="2"/>
  <c r="Y425" i="2"/>
  <c r="X425" i="2"/>
  <c r="L425" i="2"/>
  <c r="M425" i="2" s="1"/>
  <c r="N425" i="2" s="1"/>
  <c r="Z424" i="2"/>
  <c r="Y424" i="2"/>
  <c r="X424" i="2"/>
  <c r="N424" i="2"/>
  <c r="M424" i="2"/>
  <c r="L424" i="2"/>
  <c r="Z423" i="2"/>
  <c r="Y423" i="2"/>
  <c r="X423" i="2"/>
  <c r="L423" i="2"/>
  <c r="M423" i="2" s="1"/>
  <c r="N423" i="2" s="1"/>
  <c r="Z422" i="2"/>
  <c r="Y422" i="2"/>
  <c r="X422" i="2"/>
  <c r="M422" i="2"/>
  <c r="N422" i="2" s="1"/>
  <c r="L422" i="2"/>
  <c r="Z421" i="2"/>
  <c r="Y421" i="2"/>
  <c r="X421" i="2"/>
  <c r="L421" i="2"/>
  <c r="M421" i="2" s="1"/>
  <c r="N421" i="2" s="1"/>
  <c r="Z420" i="2"/>
  <c r="Y420" i="2"/>
  <c r="X420" i="2"/>
  <c r="N420" i="2"/>
  <c r="M420" i="2"/>
  <c r="L420" i="2"/>
  <c r="Z419" i="2"/>
  <c r="Y419" i="2"/>
  <c r="X419" i="2"/>
  <c r="M419" i="2"/>
  <c r="N419" i="2" s="1"/>
  <c r="L419" i="2"/>
  <c r="Z418" i="2"/>
  <c r="Y418" i="2"/>
  <c r="X418" i="2"/>
  <c r="M418" i="2"/>
  <c r="N418" i="2" s="1"/>
  <c r="L418" i="2"/>
  <c r="Z417" i="2"/>
  <c r="Y417" i="2"/>
  <c r="X417" i="2"/>
  <c r="L417" i="2"/>
  <c r="M417" i="2" s="1"/>
  <c r="N417" i="2" s="1"/>
  <c r="Z416" i="2"/>
  <c r="Y416" i="2"/>
  <c r="X416" i="2"/>
  <c r="N416" i="2"/>
  <c r="M416" i="2"/>
  <c r="L416" i="2"/>
  <c r="Z415" i="2"/>
  <c r="Y415" i="2"/>
  <c r="X415" i="2"/>
  <c r="L415" i="2"/>
  <c r="M415" i="2" s="1"/>
  <c r="N415" i="2" s="1"/>
  <c r="Z414" i="2"/>
  <c r="Y414" i="2"/>
  <c r="X414" i="2"/>
  <c r="M414" i="2"/>
  <c r="N414" i="2" s="1"/>
  <c r="L414" i="2"/>
  <c r="Z413" i="2"/>
  <c r="Y413" i="2"/>
  <c r="X413" i="2"/>
  <c r="L413" i="2"/>
  <c r="M413" i="2" s="1"/>
  <c r="N413" i="2" s="1"/>
  <c r="Z412" i="2"/>
  <c r="Y412" i="2"/>
  <c r="X412" i="2"/>
  <c r="N412" i="2"/>
  <c r="M412" i="2"/>
  <c r="L412" i="2"/>
  <c r="Z411" i="2"/>
  <c r="Y411" i="2"/>
  <c r="X411" i="2"/>
  <c r="L411" i="2"/>
  <c r="M411" i="2" s="1"/>
  <c r="N411" i="2" s="1"/>
  <c r="Z410" i="2"/>
  <c r="Y410" i="2"/>
  <c r="X410" i="2"/>
  <c r="M410" i="2"/>
  <c r="N410" i="2" s="1"/>
  <c r="L410" i="2"/>
  <c r="Z409" i="2"/>
  <c r="Y409" i="2"/>
  <c r="X409" i="2"/>
  <c r="L409" i="2"/>
  <c r="M409" i="2" s="1"/>
  <c r="N409" i="2" s="1"/>
  <c r="Z408" i="2"/>
  <c r="Y408" i="2"/>
  <c r="X408" i="2"/>
  <c r="N408" i="2"/>
  <c r="M408" i="2"/>
  <c r="L408" i="2"/>
  <c r="Z407" i="2"/>
  <c r="Y407" i="2"/>
  <c r="X407" i="2"/>
  <c r="L407" i="2"/>
  <c r="M407" i="2" s="1"/>
  <c r="N407" i="2" s="1"/>
  <c r="Z406" i="2"/>
  <c r="Y406" i="2"/>
  <c r="X406" i="2"/>
  <c r="M406" i="2"/>
  <c r="N406" i="2" s="1"/>
  <c r="L406" i="2"/>
  <c r="Z405" i="2"/>
  <c r="Y405" i="2"/>
  <c r="X405" i="2"/>
  <c r="L405" i="2"/>
  <c r="M405" i="2" s="1"/>
  <c r="N405" i="2" s="1"/>
  <c r="Z404" i="2"/>
  <c r="Y404" i="2"/>
  <c r="X404" i="2"/>
  <c r="N404" i="2"/>
  <c r="M404" i="2"/>
  <c r="L404" i="2"/>
  <c r="Z403" i="2"/>
  <c r="Y403" i="2"/>
  <c r="X403" i="2"/>
  <c r="M403" i="2"/>
  <c r="N403" i="2" s="1"/>
  <c r="L403" i="2"/>
  <c r="Z402" i="2"/>
  <c r="Y402" i="2"/>
  <c r="X402" i="2"/>
  <c r="M402" i="2"/>
  <c r="N402" i="2" s="1"/>
  <c r="L402" i="2"/>
  <c r="Z401" i="2"/>
  <c r="Y401" i="2"/>
  <c r="X401" i="2"/>
  <c r="L401" i="2"/>
  <c r="M401" i="2" s="1"/>
  <c r="N401" i="2" s="1"/>
  <c r="Z400" i="2"/>
  <c r="Y400" i="2"/>
  <c r="X400" i="2"/>
  <c r="N400" i="2"/>
  <c r="M400" i="2"/>
  <c r="L400" i="2"/>
  <c r="Z399" i="2"/>
  <c r="Y399" i="2"/>
  <c r="X399" i="2"/>
  <c r="L399" i="2"/>
  <c r="M399" i="2" s="1"/>
  <c r="N399" i="2" s="1"/>
  <c r="Z398" i="2"/>
  <c r="Y398" i="2"/>
  <c r="X398" i="2"/>
  <c r="M398" i="2"/>
  <c r="N398" i="2" s="1"/>
  <c r="L398" i="2"/>
  <c r="Z397" i="2"/>
  <c r="Y397" i="2"/>
  <c r="X397" i="2"/>
  <c r="L397" i="2"/>
  <c r="M397" i="2" s="1"/>
  <c r="N397" i="2" s="1"/>
  <c r="Z396" i="2"/>
  <c r="Y396" i="2"/>
  <c r="X396" i="2"/>
  <c r="N396" i="2"/>
  <c r="M396" i="2"/>
  <c r="L396" i="2"/>
  <c r="Z395" i="2"/>
  <c r="Y395" i="2"/>
  <c r="X395" i="2"/>
  <c r="L395" i="2"/>
  <c r="M395" i="2" s="1"/>
  <c r="N395" i="2" s="1"/>
  <c r="Z394" i="2"/>
  <c r="Y394" i="2"/>
  <c r="X394" i="2"/>
  <c r="M394" i="2"/>
  <c r="N394" i="2" s="1"/>
  <c r="L394" i="2"/>
  <c r="Z393" i="2"/>
  <c r="Y393" i="2"/>
  <c r="X393" i="2"/>
  <c r="L393" i="2"/>
  <c r="M393" i="2" s="1"/>
  <c r="N393" i="2" s="1"/>
  <c r="Z392" i="2"/>
  <c r="Y392" i="2"/>
  <c r="X392" i="2"/>
  <c r="N392" i="2"/>
  <c r="M392" i="2"/>
  <c r="L392" i="2"/>
  <c r="Z391" i="2"/>
  <c r="Y391" i="2"/>
  <c r="X391" i="2"/>
  <c r="L391" i="2"/>
  <c r="M391" i="2" s="1"/>
  <c r="N391" i="2" s="1"/>
  <c r="Z390" i="2"/>
  <c r="Y390" i="2"/>
  <c r="X390" i="2"/>
  <c r="M390" i="2"/>
  <c r="N390" i="2" s="1"/>
  <c r="L390" i="2"/>
  <c r="Z389" i="2"/>
  <c r="Y389" i="2"/>
  <c r="X389" i="2"/>
  <c r="L389" i="2"/>
  <c r="M389" i="2" s="1"/>
  <c r="N389" i="2" s="1"/>
  <c r="Z388" i="2"/>
  <c r="Y388" i="2"/>
  <c r="X388" i="2"/>
  <c r="N388" i="2"/>
  <c r="M388" i="2"/>
  <c r="L388" i="2"/>
  <c r="Z387" i="2"/>
  <c r="Y387" i="2"/>
  <c r="X387" i="2"/>
  <c r="L387" i="2"/>
  <c r="M387" i="2" s="1"/>
  <c r="N387" i="2" s="1"/>
  <c r="Z386" i="2"/>
  <c r="Y386" i="2"/>
  <c r="X386" i="2"/>
  <c r="M386" i="2"/>
  <c r="N386" i="2" s="1"/>
  <c r="L386" i="2"/>
  <c r="Z385" i="2"/>
  <c r="Y385" i="2"/>
  <c r="X385" i="2"/>
  <c r="L385" i="2"/>
  <c r="M385" i="2" s="1"/>
  <c r="N385" i="2" s="1"/>
  <c r="Z384" i="2"/>
  <c r="Y384" i="2"/>
  <c r="X384" i="2"/>
  <c r="N384" i="2"/>
  <c r="M384" i="2"/>
  <c r="L384" i="2"/>
  <c r="Z383" i="2"/>
  <c r="Y383" i="2"/>
  <c r="X383" i="2"/>
  <c r="L383" i="2"/>
  <c r="M383" i="2" s="1"/>
  <c r="N383" i="2" s="1"/>
  <c r="Z382" i="2"/>
  <c r="Y382" i="2"/>
  <c r="X382" i="2"/>
  <c r="M382" i="2"/>
  <c r="N382" i="2" s="1"/>
  <c r="L382" i="2"/>
  <c r="Z381" i="2"/>
  <c r="Y381" i="2"/>
  <c r="X381" i="2"/>
  <c r="L381" i="2"/>
  <c r="M381" i="2" s="1"/>
  <c r="N381" i="2" s="1"/>
  <c r="Z380" i="2"/>
  <c r="Y380" i="2"/>
  <c r="X380" i="2"/>
  <c r="N380" i="2"/>
  <c r="M380" i="2"/>
  <c r="L380" i="2"/>
  <c r="Z379" i="2"/>
  <c r="Y379" i="2"/>
  <c r="X379" i="2"/>
  <c r="L379" i="2"/>
  <c r="M379" i="2" s="1"/>
  <c r="N379" i="2" s="1"/>
  <c r="Z378" i="2"/>
  <c r="Y378" i="2"/>
  <c r="X378" i="2"/>
  <c r="M378" i="2"/>
  <c r="N378" i="2" s="1"/>
  <c r="L378" i="2"/>
  <c r="Z377" i="2"/>
  <c r="Y377" i="2"/>
  <c r="X377" i="2"/>
  <c r="L377" i="2"/>
  <c r="M377" i="2" s="1"/>
  <c r="N377" i="2" s="1"/>
  <c r="Z376" i="2"/>
  <c r="Y376" i="2"/>
  <c r="X376" i="2"/>
  <c r="N376" i="2"/>
  <c r="M376" i="2"/>
  <c r="L376" i="2"/>
  <c r="Z375" i="2"/>
  <c r="Y375" i="2"/>
  <c r="X375" i="2"/>
  <c r="L375" i="2"/>
  <c r="M375" i="2" s="1"/>
  <c r="N375" i="2" s="1"/>
  <c r="Z374" i="2"/>
  <c r="Y374" i="2"/>
  <c r="X374" i="2"/>
  <c r="M374" i="2"/>
  <c r="N374" i="2" s="1"/>
  <c r="L374" i="2"/>
  <c r="Z373" i="2"/>
  <c r="Y373" i="2"/>
  <c r="X373" i="2"/>
  <c r="L373" i="2"/>
  <c r="M373" i="2" s="1"/>
  <c r="N373" i="2" s="1"/>
  <c r="Z372" i="2"/>
  <c r="Y372" i="2"/>
  <c r="X372" i="2"/>
  <c r="N372" i="2"/>
  <c r="M372" i="2"/>
  <c r="L372" i="2"/>
  <c r="Z371" i="2"/>
  <c r="Y371" i="2"/>
  <c r="X371" i="2"/>
  <c r="M371" i="2"/>
  <c r="N371" i="2" s="1"/>
  <c r="L371" i="2"/>
  <c r="Z370" i="2"/>
  <c r="Y370" i="2"/>
  <c r="X370" i="2"/>
  <c r="M370" i="2"/>
  <c r="N370" i="2" s="1"/>
  <c r="L370" i="2"/>
  <c r="Z369" i="2"/>
  <c r="Y369" i="2"/>
  <c r="X369" i="2"/>
  <c r="L369" i="2"/>
  <c r="M369" i="2" s="1"/>
  <c r="N369" i="2" s="1"/>
  <c r="Z368" i="2"/>
  <c r="Y368" i="2"/>
  <c r="X368" i="2"/>
  <c r="N368" i="2"/>
  <c r="M368" i="2"/>
  <c r="L368" i="2"/>
  <c r="Z367" i="2"/>
  <c r="Y367" i="2"/>
  <c r="X367" i="2"/>
  <c r="L367" i="2"/>
  <c r="M367" i="2" s="1"/>
  <c r="N367" i="2" s="1"/>
  <c r="Z366" i="2"/>
  <c r="Y366" i="2"/>
  <c r="X366" i="2"/>
  <c r="M366" i="2"/>
  <c r="N366" i="2" s="1"/>
  <c r="L366" i="2"/>
  <c r="Z365" i="2"/>
  <c r="Y365" i="2"/>
  <c r="X365" i="2"/>
  <c r="L365" i="2"/>
  <c r="M365" i="2" s="1"/>
  <c r="N365" i="2" s="1"/>
  <c r="Z364" i="2"/>
  <c r="Y364" i="2"/>
  <c r="X364" i="2"/>
  <c r="N364" i="2"/>
  <c r="M364" i="2"/>
  <c r="L364" i="2"/>
  <c r="Z363" i="2"/>
  <c r="Y363" i="2"/>
  <c r="X363" i="2"/>
  <c r="L363" i="2"/>
  <c r="M363" i="2" s="1"/>
  <c r="N363" i="2" s="1"/>
  <c r="Z362" i="2"/>
  <c r="Y362" i="2"/>
  <c r="X362" i="2"/>
  <c r="M362" i="2"/>
  <c r="N362" i="2" s="1"/>
  <c r="L362" i="2"/>
  <c r="Z361" i="2"/>
  <c r="Y361" i="2"/>
  <c r="X361" i="2"/>
  <c r="L361" i="2"/>
  <c r="M361" i="2" s="1"/>
  <c r="N361" i="2" s="1"/>
  <c r="Z360" i="2"/>
  <c r="Y360" i="2"/>
  <c r="X360" i="2"/>
  <c r="N360" i="2"/>
  <c r="M360" i="2"/>
  <c r="L360" i="2"/>
  <c r="Z359" i="2"/>
  <c r="Y359" i="2"/>
  <c r="X359" i="2"/>
  <c r="L359" i="2"/>
  <c r="M359" i="2" s="1"/>
  <c r="N359" i="2" s="1"/>
  <c r="Z358" i="2"/>
  <c r="Y358" i="2"/>
  <c r="X358" i="2"/>
  <c r="M358" i="2"/>
  <c r="N358" i="2" s="1"/>
  <c r="L358" i="2"/>
  <c r="Z357" i="2"/>
  <c r="Y357" i="2"/>
  <c r="X357" i="2"/>
  <c r="L357" i="2"/>
  <c r="M357" i="2" s="1"/>
  <c r="N357" i="2" s="1"/>
  <c r="Z356" i="2"/>
  <c r="Y356" i="2"/>
  <c r="X356" i="2"/>
  <c r="N356" i="2"/>
  <c r="M356" i="2"/>
  <c r="L356" i="2"/>
  <c r="Z355" i="2"/>
  <c r="Y355" i="2"/>
  <c r="X355" i="2"/>
  <c r="M355" i="2"/>
  <c r="N355" i="2" s="1"/>
  <c r="L355" i="2"/>
  <c r="Z354" i="2"/>
  <c r="Y354" i="2"/>
  <c r="X354" i="2"/>
  <c r="M354" i="2"/>
  <c r="N354" i="2" s="1"/>
  <c r="L354" i="2"/>
  <c r="Z353" i="2"/>
  <c r="Y353" i="2"/>
  <c r="X353" i="2"/>
  <c r="L353" i="2"/>
  <c r="M353" i="2" s="1"/>
  <c r="N353" i="2" s="1"/>
  <c r="Z352" i="2"/>
  <c r="Y352" i="2"/>
  <c r="X352" i="2"/>
  <c r="N352" i="2"/>
  <c r="M352" i="2"/>
  <c r="L352" i="2"/>
  <c r="Z351" i="2"/>
  <c r="Y351" i="2"/>
  <c r="X351" i="2"/>
  <c r="L351" i="2"/>
  <c r="M351" i="2" s="1"/>
  <c r="N351" i="2" s="1"/>
  <c r="Z350" i="2"/>
  <c r="Y350" i="2"/>
  <c r="X350" i="2"/>
  <c r="M350" i="2"/>
  <c r="N350" i="2" s="1"/>
  <c r="L350" i="2"/>
  <c r="Z349" i="2"/>
  <c r="Y349" i="2"/>
  <c r="X349" i="2"/>
  <c r="L349" i="2"/>
  <c r="M349" i="2" s="1"/>
  <c r="N349" i="2" s="1"/>
  <c r="Z348" i="2"/>
  <c r="Y348" i="2"/>
  <c r="X348" i="2"/>
  <c r="N348" i="2"/>
  <c r="M348" i="2"/>
  <c r="L348" i="2"/>
  <c r="Z347" i="2"/>
  <c r="Y347" i="2"/>
  <c r="X347" i="2"/>
  <c r="M347" i="2"/>
  <c r="N347" i="2" s="1"/>
  <c r="L347" i="2"/>
  <c r="Z346" i="2"/>
  <c r="Y346" i="2"/>
  <c r="X346" i="2"/>
  <c r="M346" i="2"/>
  <c r="N346" i="2" s="1"/>
  <c r="L346" i="2"/>
  <c r="Z345" i="2"/>
  <c r="Y345" i="2"/>
  <c r="X345" i="2"/>
  <c r="N345" i="2"/>
  <c r="L345" i="2"/>
  <c r="M345" i="2" s="1"/>
  <c r="Z344" i="2"/>
  <c r="Y344" i="2"/>
  <c r="X344" i="2"/>
  <c r="M344" i="2"/>
  <c r="N344" i="2" s="1"/>
  <c r="L344" i="2"/>
  <c r="Z343" i="2"/>
  <c r="Y343" i="2"/>
  <c r="X343" i="2"/>
  <c r="L343" i="2"/>
  <c r="M343" i="2" s="1"/>
  <c r="N343" i="2" s="1"/>
  <c r="Z342" i="2"/>
  <c r="Y342" i="2"/>
  <c r="X342" i="2"/>
  <c r="M342" i="2"/>
  <c r="N342" i="2" s="1"/>
  <c r="L342" i="2"/>
  <c r="Z341" i="2"/>
  <c r="Y341" i="2"/>
  <c r="X341" i="2"/>
  <c r="N341" i="2"/>
  <c r="L341" i="2"/>
  <c r="M341" i="2" s="1"/>
  <c r="Z340" i="2"/>
  <c r="Y340" i="2"/>
  <c r="X340" i="2"/>
  <c r="L340" i="2"/>
  <c r="M340" i="2" s="1"/>
  <c r="N340" i="2" s="1"/>
  <c r="Z339" i="2"/>
  <c r="Y339" i="2"/>
  <c r="X339" i="2"/>
  <c r="N339" i="2"/>
  <c r="M339" i="2"/>
  <c r="L339" i="2"/>
  <c r="Z338" i="2"/>
  <c r="Y338" i="2"/>
  <c r="X338" i="2"/>
  <c r="L338" i="2"/>
  <c r="M338" i="2" s="1"/>
  <c r="N338" i="2" s="1"/>
  <c r="Z337" i="2"/>
  <c r="Y337" i="2"/>
  <c r="X337" i="2"/>
  <c r="N337" i="2"/>
  <c r="L337" i="2"/>
  <c r="M337" i="2" s="1"/>
  <c r="Z336" i="2"/>
  <c r="Y336" i="2"/>
  <c r="X336" i="2"/>
  <c r="L336" i="2"/>
  <c r="M336" i="2" s="1"/>
  <c r="N336" i="2" s="1"/>
  <c r="Z335" i="2"/>
  <c r="Y335" i="2"/>
  <c r="X335" i="2"/>
  <c r="M335" i="2"/>
  <c r="N335" i="2" s="1"/>
  <c r="L335" i="2"/>
  <c r="Z334" i="2"/>
  <c r="Y334" i="2"/>
  <c r="X334" i="2"/>
  <c r="N334" i="2"/>
  <c r="M334" i="2"/>
  <c r="L334" i="2"/>
  <c r="Z333" i="2"/>
  <c r="Y333" i="2"/>
  <c r="X333" i="2"/>
  <c r="N333" i="2"/>
  <c r="L333" i="2"/>
  <c r="M333" i="2" s="1"/>
  <c r="Z332" i="2"/>
  <c r="Y332" i="2"/>
  <c r="X332" i="2"/>
  <c r="N332" i="2"/>
  <c r="M332" i="2"/>
  <c r="L332" i="2"/>
  <c r="Z331" i="2"/>
  <c r="Y331" i="2"/>
  <c r="X331" i="2"/>
  <c r="L331" i="2"/>
  <c r="M331" i="2" s="1"/>
  <c r="N331" i="2" s="1"/>
  <c r="Z330" i="2"/>
  <c r="Y330" i="2"/>
  <c r="X330" i="2"/>
  <c r="N330" i="2"/>
  <c r="M330" i="2"/>
  <c r="L330" i="2"/>
  <c r="Z329" i="2"/>
  <c r="Y329" i="2"/>
  <c r="X329" i="2"/>
  <c r="L329" i="2"/>
  <c r="M329" i="2" s="1"/>
  <c r="N329" i="2" s="1"/>
  <c r="Z328" i="2"/>
  <c r="Y328" i="2"/>
  <c r="X328" i="2"/>
  <c r="M328" i="2"/>
  <c r="N328" i="2" s="1"/>
  <c r="L328" i="2"/>
  <c r="Z327" i="2"/>
  <c r="Y327" i="2"/>
  <c r="X327" i="2"/>
  <c r="N327" i="2"/>
  <c r="M327" i="2"/>
  <c r="L327" i="2"/>
  <c r="Z326" i="2"/>
  <c r="Y326" i="2"/>
  <c r="X326" i="2"/>
  <c r="N326" i="2"/>
  <c r="M326" i="2"/>
  <c r="L326" i="2"/>
  <c r="Z325" i="2"/>
  <c r="Y325" i="2"/>
  <c r="X325" i="2"/>
  <c r="N325" i="2"/>
  <c r="L325" i="2"/>
  <c r="M325" i="2" s="1"/>
  <c r="Z324" i="2"/>
  <c r="Y324" i="2"/>
  <c r="X324" i="2"/>
  <c r="L324" i="2"/>
  <c r="M324" i="2" s="1"/>
  <c r="N324" i="2" s="1"/>
  <c r="Z323" i="2"/>
  <c r="Y323" i="2"/>
  <c r="X323" i="2"/>
  <c r="N323" i="2"/>
  <c r="M323" i="2"/>
  <c r="L323" i="2"/>
  <c r="Z322" i="2"/>
  <c r="Y322" i="2"/>
  <c r="X322" i="2"/>
  <c r="L322" i="2"/>
  <c r="M322" i="2" s="1"/>
  <c r="N322" i="2" s="1"/>
  <c r="Z321" i="2"/>
  <c r="Y321" i="2"/>
  <c r="X321" i="2"/>
  <c r="N321" i="2"/>
  <c r="L321" i="2"/>
  <c r="M321" i="2" s="1"/>
  <c r="Z320" i="2"/>
  <c r="Y320" i="2"/>
  <c r="X320" i="2"/>
  <c r="N320" i="2"/>
  <c r="M320" i="2"/>
  <c r="L320" i="2"/>
  <c r="Z319" i="2"/>
  <c r="Y319" i="2"/>
  <c r="X319" i="2"/>
  <c r="M319" i="2"/>
  <c r="N319" i="2" s="1"/>
  <c r="L319" i="2"/>
  <c r="Z318" i="2"/>
  <c r="Y318" i="2"/>
  <c r="X318" i="2"/>
  <c r="L318" i="2"/>
  <c r="M318" i="2" s="1"/>
  <c r="N318" i="2" s="1"/>
  <c r="Z317" i="2"/>
  <c r="Y317" i="2"/>
  <c r="X317" i="2"/>
  <c r="L317" i="2"/>
  <c r="M317" i="2" s="1"/>
  <c r="N317" i="2" s="1"/>
  <c r="Z316" i="2"/>
  <c r="Y316" i="2"/>
  <c r="X316" i="2"/>
  <c r="N316" i="2"/>
  <c r="M316" i="2"/>
  <c r="L316" i="2"/>
  <c r="Z315" i="2"/>
  <c r="Y315" i="2"/>
  <c r="X315" i="2"/>
  <c r="L315" i="2"/>
  <c r="M315" i="2" s="1"/>
  <c r="N315" i="2" s="1"/>
  <c r="Z314" i="2"/>
  <c r="Y314" i="2"/>
  <c r="X314" i="2"/>
  <c r="N314" i="2"/>
  <c r="M314" i="2"/>
  <c r="L314" i="2"/>
  <c r="Z313" i="2"/>
  <c r="Y313" i="2"/>
  <c r="X313" i="2"/>
  <c r="N313" i="2"/>
  <c r="L313" i="2"/>
  <c r="M313" i="2" s="1"/>
  <c r="Z312" i="2"/>
  <c r="Y312" i="2"/>
  <c r="X312" i="2"/>
  <c r="M312" i="2"/>
  <c r="N312" i="2" s="1"/>
  <c r="L312" i="2"/>
  <c r="Z311" i="2"/>
  <c r="Y311" i="2"/>
  <c r="X311" i="2"/>
  <c r="L311" i="2"/>
  <c r="M311" i="2" s="1"/>
  <c r="N311" i="2" s="1"/>
  <c r="Z310" i="2"/>
  <c r="Y310" i="2"/>
  <c r="X310" i="2"/>
  <c r="M310" i="2"/>
  <c r="N310" i="2" s="1"/>
  <c r="L310" i="2"/>
  <c r="Z309" i="2"/>
  <c r="Y309" i="2"/>
  <c r="X309" i="2"/>
  <c r="N309" i="2"/>
  <c r="L309" i="2"/>
  <c r="M309" i="2" s="1"/>
  <c r="Z308" i="2"/>
  <c r="Y308" i="2"/>
  <c r="X308" i="2"/>
  <c r="L308" i="2"/>
  <c r="M308" i="2" s="1"/>
  <c r="N308" i="2" s="1"/>
  <c r="Z307" i="2"/>
  <c r="Y307" i="2"/>
  <c r="X307" i="2"/>
  <c r="N307" i="2"/>
  <c r="M307" i="2"/>
  <c r="L307" i="2"/>
  <c r="Z306" i="2"/>
  <c r="Y306" i="2"/>
  <c r="X306" i="2"/>
  <c r="L306" i="2"/>
  <c r="M306" i="2" s="1"/>
  <c r="N306" i="2" s="1"/>
  <c r="Z305" i="2"/>
  <c r="Y305" i="2"/>
  <c r="X305" i="2"/>
  <c r="N305" i="2"/>
  <c r="L305" i="2"/>
  <c r="M305" i="2" s="1"/>
  <c r="Z304" i="2"/>
  <c r="Y304" i="2"/>
  <c r="X304" i="2"/>
  <c r="L304" i="2"/>
  <c r="M304" i="2" s="1"/>
  <c r="N304" i="2" s="1"/>
  <c r="Z303" i="2"/>
  <c r="Y303" i="2"/>
  <c r="X303" i="2"/>
  <c r="M303" i="2"/>
  <c r="N303" i="2" s="1"/>
  <c r="L303" i="2"/>
  <c r="Z302" i="2"/>
  <c r="Y302" i="2"/>
  <c r="X302" i="2"/>
  <c r="N302" i="2"/>
  <c r="M302" i="2"/>
  <c r="L302" i="2"/>
  <c r="Z301" i="2"/>
  <c r="Y301" i="2"/>
  <c r="X301" i="2"/>
  <c r="N301" i="2"/>
  <c r="L301" i="2"/>
  <c r="M301" i="2" s="1"/>
  <c r="Z300" i="2"/>
  <c r="Y300" i="2"/>
  <c r="X300" i="2"/>
  <c r="N300" i="2"/>
  <c r="M300" i="2"/>
  <c r="L300" i="2"/>
  <c r="Z299" i="2"/>
  <c r="Y299" i="2"/>
  <c r="X299" i="2"/>
  <c r="L299" i="2"/>
  <c r="M299" i="2" s="1"/>
  <c r="N299" i="2" s="1"/>
  <c r="Z298" i="2"/>
  <c r="Y298" i="2"/>
  <c r="X298" i="2"/>
  <c r="N298" i="2"/>
  <c r="M298" i="2"/>
  <c r="L298" i="2"/>
  <c r="Z297" i="2"/>
  <c r="Y297" i="2"/>
  <c r="X297" i="2"/>
  <c r="L297" i="2"/>
  <c r="M297" i="2" s="1"/>
  <c r="N297" i="2" s="1"/>
  <c r="Z296" i="2"/>
  <c r="Y296" i="2"/>
  <c r="X296" i="2"/>
  <c r="M296" i="2"/>
  <c r="N296" i="2" s="1"/>
  <c r="L296" i="2"/>
  <c r="Z295" i="2"/>
  <c r="Y295" i="2"/>
  <c r="X295" i="2"/>
  <c r="N295" i="2"/>
  <c r="M295" i="2"/>
  <c r="L295" i="2"/>
  <c r="Z294" i="2"/>
  <c r="Y294" i="2"/>
  <c r="X294" i="2"/>
  <c r="N294" i="2"/>
  <c r="M294" i="2"/>
  <c r="L294" i="2"/>
  <c r="Z293" i="2"/>
  <c r="Y293" i="2"/>
  <c r="X293" i="2"/>
  <c r="L293" i="2"/>
  <c r="M293" i="2" s="1"/>
  <c r="N293" i="2" s="1"/>
  <c r="Z292" i="2"/>
  <c r="Y292" i="2"/>
  <c r="X292" i="2"/>
  <c r="M292" i="2"/>
  <c r="N292" i="2" s="1"/>
  <c r="L292" i="2"/>
  <c r="Z291" i="2"/>
  <c r="Y291" i="2"/>
  <c r="X291" i="2"/>
  <c r="N291" i="2"/>
  <c r="M291" i="2"/>
  <c r="L291" i="2"/>
  <c r="Z290" i="2"/>
  <c r="Y290" i="2"/>
  <c r="X290" i="2"/>
  <c r="M290" i="2"/>
  <c r="N290" i="2" s="1"/>
  <c r="L290" i="2"/>
  <c r="Z289" i="2"/>
  <c r="Y289" i="2"/>
  <c r="X289" i="2"/>
  <c r="L289" i="2"/>
  <c r="M289" i="2" s="1"/>
  <c r="N289" i="2" s="1"/>
  <c r="Z288" i="2"/>
  <c r="Y288" i="2"/>
  <c r="X288" i="2"/>
  <c r="M288" i="2"/>
  <c r="N288" i="2" s="1"/>
  <c r="L288" i="2"/>
  <c r="Z287" i="2"/>
  <c r="Y287" i="2"/>
  <c r="X287" i="2"/>
  <c r="N287" i="2"/>
  <c r="M287" i="2"/>
  <c r="L287" i="2"/>
  <c r="Z286" i="2"/>
  <c r="Y286" i="2"/>
  <c r="X286" i="2"/>
  <c r="N286" i="2"/>
  <c r="M286" i="2"/>
  <c r="L286" i="2"/>
  <c r="Z285" i="2"/>
  <c r="Y285" i="2"/>
  <c r="X285" i="2"/>
  <c r="L285" i="2"/>
  <c r="M285" i="2" s="1"/>
  <c r="N285" i="2" s="1"/>
  <c r="Z284" i="2"/>
  <c r="Y284" i="2"/>
  <c r="X284" i="2"/>
  <c r="M284" i="2"/>
  <c r="N284" i="2" s="1"/>
  <c r="L284" i="2"/>
  <c r="Z283" i="2"/>
  <c r="Y283" i="2"/>
  <c r="X283" i="2"/>
  <c r="N283" i="2"/>
  <c r="M283" i="2"/>
  <c r="L283" i="2"/>
  <c r="Z282" i="2"/>
  <c r="Y282" i="2"/>
  <c r="X282" i="2"/>
  <c r="M282" i="2"/>
  <c r="N282" i="2" s="1"/>
  <c r="L282" i="2"/>
  <c r="Z281" i="2"/>
  <c r="Y281" i="2"/>
  <c r="X281" i="2"/>
  <c r="L281" i="2"/>
  <c r="M281" i="2" s="1"/>
  <c r="N281" i="2" s="1"/>
  <c r="Z280" i="2"/>
  <c r="Y280" i="2"/>
  <c r="X280" i="2"/>
  <c r="M280" i="2"/>
  <c r="N280" i="2" s="1"/>
  <c r="L280" i="2"/>
  <c r="Z279" i="2"/>
  <c r="Y279" i="2"/>
  <c r="X279" i="2"/>
  <c r="N279" i="2"/>
  <c r="M279" i="2"/>
  <c r="L279" i="2"/>
  <c r="Z278" i="2"/>
  <c r="Y278" i="2"/>
  <c r="X278" i="2"/>
  <c r="N278" i="2"/>
  <c r="M278" i="2"/>
  <c r="L278" i="2"/>
  <c r="Z277" i="2"/>
  <c r="Y277" i="2"/>
  <c r="X277" i="2"/>
  <c r="L277" i="2"/>
  <c r="M277" i="2" s="1"/>
  <c r="N277" i="2" s="1"/>
  <c r="Z276" i="2"/>
  <c r="Y276" i="2"/>
  <c r="X276" i="2"/>
  <c r="M276" i="2"/>
  <c r="N276" i="2" s="1"/>
  <c r="L276" i="2"/>
  <c r="Z275" i="2"/>
  <c r="Y275" i="2"/>
  <c r="X275" i="2"/>
  <c r="N275" i="2"/>
  <c r="M275" i="2"/>
  <c r="L275" i="2"/>
  <c r="Z274" i="2"/>
  <c r="Y274" i="2"/>
  <c r="X274" i="2"/>
  <c r="M274" i="2"/>
  <c r="N274" i="2" s="1"/>
  <c r="L274" i="2"/>
  <c r="Z273" i="2"/>
  <c r="Y273" i="2"/>
  <c r="X273" i="2"/>
  <c r="L273" i="2"/>
  <c r="M273" i="2" s="1"/>
  <c r="N273" i="2" s="1"/>
  <c r="Z272" i="2"/>
  <c r="Y272" i="2"/>
  <c r="X272" i="2"/>
  <c r="M272" i="2"/>
  <c r="N272" i="2" s="1"/>
  <c r="L272" i="2"/>
  <c r="Z271" i="2"/>
  <c r="Y271" i="2"/>
  <c r="X271" i="2"/>
  <c r="N271" i="2"/>
  <c r="M271" i="2"/>
  <c r="L271" i="2"/>
  <c r="Z270" i="2"/>
  <c r="Y270" i="2"/>
  <c r="X270" i="2"/>
  <c r="M270" i="2"/>
  <c r="N270" i="2" s="1"/>
  <c r="L270" i="2"/>
  <c r="Z269" i="2"/>
  <c r="Y269" i="2"/>
  <c r="X269" i="2"/>
  <c r="L269" i="2"/>
  <c r="M269" i="2" s="1"/>
  <c r="N269" i="2" s="1"/>
  <c r="Z268" i="2"/>
  <c r="Y268" i="2"/>
  <c r="X268" i="2"/>
  <c r="M268" i="2"/>
  <c r="N268" i="2" s="1"/>
  <c r="L268" i="2"/>
  <c r="Z267" i="2"/>
  <c r="Y267" i="2"/>
  <c r="X267" i="2"/>
  <c r="N267" i="2"/>
  <c r="M267" i="2"/>
  <c r="L267" i="2"/>
  <c r="Z266" i="2"/>
  <c r="Y266" i="2"/>
  <c r="X266" i="2"/>
  <c r="M266" i="2"/>
  <c r="N266" i="2" s="1"/>
  <c r="L266" i="2"/>
  <c r="Z265" i="2"/>
  <c r="Y265" i="2"/>
  <c r="X265" i="2"/>
  <c r="L265" i="2"/>
  <c r="M265" i="2" s="1"/>
  <c r="N265" i="2" s="1"/>
  <c r="Z264" i="2"/>
  <c r="Y264" i="2"/>
  <c r="X264" i="2"/>
  <c r="M264" i="2"/>
  <c r="N264" i="2" s="1"/>
  <c r="L264" i="2"/>
  <c r="Z263" i="2"/>
  <c r="Y263" i="2"/>
  <c r="X263" i="2"/>
  <c r="N263" i="2"/>
  <c r="M263" i="2"/>
  <c r="L263" i="2"/>
  <c r="Z262" i="2"/>
  <c r="Y262" i="2"/>
  <c r="X262" i="2"/>
  <c r="N262" i="2"/>
  <c r="M262" i="2"/>
  <c r="L262" i="2"/>
  <c r="Z261" i="2"/>
  <c r="Y261" i="2"/>
  <c r="X261" i="2"/>
  <c r="L261" i="2"/>
  <c r="M261" i="2" s="1"/>
  <c r="N261" i="2" s="1"/>
  <c r="Z260" i="2"/>
  <c r="Y260" i="2"/>
  <c r="X260" i="2"/>
  <c r="M260" i="2"/>
  <c r="N260" i="2" s="1"/>
  <c r="L260" i="2"/>
  <c r="Z259" i="2"/>
  <c r="Y259" i="2"/>
  <c r="X259" i="2"/>
  <c r="N259" i="2"/>
  <c r="M259" i="2"/>
  <c r="L259" i="2"/>
  <c r="Z258" i="2"/>
  <c r="Y258" i="2"/>
  <c r="X258" i="2"/>
  <c r="M258" i="2"/>
  <c r="N258" i="2" s="1"/>
  <c r="L258" i="2"/>
  <c r="Z257" i="2"/>
  <c r="Y257" i="2"/>
  <c r="X257" i="2"/>
  <c r="L257" i="2"/>
  <c r="M257" i="2" s="1"/>
  <c r="N257" i="2" s="1"/>
  <c r="Z256" i="2"/>
  <c r="Y256" i="2"/>
  <c r="X256" i="2"/>
  <c r="M256" i="2"/>
  <c r="N256" i="2" s="1"/>
  <c r="L256" i="2"/>
  <c r="Z255" i="2"/>
  <c r="Y255" i="2"/>
  <c r="X255" i="2"/>
  <c r="N255" i="2"/>
  <c r="M255" i="2"/>
  <c r="L255" i="2"/>
  <c r="Z254" i="2"/>
  <c r="Y254" i="2"/>
  <c r="X254" i="2"/>
  <c r="N254" i="2"/>
  <c r="M254" i="2"/>
  <c r="L254" i="2"/>
  <c r="Z253" i="2"/>
  <c r="Y253" i="2"/>
  <c r="X253" i="2"/>
  <c r="L253" i="2"/>
  <c r="M253" i="2" s="1"/>
  <c r="N253" i="2" s="1"/>
  <c r="Z252" i="2"/>
  <c r="Y252" i="2"/>
  <c r="X252" i="2"/>
  <c r="M252" i="2"/>
  <c r="N252" i="2" s="1"/>
  <c r="L252" i="2"/>
  <c r="Z251" i="2"/>
  <c r="Y251" i="2"/>
  <c r="X251" i="2"/>
  <c r="N251" i="2"/>
  <c r="M251" i="2"/>
  <c r="L251" i="2"/>
  <c r="Z250" i="2"/>
  <c r="Y250" i="2"/>
  <c r="X250" i="2"/>
  <c r="M250" i="2"/>
  <c r="N250" i="2" s="1"/>
  <c r="L250" i="2"/>
  <c r="Z249" i="2"/>
  <c r="Y249" i="2"/>
  <c r="X249" i="2"/>
  <c r="L249" i="2"/>
  <c r="M249" i="2" s="1"/>
  <c r="N249" i="2" s="1"/>
  <c r="Z248" i="2"/>
  <c r="Y248" i="2"/>
  <c r="X248" i="2"/>
  <c r="M248" i="2"/>
  <c r="N248" i="2" s="1"/>
  <c r="L248" i="2"/>
  <c r="Z247" i="2"/>
  <c r="Y247" i="2"/>
  <c r="X247" i="2"/>
  <c r="N247" i="2"/>
  <c r="M247" i="2"/>
  <c r="L247" i="2"/>
  <c r="Z246" i="2"/>
  <c r="Y246" i="2"/>
  <c r="X246" i="2"/>
  <c r="N246" i="2"/>
  <c r="M246" i="2"/>
  <c r="L246" i="2"/>
  <c r="Z245" i="2"/>
  <c r="Y245" i="2"/>
  <c r="X245" i="2"/>
  <c r="L245" i="2"/>
  <c r="M245" i="2" s="1"/>
  <c r="N245" i="2" s="1"/>
  <c r="Z244" i="2"/>
  <c r="Y244" i="2"/>
  <c r="X244" i="2"/>
  <c r="M244" i="2"/>
  <c r="N244" i="2" s="1"/>
  <c r="L244" i="2"/>
  <c r="Z243" i="2"/>
  <c r="Y243" i="2"/>
  <c r="X243" i="2"/>
  <c r="N243" i="2"/>
  <c r="M243" i="2"/>
  <c r="L243" i="2"/>
  <c r="Z242" i="2"/>
  <c r="Y242" i="2"/>
  <c r="X242" i="2"/>
  <c r="M242" i="2"/>
  <c r="N242" i="2" s="1"/>
  <c r="L242" i="2"/>
  <c r="Z241" i="2"/>
  <c r="Y241" i="2"/>
  <c r="X241" i="2"/>
  <c r="L241" i="2"/>
  <c r="M241" i="2" s="1"/>
  <c r="N241" i="2" s="1"/>
  <c r="Z240" i="2"/>
  <c r="Y240" i="2"/>
  <c r="X240" i="2"/>
  <c r="M240" i="2"/>
  <c r="N240" i="2" s="1"/>
  <c r="L240" i="2"/>
  <c r="Z239" i="2"/>
  <c r="Y239" i="2"/>
  <c r="X239" i="2"/>
  <c r="N239" i="2"/>
  <c r="M239" i="2"/>
  <c r="L239" i="2"/>
  <c r="Z238" i="2"/>
  <c r="Y238" i="2"/>
  <c r="X238" i="2"/>
  <c r="M238" i="2"/>
  <c r="N238" i="2" s="1"/>
  <c r="L238" i="2"/>
  <c r="Z237" i="2"/>
  <c r="Y237" i="2"/>
  <c r="X237" i="2"/>
  <c r="L237" i="2"/>
  <c r="M237" i="2" s="1"/>
  <c r="N237" i="2" s="1"/>
  <c r="Z236" i="2"/>
  <c r="Y236" i="2"/>
  <c r="X236" i="2"/>
  <c r="M236" i="2"/>
  <c r="N236" i="2" s="1"/>
  <c r="L236" i="2"/>
  <c r="Z235" i="2"/>
  <c r="Y235" i="2"/>
  <c r="X235" i="2"/>
  <c r="N235" i="2"/>
  <c r="M235" i="2"/>
  <c r="L235" i="2"/>
  <c r="Z234" i="2"/>
  <c r="Y234" i="2"/>
  <c r="X234" i="2"/>
  <c r="M234" i="2"/>
  <c r="N234" i="2" s="1"/>
  <c r="L234" i="2"/>
  <c r="Z233" i="2"/>
  <c r="Y233" i="2"/>
  <c r="X233" i="2"/>
  <c r="L233" i="2"/>
  <c r="M233" i="2" s="1"/>
  <c r="N233" i="2" s="1"/>
  <c r="Z232" i="2"/>
  <c r="Y232" i="2"/>
  <c r="X232" i="2"/>
  <c r="M232" i="2"/>
  <c r="N232" i="2" s="1"/>
  <c r="L232" i="2"/>
  <c r="Z231" i="2"/>
  <c r="Y231" i="2"/>
  <c r="X231" i="2"/>
  <c r="N231" i="2"/>
  <c r="M231" i="2"/>
  <c r="L231" i="2"/>
  <c r="Z230" i="2"/>
  <c r="Y230" i="2"/>
  <c r="X230" i="2"/>
  <c r="N230" i="2"/>
  <c r="M230" i="2"/>
  <c r="L230" i="2"/>
  <c r="Z229" i="2"/>
  <c r="Y229" i="2"/>
  <c r="X229" i="2"/>
  <c r="L229" i="2"/>
  <c r="M229" i="2" s="1"/>
  <c r="N229" i="2" s="1"/>
  <c r="Z228" i="2"/>
  <c r="Y228" i="2"/>
  <c r="X228" i="2"/>
  <c r="M228" i="2"/>
  <c r="N228" i="2" s="1"/>
  <c r="L228" i="2"/>
  <c r="Z227" i="2"/>
  <c r="Y227" i="2"/>
  <c r="X227" i="2"/>
  <c r="N227" i="2"/>
  <c r="M227" i="2"/>
  <c r="L227" i="2"/>
  <c r="Z226" i="2"/>
  <c r="Y226" i="2"/>
  <c r="X226" i="2"/>
  <c r="M226" i="2"/>
  <c r="N226" i="2" s="1"/>
  <c r="L226" i="2"/>
  <c r="Z225" i="2"/>
  <c r="Y225" i="2"/>
  <c r="X225" i="2"/>
  <c r="L225" i="2"/>
  <c r="M225" i="2" s="1"/>
  <c r="N225" i="2" s="1"/>
  <c r="Z224" i="2"/>
  <c r="Y224" i="2"/>
  <c r="X224" i="2"/>
  <c r="L224" i="2"/>
  <c r="M224" i="2" s="1"/>
  <c r="N224" i="2" s="1"/>
  <c r="Z223" i="2"/>
  <c r="Y223" i="2"/>
  <c r="X223" i="2"/>
  <c r="N223" i="2"/>
  <c r="M223" i="2"/>
  <c r="L223" i="2"/>
  <c r="Z222" i="2"/>
  <c r="Y222" i="2"/>
  <c r="X222" i="2"/>
  <c r="M222" i="2"/>
  <c r="N222" i="2" s="1"/>
  <c r="L222" i="2"/>
  <c r="Z221" i="2"/>
  <c r="Y221" i="2"/>
  <c r="X221" i="2"/>
  <c r="L221" i="2"/>
  <c r="M221" i="2" s="1"/>
  <c r="N221" i="2" s="1"/>
  <c r="Z220" i="2"/>
  <c r="Y220" i="2"/>
  <c r="X220" i="2"/>
  <c r="M220" i="2"/>
  <c r="N220" i="2" s="1"/>
  <c r="L220" i="2"/>
  <c r="Z219" i="2"/>
  <c r="Y219" i="2"/>
  <c r="X219" i="2"/>
  <c r="N219" i="2"/>
  <c r="M219" i="2"/>
  <c r="L219" i="2"/>
  <c r="Z218" i="2"/>
  <c r="Y218" i="2"/>
  <c r="X218" i="2"/>
  <c r="M218" i="2"/>
  <c r="N218" i="2" s="1"/>
  <c r="L218" i="2"/>
  <c r="Z217" i="2"/>
  <c r="Y217" i="2"/>
  <c r="X217" i="2"/>
  <c r="L217" i="2"/>
  <c r="M217" i="2" s="1"/>
  <c r="N217" i="2" s="1"/>
  <c r="Z216" i="2"/>
  <c r="Y216" i="2"/>
  <c r="X216" i="2"/>
  <c r="M216" i="2"/>
  <c r="N216" i="2" s="1"/>
  <c r="L216" i="2"/>
  <c r="Z215" i="2"/>
  <c r="Y215" i="2"/>
  <c r="X215" i="2"/>
  <c r="N215" i="2"/>
  <c r="M215" i="2"/>
  <c r="L215" i="2"/>
  <c r="Z214" i="2"/>
  <c r="Y214" i="2"/>
  <c r="X214" i="2"/>
  <c r="N214" i="2"/>
  <c r="M214" i="2"/>
  <c r="L214" i="2"/>
  <c r="Z213" i="2"/>
  <c r="Y213" i="2"/>
  <c r="X213" i="2"/>
  <c r="L213" i="2"/>
  <c r="M213" i="2" s="1"/>
  <c r="N213" i="2" s="1"/>
  <c r="Z212" i="2"/>
  <c r="Y212" i="2"/>
  <c r="X212" i="2"/>
  <c r="L212" i="2"/>
  <c r="M212" i="2" s="1"/>
  <c r="N212" i="2" s="1"/>
  <c r="Z211" i="2"/>
  <c r="Y211" i="2"/>
  <c r="X211" i="2"/>
  <c r="N211" i="2"/>
  <c r="M211" i="2"/>
  <c r="L211" i="2"/>
  <c r="Z210" i="2"/>
  <c r="Y210" i="2"/>
  <c r="X210" i="2"/>
  <c r="M210" i="2"/>
  <c r="N210" i="2" s="1"/>
  <c r="L210" i="2"/>
  <c r="Z209" i="2"/>
  <c r="Y209" i="2"/>
  <c r="X209" i="2"/>
  <c r="L209" i="2"/>
  <c r="M209" i="2" s="1"/>
  <c r="N209" i="2" s="1"/>
  <c r="Z208" i="2"/>
  <c r="Y208" i="2"/>
  <c r="X208" i="2"/>
  <c r="L208" i="2"/>
  <c r="M208" i="2" s="1"/>
  <c r="N208" i="2" s="1"/>
  <c r="Z207" i="2"/>
  <c r="Y207" i="2"/>
  <c r="X207" i="2"/>
  <c r="N207" i="2"/>
  <c r="M207" i="2"/>
  <c r="L207" i="2"/>
  <c r="Z206" i="2"/>
  <c r="Y206" i="2"/>
  <c r="X206" i="2"/>
  <c r="N206" i="2"/>
  <c r="M206" i="2"/>
  <c r="L206" i="2"/>
  <c r="Z205" i="2"/>
  <c r="Y205" i="2"/>
  <c r="X205" i="2"/>
  <c r="L205" i="2"/>
  <c r="M205" i="2" s="1"/>
  <c r="N205" i="2" s="1"/>
  <c r="Z204" i="2"/>
  <c r="Y204" i="2"/>
  <c r="X204" i="2"/>
  <c r="L204" i="2"/>
  <c r="M204" i="2" s="1"/>
  <c r="N204" i="2" s="1"/>
  <c r="Z203" i="2"/>
  <c r="Y203" i="2"/>
  <c r="X203" i="2"/>
  <c r="N203" i="2"/>
  <c r="M203" i="2"/>
  <c r="L203" i="2"/>
  <c r="Z202" i="2"/>
  <c r="Y202" i="2"/>
  <c r="X202" i="2"/>
  <c r="M202" i="2"/>
  <c r="N202" i="2" s="1"/>
  <c r="L202" i="2"/>
  <c r="Z201" i="2"/>
  <c r="Y201" i="2"/>
  <c r="X201" i="2"/>
  <c r="L201" i="2"/>
  <c r="M201" i="2" s="1"/>
  <c r="N201" i="2" s="1"/>
  <c r="Z200" i="2"/>
  <c r="Y200" i="2"/>
  <c r="X200" i="2"/>
  <c r="L200" i="2"/>
  <c r="M200" i="2" s="1"/>
  <c r="N200" i="2" s="1"/>
  <c r="Z199" i="2"/>
  <c r="Y199" i="2"/>
  <c r="X199" i="2"/>
  <c r="N199" i="2"/>
  <c r="M199" i="2"/>
  <c r="L199" i="2"/>
  <c r="Z198" i="2"/>
  <c r="Y198" i="2"/>
  <c r="X198" i="2"/>
  <c r="N198" i="2"/>
  <c r="M198" i="2"/>
  <c r="L198" i="2"/>
  <c r="Z197" i="2"/>
  <c r="Y197" i="2"/>
  <c r="X197" i="2"/>
  <c r="L197" i="2"/>
  <c r="M197" i="2" s="1"/>
  <c r="N197" i="2" s="1"/>
  <c r="Z196" i="2"/>
  <c r="Y196" i="2"/>
  <c r="X196" i="2"/>
  <c r="L196" i="2"/>
  <c r="M196" i="2" s="1"/>
  <c r="N196" i="2" s="1"/>
  <c r="Z195" i="2"/>
  <c r="Y195" i="2"/>
  <c r="X195" i="2"/>
  <c r="N195" i="2"/>
  <c r="M195" i="2"/>
  <c r="L195" i="2"/>
  <c r="Z194" i="2"/>
  <c r="Y194" i="2"/>
  <c r="X194" i="2"/>
  <c r="M194" i="2"/>
  <c r="N194" i="2" s="1"/>
  <c r="L194" i="2"/>
  <c r="Z193" i="2"/>
  <c r="Y193" i="2"/>
  <c r="X193" i="2"/>
  <c r="L193" i="2"/>
  <c r="M193" i="2" s="1"/>
  <c r="N193" i="2" s="1"/>
  <c r="Z192" i="2"/>
  <c r="Y192" i="2"/>
  <c r="X192" i="2"/>
  <c r="L192" i="2"/>
  <c r="M192" i="2" s="1"/>
  <c r="N192" i="2" s="1"/>
  <c r="Z191" i="2"/>
  <c r="Y191" i="2"/>
  <c r="X191" i="2"/>
  <c r="N191" i="2"/>
  <c r="M191" i="2"/>
  <c r="L191" i="2"/>
  <c r="Z190" i="2"/>
  <c r="Y190" i="2"/>
  <c r="X190" i="2"/>
  <c r="N190" i="2"/>
  <c r="M190" i="2"/>
  <c r="L190" i="2"/>
  <c r="Z189" i="2"/>
  <c r="Y189" i="2"/>
  <c r="X189" i="2"/>
  <c r="L189" i="2"/>
  <c r="M189" i="2" s="1"/>
  <c r="N189" i="2" s="1"/>
  <c r="Z188" i="2"/>
  <c r="Y188" i="2"/>
  <c r="X188" i="2"/>
  <c r="L188" i="2"/>
  <c r="M188" i="2" s="1"/>
  <c r="N188" i="2" s="1"/>
  <c r="Z187" i="2"/>
  <c r="Y187" i="2"/>
  <c r="X187" i="2"/>
  <c r="N187" i="2"/>
  <c r="M187" i="2"/>
  <c r="L187" i="2"/>
  <c r="Z186" i="2"/>
  <c r="Y186" i="2"/>
  <c r="X186" i="2"/>
  <c r="M186" i="2"/>
  <c r="N186" i="2" s="1"/>
  <c r="L186" i="2"/>
  <c r="Z185" i="2"/>
  <c r="Y185" i="2"/>
  <c r="X185" i="2"/>
  <c r="L185" i="2"/>
  <c r="M185" i="2" s="1"/>
  <c r="N185" i="2" s="1"/>
  <c r="Z184" i="2"/>
  <c r="Y184" i="2"/>
  <c r="X184" i="2"/>
  <c r="L184" i="2"/>
  <c r="M184" i="2" s="1"/>
  <c r="N184" i="2" s="1"/>
  <c r="Z183" i="2"/>
  <c r="Y183" i="2"/>
  <c r="X183" i="2"/>
  <c r="N183" i="2"/>
  <c r="M183" i="2"/>
  <c r="L183" i="2"/>
  <c r="Z182" i="2"/>
  <c r="Y182" i="2"/>
  <c r="X182" i="2"/>
  <c r="N182" i="2"/>
  <c r="M182" i="2"/>
  <c r="L182" i="2"/>
  <c r="Z181" i="2"/>
  <c r="Y181" i="2"/>
  <c r="X181" i="2"/>
  <c r="L181" i="2"/>
  <c r="M181" i="2" s="1"/>
  <c r="N181" i="2" s="1"/>
  <c r="Z180" i="2"/>
  <c r="Y180" i="2"/>
  <c r="X180" i="2"/>
  <c r="L180" i="2"/>
  <c r="M180" i="2" s="1"/>
  <c r="N180" i="2" s="1"/>
  <c r="Z179" i="2"/>
  <c r="Y179" i="2"/>
  <c r="X179" i="2"/>
  <c r="N179" i="2"/>
  <c r="M179" i="2"/>
  <c r="L179" i="2"/>
  <c r="Z178" i="2"/>
  <c r="Y178" i="2"/>
  <c r="X178" i="2"/>
  <c r="M178" i="2"/>
  <c r="N178" i="2" s="1"/>
  <c r="L178" i="2"/>
  <c r="Z177" i="2"/>
  <c r="Y177" i="2"/>
  <c r="X177" i="2"/>
  <c r="L177" i="2"/>
  <c r="M177" i="2" s="1"/>
  <c r="N177" i="2" s="1"/>
  <c r="Z176" i="2"/>
  <c r="Y176" i="2"/>
  <c r="X176" i="2"/>
  <c r="L176" i="2"/>
  <c r="M176" i="2" s="1"/>
  <c r="N176" i="2" s="1"/>
  <c r="Z175" i="2"/>
  <c r="Y175" i="2"/>
  <c r="X175" i="2"/>
  <c r="N175" i="2"/>
  <c r="M175" i="2"/>
  <c r="L175" i="2"/>
  <c r="Z174" i="2"/>
  <c r="Y174" i="2"/>
  <c r="X174" i="2"/>
  <c r="N174" i="2"/>
  <c r="M174" i="2"/>
  <c r="L174" i="2"/>
  <c r="Z173" i="2"/>
  <c r="Y173" i="2"/>
  <c r="X173" i="2"/>
  <c r="L173" i="2"/>
  <c r="M173" i="2" s="1"/>
  <c r="N173" i="2" s="1"/>
  <c r="Z172" i="2"/>
  <c r="Y172" i="2"/>
  <c r="X172" i="2"/>
  <c r="L172" i="2"/>
  <c r="M172" i="2" s="1"/>
  <c r="N172" i="2" s="1"/>
  <c r="Z171" i="2"/>
  <c r="Y171" i="2"/>
  <c r="X171" i="2"/>
  <c r="N171" i="2"/>
  <c r="M171" i="2"/>
  <c r="L171" i="2"/>
  <c r="Z170" i="2"/>
  <c r="Y170" i="2"/>
  <c r="X170" i="2"/>
  <c r="M170" i="2"/>
  <c r="N170" i="2" s="1"/>
  <c r="L170" i="2"/>
  <c r="Z169" i="2"/>
  <c r="Y169" i="2"/>
  <c r="X169" i="2"/>
  <c r="L169" i="2"/>
  <c r="M169" i="2" s="1"/>
  <c r="N169" i="2" s="1"/>
  <c r="Z168" i="2"/>
  <c r="Y168" i="2"/>
  <c r="X168" i="2"/>
  <c r="L168" i="2"/>
  <c r="M168" i="2" s="1"/>
  <c r="N168" i="2" s="1"/>
  <c r="Z167" i="2"/>
  <c r="Y167" i="2"/>
  <c r="X167" i="2"/>
  <c r="N167" i="2"/>
  <c r="M167" i="2"/>
  <c r="L167" i="2"/>
  <c r="Z166" i="2"/>
  <c r="Y166" i="2"/>
  <c r="X166" i="2"/>
  <c r="N166" i="2"/>
  <c r="M166" i="2"/>
  <c r="L166" i="2"/>
  <c r="Z165" i="2"/>
  <c r="Y165" i="2"/>
  <c r="X165" i="2"/>
  <c r="L165" i="2"/>
  <c r="M165" i="2" s="1"/>
  <c r="N165" i="2" s="1"/>
  <c r="Z164" i="2"/>
  <c r="Y164" i="2"/>
  <c r="X164" i="2"/>
  <c r="L164" i="2"/>
  <c r="M164" i="2" s="1"/>
  <c r="N164" i="2" s="1"/>
  <c r="Z163" i="2"/>
  <c r="Y163" i="2"/>
  <c r="X163" i="2"/>
  <c r="N163" i="2"/>
  <c r="M163" i="2"/>
  <c r="L163" i="2"/>
  <c r="Z162" i="2"/>
  <c r="Y162" i="2"/>
  <c r="X162" i="2"/>
  <c r="M162" i="2"/>
  <c r="N162" i="2" s="1"/>
  <c r="L162" i="2"/>
  <c r="Z161" i="2"/>
  <c r="Y161" i="2"/>
  <c r="X161" i="2"/>
  <c r="L161" i="2"/>
  <c r="M161" i="2" s="1"/>
  <c r="N161" i="2" s="1"/>
  <c r="Z160" i="2"/>
  <c r="Y160" i="2"/>
  <c r="X160" i="2"/>
  <c r="L160" i="2"/>
  <c r="M160" i="2" s="1"/>
  <c r="N160" i="2" s="1"/>
  <c r="Z159" i="2"/>
  <c r="Y159" i="2"/>
  <c r="X159" i="2"/>
  <c r="N159" i="2"/>
  <c r="M159" i="2"/>
  <c r="L159" i="2"/>
  <c r="Z158" i="2"/>
  <c r="Y158" i="2"/>
  <c r="X158" i="2"/>
  <c r="N158" i="2"/>
  <c r="M158" i="2"/>
  <c r="L158" i="2"/>
  <c r="Z157" i="2"/>
  <c r="Y157" i="2"/>
  <c r="X157" i="2"/>
  <c r="L157" i="2"/>
  <c r="M157" i="2" s="1"/>
  <c r="N157" i="2" s="1"/>
  <c r="Z156" i="2"/>
  <c r="Y156" i="2"/>
  <c r="X156" i="2"/>
  <c r="L156" i="2"/>
  <c r="M156" i="2" s="1"/>
  <c r="N156" i="2" s="1"/>
  <c r="Z155" i="2"/>
  <c r="Y155" i="2"/>
  <c r="X155" i="2"/>
  <c r="N155" i="2"/>
  <c r="M155" i="2"/>
  <c r="L155" i="2"/>
  <c r="Z154" i="2"/>
  <c r="Y154" i="2"/>
  <c r="X154" i="2"/>
  <c r="M154" i="2"/>
  <c r="N154" i="2" s="1"/>
  <c r="L154" i="2"/>
  <c r="Z153" i="2"/>
  <c r="Y153" i="2"/>
  <c r="X153" i="2"/>
  <c r="L153" i="2"/>
  <c r="M153" i="2" s="1"/>
  <c r="N153" i="2" s="1"/>
  <c r="Z152" i="2"/>
  <c r="Y152" i="2"/>
  <c r="X152" i="2"/>
  <c r="L152" i="2"/>
  <c r="M152" i="2" s="1"/>
  <c r="N152" i="2" s="1"/>
  <c r="Z151" i="2"/>
  <c r="Y151" i="2"/>
  <c r="X151" i="2"/>
  <c r="N151" i="2"/>
  <c r="M151" i="2"/>
  <c r="L151" i="2"/>
  <c r="Z150" i="2"/>
  <c r="Y150" i="2"/>
  <c r="X150" i="2"/>
  <c r="N150" i="2"/>
  <c r="M150" i="2"/>
  <c r="L150" i="2"/>
  <c r="Z149" i="2"/>
  <c r="Y149" i="2"/>
  <c r="X149" i="2"/>
  <c r="L149" i="2"/>
  <c r="M149" i="2" s="1"/>
  <c r="N149" i="2" s="1"/>
  <c r="Z148" i="2"/>
  <c r="Y148" i="2"/>
  <c r="X148" i="2"/>
  <c r="L148" i="2"/>
  <c r="M148" i="2" s="1"/>
  <c r="N148" i="2" s="1"/>
  <c r="Z147" i="2"/>
  <c r="Y147" i="2"/>
  <c r="X147" i="2"/>
  <c r="N147" i="2"/>
  <c r="M147" i="2"/>
  <c r="L147" i="2"/>
  <c r="Z146" i="2"/>
  <c r="Y146" i="2"/>
  <c r="X146" i="2"/>
  <c r="M146" i="2"/>
  <c r="N146" i="2" s="1"/>
  <c r="L146" i="2"/>
  <c r="Z145" i="2"/>
  <c r="Y145" i="2"/>
  <c r="X145" i="2"/>
  <c r="L145" i="2"/>
  <c r="M145" i="2" s="1"/>
  <c r="N145" i="2" s="1"/>
  <c r="Z144" i="2"/>
  <c r="Y144" i="2"/>
  <c r="X144" i="2"/>
  <c r="L144" i="2"/>
  <c r="M144" i="2" s="1"/>
  <c r="N144" i="2" s="1"/>
  <c r="Z143" i="2"/>
  <c r="Y143" i="2"/>
  <c r="X143" i="2"/>
  <c r="N143" i="2"/>
  <c r="M143" i="2"/>
  <c r="L143" i="2"/>
  <c r="Z142" i="2"/>
  <c r="Y142" i="2"/>
  <c r="X142" i="2"/>
  <c r="N142" i="2"/>
  <c r="M142" i="2"/>
  <c r="L142" i="2"/>
  <c r="Z141" i="2"/>
  <c r="Y141" i="2"/>
  <c r="X141" i="2"/>
  <c r="L141" i="2"/>
  <c r="M141" i="2" s="1"/>
  <c r="N141" i="2" s="1"/>
  <c r="Z140" i="2"/>
  <c r="Y140" i="2"/>
  <c r="X140" i="2"/>
  <c r="L140" i="2"/>
  <c r="M140" i="2" s="1"/>
  <c r="N140" i="2" s="1"/>
  <c r="Z139" i="2"/>
  <c r="Y139" i="2"/>
  <c r="X139" i="2"/>
  <c r="N139" i="2"/>
  <c r="M139" i="2"/>
  <c r="L139" i="2"/>
  <c r="Z138" i="2"/>
  <c r="Y138" i="2"/>
  <c r="X138" i="2"/>
  <c r="M138" i="2"/>
  <c r="N138" i="2" s="1"/>
  <c r="L138" i="2"/>
  <c r="Z137" i="2"/>
  <c r="Y137" i="2"/>
  <c r="X137" i="2"/>
  <c r="L137" i="2"/>
  <c r="M137" i="2" s="1"/>
  <c r="N137" i="2" s="1"/>
  <c r="Z136" i="2"/>
  <c r="Y136" i="2"/>
  <c r="X136" i="2"/>
  <c r="L136" i="2"/>
  <c r="M136" i="2" s="1"/>
  <c r="N136" i="2" s="1"/>
  <c r="Z135" i="2"/>
  <c r="Y135" i="2"/>
  <c r="X135" i="2"/>
  <c r="N135" i="2"/>
  <c r="M135" i="2"/>
  <c r="L135" i="2"/>
  <c r="Z134" i="2"/>
  <c r="Y134" i="2"/>
  <c r="X134" i="2"/>
  <c r="N134" i="2"/>
  <c r="M134" i="2"/>
  <c r="L134" i="2"/>
  <c r="Z133" i="2"/>
  <c r="Y133" i="2"/>
  <c r="X133" i="2"/>
  <c r="L133" i="2"/>
  <c r="M133" i="2" s="1"/>
  <c r="N133" i="2" s="1"/>
  <c r="Z132" i="2"/>
  <c r="Y132" i="2"/>
  <c r="X132" i="2"/>
  <c r="L132" i="2"/>
  <c r="M132" i="2" s="1"/>
  <c r="N132" i="2" s="1"/>
  <c r="Z131" i="2"/>
  <c r="Y131" i="2"/>
  <c r="X131" i="2"/>
  <c r="N131" i="2"/>
  <c r="M131" i="2"/>
  <c r="L131" i="2"/>
  <c r="Z130" i="2"/>
  <c r="Y130" i="2"/>
  <c r="X130" i="2"/>
  <c r="M130" i="2"/>
  <c r="N130" i="2" s="1"/>
  <c r="L130" i="2"/>
  <c r="Z129" i="2"/>
  <c r="Y129" i="2"/>
  <c r="X129" i="2"/>
  <c r="L129" i="2"/>
  <c r="M129" i="2" s="1"/>
  <c r="N129" i="2" s="1"/>
  <c r="Z128" i="2"/>
  <c r="Y128" i="2"/>
  <c r="X128" i="2"/>
  <c r="L128" i="2"/>
  <c r="M128" i="2" s="1"/>
  <c r="N128" i="2" s="1"/>
  <c r="Z127" i="2"/>
  <c r="Y127" i="2"/>
  <c r="X127" i="2"/>
  <c r="N127" i="2"/>
  <c r="M127" i="2"/>
  <c r="L127" i="2"/>
  <c r="Z126" i="2"/>
  <c r="Y126" i="2"/>
  <c r="X126" i="2"/>
  <c r="N126" i="2"/>
  <c r="M126" i="2"/>
  <c r="L126" i="2"/>
  <c r="Z125" i="2"/>
  <c r="Y125" i="2"/>
  <c r="X125" i="2"/>
  <c r="L125" i="2"/>
  <c r="M125" i="2" s="1"/>
  <c r="N125" i="2" s="1"/>
  <c r="Z124" i="2"/>
  <c r="Y124" i="2"/>
  <c r="X124" i="2"/>
  <c r="L124" i="2"/>
  <c r="M124" i="2" s="1"/>
  <c r="N124" i="2" s="1"/>
  <c r="Z123" i="2"/>
  <c r="Y123" i="2"/>
  <c r="X123" i="2"/>
  <c r="N123" i="2"/>
  <c r="M123" i="2"/>
  <c r="L123" i="2"/>
  <c r="Z122" i="2"/>
  <c r="Y122" i="2"/>
  <c r="X122" i="2"/>
  <c r="M122" i="2"/>
  <c r="N122" i="2" s="1"/>
  <c r="L122" i="2"/>
  <c r="Z121" i="2"/>
  <c r="Y121" i="2"/>
  <c r="X121" i="2"/>
  <c r="L121" i="2"/>
  <c r="M121" i="2" s="1"/>
  <c r="N121" i="2" s="1"/>
  <c r="Z120" i="2"/>
  <c r="Y120" i="2"/>
  <c r="X120" i="2"/>
  <c r="L120" i="2"/>
  <c r="M120" i="2" s="1"/>
  <c r="N120" i="2" s="1"/>
  <c r="Z119" i="2"/>
  <c r="Y119" i="2"/>
  <c r="X119" i="2"/>
  <c r="N119" i="2"/>
  <c r="M119" i="2"/>
  <c r="L119" i="2"/>
  <c r="Z118" i="2"/>
  <c r="Y118" i="2"/>
  <c r="X118" i="2"/>
  <c r="N118" i="2"/>
  <c r="M118" i="2"/>
  <c r="L118" i="2"/>
  <c r="Z117" i="2"/>
  <c r="Y117" i="2"/>
  <c r="X117" i="2"/>
  <c r="L117" i="2"/>
  <c r="M117" i="2" s="1"/>
  <c r="N117" i="2" s="1"/>
  <c r="Z116" i="2"/>
  <c r="Y116" i="2"/>
  <c r="X116" i="2"/>
  <c r="L116" i="2"/>
  <c r="M116" i="2" s="1"/>
  <c r="N116" i="2" s="1"/>
  <c r="Z115" i="2"/>
  <c r="Y115" i="2"/>
  <c r="X115" i="2"/>
  <c r="N115" i="2"/>
  <c r="M115" i="2"/>
  <c r="L115" i="2"/>
  <c r="Z114" i="2"/>
  <c r="Y114" i="2"/>
  <c r="X114" i="2"/>
  <c r="M114" i="2"/>
  <c r="N114" i="2" s="1"/>
  <c r="L114" i="2"/>
  <c r="Z113" i="2"/>
  <c r="Y113" i="2"/>
  <c r="X113" i="2"/>
  <c r="L113" i="2"/>
  <c r="M113" i="2" s="1"/>
  <c r="N113" i="2" s="1"/>
  <c r="Z112" i="2"/>
  <c r="Y112" i="2"/>
  <c r="X112" i="2"/>
  <c r="L112" i="2"/>
  <c r="M112" i="2" s="1"/>
  <c r="N112" i="2" s="1"/>
  <c r="Z111" i="2"/>
  <c r="Y111" i="2"/>
  <c r="X111" i="2"/>
  <c r="N111" i="2"/>
  <c r="M111" i="2"/>
  <c r="L111" i="2"/>
  <c r="Z110" i="2"/>
  <c r="Y110" i="2"/>
  <c r="X110" i="2"/>
  <c r="N110" i="2"/>
  <c r="M110" i="2"/>
  <c r="L110" i="2"/>
  <c r="Z109" i="2"/>
  <c r="Y109" i="2"/>
  <c r="X109" i="2"/>
  <c r="L109" i="2"/>
  <c r="M109" i="2" s="1"/>
  <c r="N109" i="2" s="1"/>
  <c r="Z108" i="2"/>
  <c r="Y108" i="2"/>
  <c r="X108" i="2"/>
  <c r="L108" i="2"/>
  <c r="M108" i="2" s="1"/>
  <c r="N108" i="2" s="1"/>
  <c r="Z107" i="2"/>
  <c r="Y107" i="2"/>
  <c r="X107" i="2"/>
  <c r="N107" i="2"/>
  <c r="M107" i="2"/>
  <c r="L107" i="2"/>
  <c r="Z106" i="2"/>
  <c r="Y106" i="2"/>
  <c r="X106" i="2"/>
  <c r="M106" i="2"/>
  <c r="N106" i="2" s="1"/>
  <c r="L106" i="2"/>
  <c r="Z105" i="2"/>
  <c r="Y105" i="2"/>
  <c r="X105" i="2"/>
  <c r="L105" i="2"/>
  <c r="M105" i="2" s="1"/>
  <c r="N105" i="2" s="1"/>
  <c r="Z104" i="2"/>
  <c r="Y104" i="2"/>
  <c r="X104" i="2"/>
  <c r="L104" i="2"/>
  <c r="M104" i="2" s="1"/>
  <c r="N104" i="2" s="1"/>
  <c r="Z103" i="2"/>
  <c r="Y103" i="2"/>
  <c r="X103" i="2"/>
  <c r="N103" i="2"/>
  <c r="M103" i="2"/>
  <c r="L103" i="2"/>
  <c r="Z102" i="2"/>
  <c r="Y102" i="2"/>
  <c r="X102" i="2"/>
  <c r="N102" i="2"/>
  <c r="M102" i="2"/>
  <c r="L102" i="2"/>
  <c r="Z101" i="2"/>
  <c r="Y101" i="2"/>
  <c r="X101" i="2"/>
  <c r="L101" i="2"/>
  <c r="M101" i="2" s="1"/>
  <c r="N101" i="2" s="1"/>
  <c r="Z100" i="2"/>
  <c r="Y100" i="2"/>
  <c r="X100" i="2"/>
  <c r="L100" i="2"/>
  <c r="M100" i="2" s="1"/>
  <c r="N100" i="2" s="1"/>
  <c r="Z99" i="2"/>
  <c r="Y99" i="2"/>
  <c r="X99" i="2"/>
  <c r="N99" i="2"/>
  <c r="M99" i="2"/>
  <c r="L99" i="2"/>
  <c r="Z98" i="2"/>
  <c r="Y98" i="2"/>
  <c r="X98" i="2"/>
  <c r="M98" i="2"/>
  <c r="N98" i="2" s="1"/>
  <c r="L98" i="2"/>
  <c r="Z97" i="2"/>
  <c r="Y97" i="2"/>
  <c r="X97" i="2"/>
  <c r="L97" i="2"/>
  <c r="M97" i="2" s="1"/>
  <c r="N97" i="2" s="1"/>
  <c r="Z96" i="2"/>
  <c r="Y96" i="2"/>
  <c r="X96" i="2"/>
  <c r="L96" i="2"/>
  <c r="M96" i="2" s="1"/>
  <c r="N96" i="2" s="1"/>
  <c r="Z95" i="2"/>
  <c r="Y95" i="2"/>
  <c r="X95" i="2"/>
  <c r="N95" i="2"/>
  <c r="M95" i="2"/>
  <c r="L95" i="2"/>
  <c r="Z94" i="2"/>
  <c r="Y94" i="2"/>
  <c r="X94" i="2"/>
  <c r="N94" i="2"/>
  <c r="M94" i="2"/>
  <c r="L94" i="2"/>
  <c r="Z93" i="2"/>
  <c r="Y93" i="2"/>
  <c r="X93" i="2"/>
  <c r="L93" i="2"/>
  <c r="M93" i="2" s="1"/>
  <c r="N93" i="2" s="1"/>
  <c r="Z92" i="2"/>
  <c r="Y92" i="2"/>
  <c r="X92" i="2"/>
  <c r="L92" i="2"/>
  <c r="M92" i="2" s="1"/>
  <c r="N92" i="2" s="1"/>
  <c r="Z91" i="2"/>
  <c r="Y91" i="2"/>
  <c r="X91" i="2"/>
  <c r="N91" i="2"/>
  <c r="M91" i="2"/>
  <c r="L91" i="2"/>
  <c r="Z90" i="2"/>
  <c r="Y90" i="2"/>
  <c r="X90" i="2"/>
  <c r="M90" i="2"/>
  <c r="N90" i="2" s="1"/>
  <c r="L90" i="2"/>
  <c r="Z89" i="2"/>
  <c r="Y89" i="2"/>
  <c r="X89" i="2"/>
  <c r="L89" i="2"/>
  <c r="M89" i="2" s="1"/>
  <c r="N89" i="2" s="1"/>
  <c r="Z88" i="2"/>
  <c r="Y88" i="2"/>
  <c r="X88" i="2"/>
  <c r="L88" i="2"/>
  <c r="M88" i="2" s="1"/>
  <c r="N88" i="2" s="1"/>
  <c r="Z87" i="2"/>
  <c r="Y87" i="2"/>
  <c r="X87" i="2"/>
  <c r="N87" i="2"/>
  <c r="M87" i="2"/>
  <c r="L87" i="2"/>
  <c r="Z86" i="2"/>
  <c r="Y86" i="2"/>
  <c r="X86" i="2"/>
  <c r="N86" i="2"/>
  <c r="M86" i="2"/>
  <c r="L86" i="2"/>
  <c r="Z85" i="2"/>
  <c r="Y85" i="2"/>
  <c r="X85" i="2"/>
  <c r="L85" i="2"/>
  <c r="M85" i="2" s="1"/>
  <c r="N85" i="2" s="1"/>
  <c r="Z84" i="2"/>
  <c r="Y84" i="2"/>
  <c r="X84" i="2"/>
  <c r="L84" i="2"/>
  <c r="M84" i="2" s="1"/>
  <c r="N84" i="2" s="1"/>
  <c r="Z83" i="2"/>
  <c r="Y83" i="2"/>
  <c r="X83" i="2"/>
  <c r="M83" i="2"/>
  <c r="N83" i="2" s="1"/>
  <c r="L83" i="2"/>
  <c r="Z82" i="2"/>
  <c r="Y82" i="2"/>
  <c r="X82" i="2"/>
  <c r="M82" i="2"/>
  <c r="N82" i="2" s="1"/>
  <c r="L82" i="2"/>
  <c r="Z81" i="2"/>
  <c r="Y81" i="2"/>
  <c r="X81" i="2"/>
  <c r="L81" i="2"/>
  <c r="M81" i="2" s="1"/>
  <c r="N81" i="2" s="1"/>
  <c r="Z80" i="2"/>
  <c r="Y80" i="2"/>
  <c r="X80" i="2"/>
  <c r="L80" i="2"/>
  <c r="M80" i="2" s="1"/>
  <c r="N80" i="2" s="1"/>
  <c r="Z79" i="2"/>
  <c r="Y79" i="2"/>
  <c r="X79" i="2"/>
  <c r="M79" i="2"/>
  <c r="N79" i="2" s="1"/>
  <c r="L79" i="2"/>
  <c r="Z78" i="2"/>
  <c r="Y78" i="2"/>
  <c r="X78" i="2"/>
  <c r="N78" i="2"/>
  <c r="M78" i="2"/>
  <c r="L78" i="2"/>
  <c r="Z77" i="2"/>
  <c r="Y77" i="2"/>
  <c r="X77" i="2"/>
  <c r="L77" i="2"/>
  <c r="M77" i="2" s="1"/>
  <c r="N77" i="2" s="1"/>
  <c r="Z76" i="2"/>
  <c r="Y76" i="2"/>
  <c r="X76" i="2"/>
  <c r="L76" i="2"/>
  <c r="M76" i="2" s="1"/>
  <c r="N76" i="2" s="1"/>
  <c r="Z75" i="2"/>
  <c r="Y75" i="2"/>
  <c r="X75" i="2"/>
  <c r="M75" i="2"/>
  <c r="N75" i="2" s="1"/>
  <c r="L75" i="2"/>
  <c r="Z74" i="2"/>
  <c r="Y74" i="2"/>
  <c r="X74" i="2"/>
  <c r="M74" i="2"/>
  <c r="N74" i="2" s="1"/>
  <c r="L74" i="2"/>
  <c r="Z73" i="2"/>
  <c r="Y73" i="2"/>
  <c r="X73" i="2"/>
  <c r="L73" i="2"/>
  <c r="M73" i="2" s="1"/>
  <c r="N73" i="2" s="1"/>
  <c r="Z72" i="2"/>
  <c r="Y72" i="2"/>
  <c r="X72" i="2"/>
  <c r="L72" i="2"/>
  <c r="M72" i="2" s="1"/>
  <c r="N72" i="2" s="1"/>
  <c r="Z71" i="2"/>
  <c r="Y71" i="2"/>
  <c r="X71" i="2"/>
  <c r="M71" i="2"/>
  <c r="N71" i="2" s="1"/>
  <c r="L71" i="2"/>
  <c r="Z70" i="2"/>
  <c r="Y70" i="2"/>
  <c r="X70" i="2"/>
  <c r="N70" i="2"/>
  <c r="M70" i="2"/>
  <c r="L70" i="2"/>
  <c r="Z69" i="2"/>
  <c r="Y69" i="2"/>
  <c r="X69" i="2"/>
  <c r="L69" i="2"/>
  <c r="M69" i="2" s="1"/>
  <c r="N69" i="2" s="1"/>
  <c r="Z68" i="2"/>
  <c r="Y68" i="2"/>
  <c r="X68" i="2"/>
  <c r="L68" i="2"/>
  <c r="M68" i="2" s="1"/>
  <c r="N68" i="2" s="1"/>
  <c r="Z67" i="2"/>
  <c r="Y67" i="2"/>
  <c r="X67" i="2"/>
  <c r="M67" i="2"/>
  <c r="N67" i="2" s="1"/>
  <c r="L67" i="2"/>
  <c r="Z66" i="2"/>
  <c r="Y66" i="2"/>
  <c r="X66" i="2"/>
  <c r="M66" i="2"/>
  <c r="N66" i="2" s="1"/>
  <c r="L66" i="2"/>
  <c r="Z65" i="2"/>
  <c r="Y65" i="2"/>
  <c r="X65" i="2"/>
  <c r="L65" i="2"/>
  <c r="M65" i="2" s="1"/>
  <c r="N65" i="2" s="1"/>
  <c r="Z64" i="2"/>
  <c r="Y64" i="2"/>
  <c r="X64" i="2"/>
  <c r="L64" i="2"/>
  <c r="M64" i="2" s="1"/>
  <c r="N64" i="2" s="1"/>
  <c r="Z63" i="2"/>
  <c r="Y63" i="2"/>
  <c r="X63" i="2"/>
  <c r="M63" i="2"/>
  <c r="N63" i="2" s="1"/>
  <c r="L63" i="2"/>
  <c r="Z62" i="2"/>
  <c r="Y62" i="2"/>
  <c r="X62" i="2"/>
  <c r="N62" i="2"/>
  <c r="M62" i="2"/>
  <c r="L62" i="2"/>
  <c r="Z61" i="2"/>
  <c r="Y61" i="2"/>
  <c r="X61" i="2"/>
  <c r="L61" i="2"/>
  <c r="M61" i="2" s="1"/>
  <c r="N61" i="2" s="1"/>
  <c r="Z60" i="2"/>
  <c r="Y60" i="2"/>
  <c r="X60" i="2"/>
  <c r="L60" i="2"/>
  <c r="M60" i="2" s="1"/>
  <c r="N60" i="2" s="1"/>
  <c r="Z59" i="2"/>
  <c r="Y59" i="2"/>
  <c r="X59" i="2"/>
  <c r="M59" i="2"/>
  <c r="N59" i="2" s="1"/>
  <c r="L59" i="2"/>
  <c r="Z58" i="2"/>
  <c r="Y58" i="2"/>
  <c r="X58" i="2"/>
  <c r="M58" i="2"/>
  <c r="N58" i="2" s="1"/>
  <c r="L58" i="2"/>
  <c r="Z57" i="2"/>
  <c r="Y57" i="2"/>
  <c r="X57" i="2"/>
  <c r="L57" i="2"/>
  <c r="M57" i="2" s="1"/>
  <c r="N57" i="2" s="1"/>
  <c r="Z56" i="2"/>
  <c r="Y56" i="2"/>
  <c r="X56" i="2"/>
  <c r="L56" i="2"/>
  <c r="M56" i="2" s="1"/>
  <c r="N56" i="2" s="1"/>
  <c r="Z55" i="2"/>
  <c r="Y55" i="2"/>
  <c r="X55" i="2"/>
  <c r="M55" i="2"/>
  <c r="N55" i="2" s="1"/>
  <c r="L55" i="2"/>
  <c r="Z54" i="2"/>
  <c r="Y54" i="2"/>
  <c r="X54" i="2"/>
  <c r="N54" i="2"/>
  <c r="M54" i="2"/>
  <c r="L54" i="2"/>
  <c r="Z53" i="2"/>
  <c r="Y53" i="2"/>
  <c r="X53" i="2"/>
  <c r="L53" i="2"/>
  <c r="M53" i="2" s="1"/>
  <c r="N53" i="2" s="1"/>
  <c r="Z52" i="2"/>
  <c r="Y52" i="2"/>
  <c r="X52" i="2"/>
  <c r="L52" i="2"/>
  <c r="M52" i="2" s="1"/>
  <c r="N52" i="2" s="1"/>
  <c r="Z51" i="2"/>
  <c r="Y51" i="2"/>
  <c r="X51" i="2"/>
  <c r="M51" i="2"/>
  <c r="N51" i="2" s="1"/>
  <c r="L51" i="2"/>
  <c r="Z50" i="2"/>
  <c r="Y50" i="2"/>
  <c r="X50" i="2"/>
  <c r="M50" i="2"/>
  <c r="N50" i="2" s="1"/>
  <c r="L50" i="2"/>
  <c r="Z49" i="2"/>
  <c r="Y49" i="2"/>
  <c r="X49" i="2"/>
  <c r="L49" i="2"/>
  <c r="M49" i="2" s="1"/>
  <c r="N49" i="2" s="1"/>
  <c r="Z48" i="2"/>
  <c r="Y48" i="2"/>
  <c r="X48" i="2"/>
  <c r="L48" i="2"/>
  <c r="M48" i="2" s="1"/>
  <c r="N48" i="2" s="1"/>
  <c r="Z47" i="2"/>
  <c r="Y47" i="2"/>
  <c r="X47" i="2"/>
  <c r="N47" i="2"/>
  <c r="M47" i="2"/>
  <c r="L47" i="2"/>
  <c r="Z46" i="2"/>
  <c r="Y46" i="2"/>
  <c r="X46" i="2"/>
  <c r="N46" i="2"/>
  <c r="M46" i="2"/>
  <c r="L46" i="2"/>
  <c r="Z45" i="2"/>
  <c r="Y45" i="2"/>
  <c r="X45" i="2"/>
  <c r="L45" i="2"/>
  <c r="M45" i="2" s="1"/>
  <c r="N45" i="2" s="1"/>
  <c r="Z44" i="2"/>
  <c r="Y44" i="2"/>
  <c r="X44" i="2"/>
  <c r="L44" i="2"/>
  <c r="M44" i="2" s="1"/>
  <c r="N44" i="2" s="1"/>
  <c r="Z43" i="2"/>
  <c r="Y43" i="2"/>
  <c r="X43" i="2"/>
  <c r="M43" i="2"/>
  <c r="N43" i="2" s="1"/>
  <c r="L43" i="2"/>
  <c r="Z42" i="2"/>
  <c r="Y42" i="2"/>
  <c r="X42" i="2"/>
  <c r="M42" i="2"/>
  <c r="N42" i="2" s="1"/>
  <c r="L42" i="2"/>
  <c r="Z41" i="2"/>
  <c r="Y41" i="2"/>
  <c r="X41" i="2"/>
  <c r="L41" i="2"/>
  <c r="M41" i="2" s="1"/>
  <c r="N41" i="2" s="1"/>
  <c r="Z40" i="2"/>
  <c r="Y40" i="2"/>
  <c r="X40" i="2"/>
  <c r="L40" i="2"/>
  <c r="M40" i="2" s="1"/>
  <c r="N40" i="2" s="1"/>
  <c r="Z39" i="2"/>
  <c r="Y39" i="2"/>
  <c r="X39" i="2"/>
  <c r="N39" i="2"/>
  <c r="M39" i="2"/>
  <c r="L39" i="2"/>
  <c r="Z38" i="2"/>
  <c r="Y38" i="2"/>
  <c r="X38" i="2"/>
  <c r="N38" i="2"/>
  <c r="M38" i="2"/>
  <c r="L38" i="2"/>
  <c r="Z37" i="2"/>
  <c r="Y37" i="2"/>
  <c r="X37" i="2"/>
  <c r="L37" i="2"/>
  <c r="M37" i="2" s="1"/>
  <c r="N37" i="2" s="1"/>
  <c r="Z36" i="2"/>
  <c r="Y36" i="2"/>
  <c r="X36" i="2"/>
  <c r="L36" i="2"/>
  <c r="M36" i="2" s="1"/>
  <c r="N36" i="2" s="1"/>
  <c r="Z35" i="2"/>
  <c r="Y35" i="2"/>
  <c r="X35" i="2"/>
  <c r="M35" i="2"/>
  <c r="N35" i="2" s="1"/>
  <c r="L35" i="2"/>
  <c r="Z34" i="2"/>
  <c r="Y34" i="2"/>
  <c r="X34" i="2"/>
  <c r="M34" i="2"/>
  <c r="N34" i="2" s="1"/>
  <c r="L34" i="2"/>
  <c r="Z33" i="2"/>
  <c r="Y33" i="2"/>
  <c r="X33" i="2"/>
  <c r="L33" i="2"/>
  <c r="M33" i="2" s="1"/>
  <c r="N33" i="2" s="1"/>
  <c r="Z32" i="2"/>
  <c r="Y32" i="2"/>
  <c r="X32" i="2"/>
  <c r="N32" i="2"/>
  <c r="M32" i="2"/>
  <c r="L32" i="2"/>
  <c r="Z31" i="2"/>
  <c r="Y31" i="2"/>
  <c r="X31" i="2"/>
  <c r="M31" i="2"/>
  <c r="N31" i="2" s="1"/>
  <c r="L31" i="2"/>
  <c r="Z30" i="2"/>
  <c r="Y30" i="2"/>
  <c r="X30" i="2"/>
  <c r="L30" i="2"/>
  <c r="M30" i="2" s="1"/>
  <c r="N30" i="2" s="1"/>
  <c r="Z29" i="2"/>
  <c r="Y29" i="2"/>
  <c r="X29" i="2"/>
  <c r="L29" i="2"/>
  <c r="M29" i="2" s="1"/>
  <c r="N29" i="2" s="1"/>
  <c r="Z28" i="2"/>
  <c r="Y28" i="2"/>
  <c r="X28" i="2"/>
  <c r="N28" i="2"/>
  <c r="M28" i="2"/>
  <c r="L28" i="2"/>
  <c r="Z27" i="2"/>
  <c r="Y27" i="2"/>
  <c r="X27" i="2"/>
  <c r="N27" i="2"/>
  <c r="M27" i="2"/>
  <c r="L27" i="2"/>
  <c r="Z26" i="2"/>
  <c r="Y26" i="2"/>
  <c r="X26" i="2"/>
  <c r="N26" i="2"/>
  <c r="M26" i="2"/>
  <c r="L26" i="2"/>
  <c r="Z25" i="2"/>
  <c r="Y25" i="2"/>
  <c r="X25" i="2"/>
  <c r="L25" i="2"/>
  <c r="M25" i="2" s="1"/>
  <c r="N25" i="2" s="1"/>
  <c r="Z24" i="2"/>
  <c r="Y24" i="2"/>
  <c r="X24" i="2"/>
  <c r="N24" i="2"/>
  <c r="M24" i="2"/>
  <c r="L24" i="2"/>
  <c r="Z23" i="2"/>
  <c r="Y23" i="2"/>
  <c r="X23" i="2"/>
  <c r="N23" i="2"/>
  <c r="M23" i="2"/>
  <c r="L23" i="2"/>
  <c r="Z22" i="2"/>
  <c r="Y22" i="2"/>
  <c r="X22" i="2"/>
  <c r="M22" i="2"/>
  <c r="N22" i="2" s="1"/>
  <c r="L22" i="2"/>
  <c r="Z21" i="2"/>
  <c r="Y21" i="2"/>
  <c r="X21" i="2"/>
  <c r="L21" i="2"/>
  <c r="M21" i="2" s="1"/>
  <c r="N21" i="2" s="1"/>
  <c r="Z20" i="2"/>
  <c r="Y20" i="2"/>
  <c r="X20" i="2"/>
  <c r="L20" i="2"/>
  <c r="M20" i="2" s="1"/>
  <c r="N20" i="2" s="1"/>
  <c r="Z19" i="2"/>
  <c r="Y19" i="2"/>
  <c r="X19" i="2"/>
  <c r="M19" i="2"/>
  <c r="N19" i="2" s="1"/>
  <c r="L19" i="2"/>
  <c r="Z18" i="2"/>
  <c r="Y18" i="2"/>
  <c r="X18" i="2"/>
  <c r="L18" i="2"/>
  <c r="M18" i="2" s="1"/>
  <c r="N18" i="2" s="1"/>
  <c r="Z17" i="2"/>
  <c r="Y17" i="2"/>
  <c r="X17" i="2"/>
  <c r="L17" i="2"/>
  <c r="M17" i="2" s="1"/>
  <c r="N17" i="2" s="1"/>
  <c r="Z16" i="2"/>
  <c r="Y16" i="2"/>
  <c r="X16" i="2"/>
  <c r="L16" i="2"/>
  <c r="M16" i="2" s="1"/>
  <c r="N16" i="2" s="1"/>
  <c r="Z15" i="2"/>
  <c r="Y15" i="2"/>
  <c r="X15" i="2"/>
  <c r="N15" i="2"/>
  <c r="M15" i="2"/>
  <c r="L15" i="2"/>
  <c r="Z14" i="2"/>
  <c r="Y14" i="2"/>
  <c r="X14" i="2"/>
  <c r="M14" i="2"/>
  <c r="N14" i="2" s="1"/>
  <c r="L14" i="2"/>
  <c r="Z13" i="2"/>
  <c r="Y13" i="2"/>
  <c r="X13" i="2"/>
  <c r="L13" i="2"/>
  <c r="M13" i="2" s="1"/>
  <c r="N13" i="2" s="1"/>
  <c r="Z12" i="2"/>
  <c r="Y12" i="2"/>
  <c r="X12" i="2"/>
  <c r="L12" i="2"/>
  <c r="M12" i="2" s="1"/>
  <c r="N12" i="2" s="1"/>
  <c r="Z11" i="2"/>
  <c r="Y11" i="2"/>
  <c r="X11" i="2"/>
  <c r="M11" i="2"/>
  <c r="N11" i="2" s="1"/>
  <c r="L11" i="2"/>
  <c r="Z10" i="2"/>
  <c r="Y10" i="2"/>
  <c r="X10" i="2"/>
  <c r="L10" i="2"/>
  <c r="M10" i="2" s="1"/>
  <c r="N10" i="2" s="1"/>
  <c r="Z9" i="2"/>
  <c r="Y9" i="2"/>
  <c r="X9" i="2"/>
  <c r="L9" i="2"/>
  <c r="M9" i="2" s="1"/>
  <c r="N9" i="2" s="1"/>
  <c r="Z8" i="2"/>
  <c r="Y8" i="2"/>
  <c r="X8" i="2"/>
  <c r="L8" i="2"/>
  <c r="M8" i="2" s="1"/>
  <c r="N8" i="2" s="1"/>
  <c r="Z7" i="2"/>
  <c r="Y7" i="2"/>
  <c r="X7" i="2"/>
  <c r="N7" i="2"/>
  <c r="M7" i="2"/>
  <c r="L7" i="2"/>
  <c r="Z6" i="2"/>
  <c r="Y6" i="2"/>
  <c r="X6" i="2"/>
  <c r="L6" i="2"/>
  <c r="M6" i="2" s="1"/>
  <c r="N6" i="2" s="1"/>
  <c r="Z5" i="2"/>
  <c r="Y5" i="2"/>
  <c r="X5" i="2"/>
  <c r="L5" i="2"/>
  <c r="M5" i="2" s="1"/>
  <c r="N5" i="2" s="1"/>
  <c r="Z4" i="2"/>
  <c r="Y4" i="2"/>
  <c r="X4" i="2"/>
  <c r="L4" i="2"/>
  <c r="M4" i="2" s="1"/>
  <c r="N4" i="2" s="1"/>
  <c r="Z3" i="2"/>
  <c r="Y3" i="2"/>
  <c r="X3" i="2"/>
  <c r="M3" i="2"/>
  <c r="N3" i="2" s="1"/>
  <c r="L3" i="2"/>
  <c r="Z2" i="2"/>
  <c r="Y2" i="2"/>
  <c r="X2" i="2"/>
  <c r="L2" i="2"/>
  <c r="M2" i="2" s="1"/>
  <c r="N2" i="2" s="1"/>
  <c r="H841" i="1" l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Keng Moua</author>
  </authors>
  <commentList>
    <comment ref="Z539" authorId="0" shapeId="0" xr:uid="{ACD5ADA6-7379-4C4B-B1E5-4C3B2829B037}">
      <text>
        <r>
          <rPr>
            <sz val="9"/>
            <color indexed="81"/>
            <rFont val="Tahoma"/>
            <family val="2"/>
          </rPr>
          <t>Jacks are already included in the original fish counts</t>
        </r>
      </text>
    </comment>
  </commentList>
</comments>
</file>

<file path=xl/sharedStrings.xml><?xml version="1.0" encoding="utf-8"?>
<sst xmlns="http://schemas.openxmlformats.org/spreadsheetml/2006/main" count="16296" uniqueCount="524">
  <si>
    <t>QA-Check</t>
  </si>
  <si>
    <t>Date</t>
  </si>
  <si>
    <t>Shift</t>
  </si>
  <si>
    <t>#</t>
  </si>
  <si>
    <t>MA</t>
  </si>
  <si>
    <t>Location</t>
  </si>
  <si>
    <t>Shore/Boat</t>
  </si>
  <si>
    <t># Angler</t>
  </si>
  <si>
    <t>Start</t>
  </si>
  <si>
    <t>End</t>
  </si>
  <si>
    <t>Duration (hrs)</t>
  </si>
  <si>
    <t>CT</t>
  </si>
  <si>
    <t>Gear</t>
  </si>
  <si>
    <t>Target</t>
  </si>
  <si>
    <t>Chi Kept</t>
  </si>
  <si>
    <t>Co Kept</t>
  </si>
  <si>
    <t>Pink Kept</t>
  </si>
  <si>
    <t>Chu Kept</t>
  </si>
  <si>
    <t>Chi Released</t>
  </si>
  <si>
    <t>Co Released</t>
  </si>
  <si>
    <t>Pink Releases</t>
  </si>
  <si>
    <t>Chu Released</t>
  </si>
  <si>
    <t>Bycatch</t>
  </si>
  <si>
    <t>Size</t>
  </si>
  <si>
    <t>Comments</t>
  </si>
  <si>
    <t>Y</t>
  </si>
  <si>
    <t>AM</t>
  </si>
  <si>
    <t>S</t>
  </si>
  <si>
    <t>N</t>
  </si>
  <si>
    <t>jig</t>
  </si>
  <si>
    <t>chinook ~25 in lng</t>
  </si>
  <si>
    <t>corky, jig</t>
  </si>
  <si>
    <t>P</t>
  </si>
  <si>
    <t>People on bridge said they had been there 30 minutes and no one had caught a fish</t>
  </si>
  <si>
    <t>Some pinks caught before I arrived</t>
  </si>
  <si>
    <t>B</t>
  </si>
  <si>
    <t>troll,jig</t>
  </si>
  <si>
    <t>herring</t>
  </si>
  <si>
    <t>Coh</t>
  </si>
  <si>
    <t>coho size ~ 2-3 lbs</t>
  </si>
  <si>
    <t>chinook caight above TIB</t>
  </si>
  <si>
    <t>checking truck and going back out</t>
  </si>
  <si>
    <t>PM</t>
  </si>
  <si>
    <t>fished area 10, then tried Duwamish for a couple hours with no lucj</t>
  </si>
  <si>
    <t>Don Armeni Ramp, fished up Duwamish</t>
  </si>
  <si>
    <t>hooch, yarn</t>
  </si>
  <si>
    <t>spinner,float</t>
  </si>
  <si>
    <t>jig, spinner</t>
  </si>
  <si>
    <t>P,Coh</t>
  </si>
  <si>
    <t>spinner</t>
  </si>
  <si>
    <t>Chin</t>
  </si>
  <si>
    <t>corky</t>
  </si>
  <si>
    <t>DSS</t>
  </si>
  <si>
    <t>People's park</t>
  </si>
  <si>
    <t>corky and yarn</t>
  </si>
  <si>
    <t>Chin, Coh</t>
  </si>
  <si>
    <t>eggs</t>
  </si>
  <si>
    <t>(4 bridges) caught fish early this morning at TCC</t>
  </si>
  <si>
    <t>jig, eggs</t>
  </si>
  <si>
    <t>three friends</t>
  </si>
  <si>
    <t>cotiga</t>
  </si>
  <si>
    <t>corky and yarn, spinner</t>
  </si>
  <si>
    <t>jig, spoon</t>
  </si>
  <si>
    <t>TCC</t>
  </si>
  <si>
    <t>trout</t>
  </si>
  <si>
    <t>(212th) not fishing for salmon</t>
  </si>
  <si>
    <t>212th</t>
  </si>
  <si>
    <t>hooch, eggs</t>
  </si>
  <si>
    <t>Orillia</t>
  </si>
  <si>
    <t>1st ave ramp</t>
  </si>
  <si>
    <t>float</t>
  </si>
  <si>
    <t>Boeing footbridge</t>
  </si>
  <si>
    <t>TIB</t>
  </si>
  <si>
    <t>spoon</t>
  </si>
  <si>
    <t>golf course</t>
  </si>
  <si>
    <t>Chin, P</t>
  </si>
  <si>
    <t>(four bridges) jack chinook</t>
  </si>
  <si>
    <t>Don Armeni, fished Duwamish</t>
  </si>
  <si>
    <t>released jack. Fished above TIB</t>
  </si>
  <si>
    <t>yarn</t>
  </si>
  <si>
    <t>Chin,P</t>
  </si>
  <si>
    <t>Codiga</t>
  </si>
  <si>
    <t>eggs, jig</t>
  </si>
  <si>
    <t>Starfire</t>
  </si>
  <si>
    <t>4 bridges</t>
  </si>
  <si>
    <t>Starfire. I think they were lying to me because I saw them put a bag of fish in the truck</t>
  </si>
  <si>
    <t>(4 bridg) just arrived</t>
  </si>
  <si>
    <t>48th</t>
  </si>
  <si>
    <t>DWWP</t>
  </si>
  <si>
    <t>T105 pier</t>
  </si>
  <si>
    <t>mostly fishes area 10, spent about 2 hrs fishing Duwamish</t>
  </si>
  <si>
    <t>buzz bomb</t>
  </si>
  <si>
    <t>Coho</t>
  </si>
  <si>
    <t>released jack coho</t>
  </si>
  <si>
    <t>Marginal</t>
  </si>
  <si>
    <t>they said that the people that just left had 17 pinks</t>
  </si>
  <si>
    <t>3 friends</t>
  </si>
  <si>
    <t>chin jack</t>
  </si>
  <si>
    <t>(Allentown) 2 kayaks</t>
  </si>
  <si>
    <t>spin</t>
  </si>
  <si>
    <t>kayak</t>
  </si>
  <si>
    <t>troll herring</t>
  </si>
  <si>
    <t>Coho jack</t>
  </si>
  <si>
    <t>Frager</t>
  </si>
  <si>
    <t>spoon, jig</t>
  </si>
  <si>
    <t>1st coho caught by shore angler</t>
  </si>
  <si>
    <t>bead and yarn</t>
  </si>
  <si>
    <t>4 bridges; jigging for pink off of footbridge</t>
  </si>
  <si>
    <t>In kayaks; chinooks 10,13,15 lbs</t>
  </si>
  <si>
    <t>Starfire rocks</t>
  </si>
  <si>
    <t>Fish</t>
  </si>
  <si>
    <t>spinner, jig</t>
  </si>
  <si>
    <t>fly</t>
  </si>
  <si>
    <t>1st ave</t>
  </si>
  <si>
    <t>eggs, spin</t>
  </si>
  <si>
    <t>Frager rd</t>
  </si>
  <si>
    <t>Allentown</t>
  </si>
  <si>
    <t>surf perch</t>
  </si>
  <si>
    <t>1st Ave</t>
  </si>
  <si>
    <t>Starifre rocks</t>
  </si>
  <si>
    <t>(Marginal)</t>
  </si>
  <si>
    <t>(marginal) released snagged pink</t>
  </si>
  <si>
    <t>(Allentown)</t>
  </si>
  <si>
    <t>(TCC)</t>
  </si>
  <si>
    <t>corky, spoon</t>
  </si>
  <si>
    <t>corky, yarn</t>
  </si>
  <si>
    <t>(TCC) angler in above interview gave me the data for this entry</t>
  </si>
  <si>
    <t>(Codiga)</t>
  </si>
  <si>
    <t>(golf course)</t>
  </si>
  <si>
    <t>(4 bridges)</t>
  </si>
  <si>
    <t>(starfire) jack chin</t>
  </si>
  <si>
    <t>(3 friends)</t>
  </si>
  <si>
    <t>(212th)</t>
  </si>
  <si>
    <t>1 group member left at 11:08</t>
  </si>
  <si>
    <t>Lots of pinks moving (Orillia)</t>
  </si>
  <si>
    <t>released foul-hooked Chin (4 bridges)</t>
  </si>
  <si>
    <t>lost a Coho (starfire)</t>
  </si>
  <si>
    <t>(starfire)</t>
  </si>
  <si>
    <t>(Boeing footbridge)</t>
  </si>
  <si>
    <t>(102nd)</t>
  </si>
  <si>
    <t>(DSS)</t>
  </si>
  <si>
    <t>guide service</t>
  </si>
  <si>
    <t>(DWWP)</t>
  </si>
  <si>
    <t>(People's Park)</t>
  </si>
  <si>
    <t>(TIB)</t>
  </si>
  <si>
    <t>everything</t>
  </si>
  <si>
    <t>fish</t>
  </si>
  <si>
    <t>(48th) kayak</t>
  </si>
  <si>
    <t>bead</t>
  </si>
  <si>
    <t>20 in (4 bridges)</t>
  </si>
  <si>
    <t xml:space="preserve"> </t>
  </si>
  <si>
    <t>Coh, P</t>
  </si>
  <si>
    <t>(Orillia) released chinooks because they were showing too much color</t>
  </si>
  <si>
    <t>n/a</t>
  </si>
  <si>
    <t>1 adult, 1 jack (48th)</t>
  </si>
  <si>
    <t>(48th)</t>
  </si>
  <si>
    <t>eggs, spoon</t>
  </si>
  <si>
    <t>(Boeing)</t>
  </si>
  <si>
    <t>3 adult, 2 jacks</t>
  </si>
  <si>
    <t>3 adult, 1 jack</t>
  </si>
  <si>
    <t>beads, eggs</t>
  </si>
  <si>
    <t>corky, egg</t>
  </si>
  <si>
    <t>troll plug</t>
  </si>
  <si>
    <t>troll</t>
  </si>
  <si>
    <t>sculpin</t>
  </si>
  <si>
    <t>5"</t>
  </si>
  <si>
    <t>2 jacks</t>
  </si>
  <si>
    <t>jigs</t>
  </si>
  <si>
    <t>20"Coho</t>
  </si>
  <si>
    <t>Chin, COh</t>
  </si>
  <si>
    <t>sculpin x2</t>
  </si>
  <si>
    <t>3"</t>
  </si>
  <si>
    <t>sculpine</t>
  </si>
  <si>
    <t>3 adult; 1 jack</t>
  </si>
  <si>
    <t>smolts steeling eggs</t>
  </si>
  <si>
    <t>jack</t>
  </si>
  <si>
    <t>lots of smolts with clipped fins</t>
  </si>
  <si>
    <t>plug</t>
  </si>
  <si>
    <t>fished up by golf course in MA2</t>
  </si>
  <si>
    <t>hook</t>
  </si>
  <si>
    <t>18 lb chinook</t>
  </si>
  <si>
    <t>19 lbs</t>
  </si>
  <si>
    <t>lots of coho in Tukwila</t>
  </si>
  <si>
    <t>3 adults; 1 jack; most fish around 20"</t>
  </si>
  <si>
    <t>1 jack</t>
  </si>
  <si>
    <t>eggs, beads</t>
  </si>
  <si>
    <t>shrimp</t>
  </si>
  <si>
    <t>pink</t>
  </si>
  <si>
    <t>beads</t>
  </si>
  <si>
    <t>spin, eggs</t>
  </si>
  <si>
    <t>paddle board</t>
  </si>
  <si>
    <t>over 20"</t>
  </si>
  <si>
    <t>1 adult; 1 jack</t>
  </si>
  <si>
    <t xml:space="preserve">interview gathered from angler in the afternoon; he was was hanging out in the afternoon, not fishing. </t>
  </si>
  <si>
    <t>angler: "no coho caught up here in the last 4 days"</t>
  </si>
  <si>
    <t>2 adults kept; 2 jacks released</t>
  </si>
  <si>
    <t>2 adult; 1 jack</t>
  </si>
  <si>
    <t>2 jacks; 1 adult</t>
  </si>
  <si>
    <t>1 jack; 2 adults</t>
  </si>
  <si>
    <t>3 adult; 4 jack</t>
  </si>
  <si>
    <t>1 jack; 1 adult</t>
  </si>
  <si>
    <t>2 jacks released</t>
  </si>
  <si>
    <t>jack king</t>
  </si>
  <si>
    <t>20x Sculpin</t>
  </si>
  <si>
    <t>~ 3in</t>
  </si>
  <si>
    <t>3 adult kept; 1 jack released</t>
  </si>
  <si>
    <t>smolt</t>
  </si>
  <si>
    <t>jig, bead</t>
  </si>
  <si>
    <t>1 adult</t>
  </si>
  <si>
    <t>2 adult kept</t>
  </si>
  <si>
    <t>adult</t>
  </si>
  <si>
    <t>3 adult; 2 jack</t>
  </si>
  <si>
    <t>4 adult; 1 jack</t>
  </si>
  <si>
    <t>plug, spin</t>
  </si>
  <si>
    <t>beads, shrimp</t>
  </si>
  <si>
    <t>Coh, Chum</t>
  </si>
  <si>
    <t>Shrimp, eggs</t>
  </si>
  <si>
    <t>jig, shrimp</t>
  </si>
  <si>
    <t>Chum</t>
  </si>
  <si>
    <t>soft bead</t>
  </si>
  <si>
    <t>"had loads of fun"</t>
  </si>
  <si>
    <t>shiner perch; sculpin</t>
  </si>
  <si>
    <t>shiner perch</t>
  </si>
  <si>
    <t>meat</t>
  </si>
  <si>
    <t>chum</t>
  </si>
  <si>
    <t>Week</t>
  </si>
  <si>
    <t>DoW</t>
  </si>
  <si>
    <t>#Angler</t>
  </si>
  <si>
    <t>Duration</t>
  </si>
  <si>
    <t>Trip Hours</t>
  </si>
  <si>
    <t>Angler Hours</t>
  </si>
  <si>
    <t xml:space="preserve">Co Released </t>
  </si>
  <si>
    <t>Chi Encounters</t>
  </si>
  <si>
    <t>Co Encounters</t>
  </si>
  <si>
    <t>Chu Encounters</t>
  </si>
  <si>
    <t xml:space="preserve">Bycatch </t>
  </si>
  <si>
    <t>WD</t>
  </si>
  <si>
    <t>chi/co</t>
  </si>
  <si>
    <t>any</t>
  </si>
  <si>
    <t>wicked lure</t>
  </si>
  <si>
    <t>plug, spoon</t>
  </si>
  <si>
    <t>s</t>
  </si>
  <si>
    <t>flashers</t>
  </si>
  <si>
    <t>plunker</t>
  </si>
  <si>
    <t>chi</t>
  </si>
  <si>
    <t>red hook</t>
  </si>
  <si>
    <t>bait, plugs</t>
  </si>
  <si>
    <t>co</t>
  </si>
  <si>
    <t>plugs</t>
  </si>
  <si>
    <t>all 4 jacks</t>
  </si>
  <si>
    <t>WE</t>
  </si>
  <si>
    <t>painted weight</t>
  </si>
  <si>
    <t>bobber</t>
  </si>
  <si>
    <t>have been fishing all over</t>
  </si>
  <si>
    <t>flossing</t>
  </si>
  <si>
    <t>cut herring</t>
  </si>
  <si>
    <t>plug, wiggle worm</t>
  </si>
  <si>
    <t>been fishing "long time"</t>
  </si>
  <si>
    <t>twitch</t>
  </si>
  <si>
    <t>eggs, twitch</t>
  </si>
  <si>
    <t>bobber, shrimp, jig</t>
  </si>
  <si>
    <t>reported by previous angler</t>
  </si>
  <si>
    <t xml:space="preserve">flashers, spoons </t>
  </si>
  <si>
    <t>flashers, hoochies</t>
  </si>
  <si>
    <t>released chinook - jack</t>
  </si>
  <si>
    <t>floater, cut plug, herring</t>
  </si>
  <si>
    <t>wiggle warts</t>
  </si>
  <si>
    <t>jig, flies</t>
  </si>
  <si>
    <t>hatchery jack</t>
  </si>
  <si>
    <t>bead, eggs</t>
  </si>
  <si>
    <t>escaped</t>
  </si>
  <si>
    <t>drift eggs</t>
  </si>
  <si>
    <t>corkies</t>
  </si>
  <si>
    <t>blue fox, spinner</t>
  </si>
  <si>
    <t>1 surf perch</t>
  </si>
  <si>
    <t>bycatch not from today, uncertain ID, angler took a picture and asked me</t>
  </si>
  <si>
    <t>really unclear about start time</t>
  </si>
  <si>
    <t>cut plug herring</t>
  </si>
  <si>
    <t>twitch, eggs</t>
  </si>
  <si>
    <t>spinner, eggs</t>
  </si>
  <si>
    <t>float, power bait</t>
  </si>
  <si>
    <t>spinner, spoon</t>
  </si>
  <si>
    <t>lures</t>
  </si>
  <si>
    <t>spoon, spinner</t>
  </si>
  <si>
    <t>flasher, herring</t>
  </si>
  <si>
    <t>trolling weights</t>
  </si>
  <si>
    <t>"I don't report my fish to you guys"</t>
  </si>
  <si>
    <t>twitch, spinner</t>
  </si>
  <si>
    <t>pink worm, minnow, jig</t>
  </si>
  <si>
    <t>worms, lures</t>
  </si>
  <si>
    <t>hooked in side</t>
  </si>
  <si>
    <t>lost 1</t>
  </si>
  <si>
    <t>3 hours in the morning, same spot</t>
  </si>
  <si>
    <t>this and next entry reported after the fact, lost 3</t>
  </si>
  <si>
    <t>eggs, spinner</t>
  </si>
  <si>
    <t>red hook, eggs</t>
  </si>
  <si>
    <t>23 kings in last 3 days, doesn't ever keep fish</t>
  </si>
  <si>
    <t>they said they were targeting sockeye because they had seen a red salmon, but I'm guessing they saw a chinook</t>
  </si>
  <si>
    <t>eggs, bead</t>
  </si>
  <si>
    <t>corkies, jig</t>
  </si>
  <si>
    <t>spinners</t>
  </si>
  <si>
    <t>plugs, spinners</t>
  </si>
  <si>
    <t>2 jacks 2 adults</t>
  </si>
  <si>
    <t>eggs, worms</t>
  </si>
  <si>
    <t>bait</t>
  </si>
  <si>
    <t>corkie</t>
  </si>
  <si>
    <t>flies</t>
  </si>
  <si>
    <t>flasher</t>
  </si>
  <si>
    <t>1 cutthroat</t>
  </si>
  <si>
    <t>corkie, eggs</t>
  </si>
  <si>
    <t>worms, jig</t>
  </si>
  <si>
    <t>co/chum</t>
  </si>
  <si>
    <t>eggs, twitch, spinner</t>
  </si>
  <si>
    <t>blue fox</t>
  </si>
  <si>
    <t>spoons</t>
  </si>
  <si>
    <t>bead, spinner</t>
  </si>
  <si>
    <t>buzz bomb, spinner</t>
  </si>
  <si>
    <t>shrimp paste</t>
  </si>
  <si>
    <t>eggs, shrimp, corky</t>
  </si>
  <si>
    <t>egg</t>
  </si>
  <si>
    <t>shrimp, eggs</t>
  </si>
  <si>
    <t xml:space="preserve">red hook </t>
  </si>
  <si>
    <t>egg, bead</t>
  </si>
  <si>
    <t>cut plug, eggs</t>
  </si>
  <si>
    <t>eggs, shrimp</t>
  </si>
  <si>
    <t>eggs, spinner, jig</t>
  </si>
  <si>
    <t>egg, sucking leech</t>
  </si>
  <si>
    <t>jig, bead, spinner</t>
  </si>
  <si>
    <t>squid jig</t>
  </si>
  <si>
    <t>black corky</t>
  </si>
  <si>
    <t>bead, corky</t>
  </si>
  <si>
    <t>buzz bomb, jig</t>
  </si>
  <si>
    <t>twitch, shrimp</t>
  </si>
  <si>
    <t>jig, spinner, eggs</t>
  </si>
  <si>
    <t>jig, lure</t>
  </si>
  <si>
    <t xml:space="preserve">jig </t>
  </si>
  <si>
    <t>eggs, jig, shrimp</t>
  </si>
  <si>
    <t>corky, shrimp paste</t>
  </si>
  <si>
    <t>jig, yarn, bead</t>
  </si>
  <si>
    <t>jig, eggs, shrimp</t>
  </si>
  <si>
    <t>Pink Released</t>
  </si>
  <si>
    <t>Pink Encounters</t>
  </si>
  <si>
    <t>y</t>
  </si>
  <si>
    <t>p</t>
  </si>
  <si>
    <t>b</t>
  </si>
  <si>
    <t>co,p</t>
  </si>
  <si>
    <t>chinook jack</t>
  </si>
  <si>
    <t>pink jig</t>
  </si>
  <si>
    <t>corkie, jig</t>
  </si>
  <si>
    <t>n</t>
  </si>
  <si>
    <t>corkie/yarn</t>
  </si>
  <si>
    <t>from a conversation on 8/23, all necessary information was provided</t>
  </si>
  <si>
    <t>chi,p</t>
  </si>
  <si>
    <t>chi,co</t>
  </si>
  <si>
    <t>trolling</t>
  </si>
  <si>
    <t>caught 1 chinook wed</t>
  </si>
  <si>
    <t>white jig</t>
  </si>
  <si>
    <t>steelhead</t>
  </si>
  <si>
    <t>let them know about regs</t>
  </si>
  <si>
    <t>lure</t>
  </si>
  <si>
    <t>bead, lure</t>
  </si>
  <si>
    <t>twitch jig</t>
  </si>
  <si>
    <t>spinner, jig, eggs</t>
  </si>
  <si>
    <t>bobber/eggs</t>
  </si>
  <si>
    <t>co,chum</t>
  </si>
  <si>
    <t>1 smolt</t>
  </si>
  <si>
    <t>bass</t>
  </si>
  <si>
    <t>silver lure</t>
  </si>
  <si>
    <t>1 small unid. Trout</t>
  </si>
  <si>
    <t>worm</t>
  </si>
  <si>
    <t>trout,stl</t>
  </si>
  <si>
    <t>1 unclipped steelhead released</t>
  </si>
  <si>
    <t>corkie,yarn</t>
  </si>
  <si>
    <t>fake eggs</t>
  </si>
  <si>
    <t>jack coho</t>
  </si>
  <si>
    <t>came from Kenaskat</t>
  </si>
  <si>
    <t>5 rbt released</t>
  </si>
  <si>
    <t>jig,fly</t>
  </si>
  <si>
    <t>2 rbt 1 cut all released</t>
  </si>
  <si>
    <t>3 whitefish released</t>
  </si>
  <si>
    <t>1 large sucker released</t>
  </si>
  <si>
    <t>2 cutt 1 rbt released</t>
  </si>
  <si>
    <t>salmon, trout</t>
  </si>
  <si>
    <t>1 rbt released</t>
  </si>
  <si>
    <t>Angler Type</t>
  </si>
  <si>
    <t>Angler Count</t>
  </si>
  <si>
    <t>Start Time</t>
  </si>
  <si>
    <t>End Time</t>
  </si>
  <si>
    <t>Time Fished</t>
  </si>
  <si>
    <t>Time Fished Decimal</t>
  </si>
  <si>
    <t>Total Time Fished</t>
  </si>
  <si>
    <t>Completed Trip</t>
  </si>
  <si>
    <t>Specific Gear</t>
  </si>
  <si>
    <t>Kept Chinook</t>
  </si>
  <si>
    <t>Released Chinook</t>
  </si>
  <si>
    <t>Kept Coho</t>
  </si>
  <si>
    <t>Released Coho</t>
  </si>
  <si>
    <t>Kept Chum</t>
  </si>
  <si>
    <t>Released Chum</t>
  </si>
  <si>
    <t>Jack Chinook Kept</t>
  </si>
  <si>
    <t>Jack Chinook Released</t>
  </si>
  <si>
    <t>Jack Coho Kept</t>
  </si>
  <si>
    <t>Jack Coho Released</t>
  </si>
  <si>
    <t>Bycatch Size</t>
  </si>
  <si>
    <t>Corky</t>
  </si>
  <si>
    <t>Salmon</t>
  </si>
  <si>
    <t>Bead</t>
  </si>
  <si>
    <t>WEB</t>
  </si>
  <si>
    <t>Spinner</t>
  </si>
  <si>
    <t>Egg/Jig</t>
  </si>
  <si>
    <t>Chinook</t>
  </si>
  <si>
    <t>Egg</t>
  </si>
  <si>
    <t>Plug</t>
  </si>
  <si>
    <t>Herring</t>
  </si>
  <si>
    <t>Shrimp</t>
  </si>
  <si>
    <t>Jig</t>
  </si>
  <si>
    <t>Dart</t>
  </si>
  <si>
    <t>Cutbow</t>
  </si>
  <si>
    <t>10''</t>
  </si>
  <si>
    <t>released</t>
  </si>
  <si>
    <t>16 trailers at 1st Ave (8:00)</t>
  </si>
  <si>
    <t>13 trailers at Armeni (8:35)</t>
  </si>
  <si>
    <t>Chinook/Coho</t>
  </si>
  <si>
    <t>Plug/Spinner</t>
  </si>
  <si>
    <t>Caught in MA2</t>
  </si>
  <si>
    <t>Herring/Spinner</t>
  </si>
  <si>
    <t>Spoon</t>
  </si>
  <si>
    <t>Jack</t>
  </si>
  <si>
    <t>Jack, rain/mist</t>
  </si>
  <si>
    <t>Both jacks</t>
  </si>
  <si>
    <t>Spinner/Spoon</t>
  </si>
  <si>
    <t>3 adults, 1 jack</t>
  </si>
  <si>
    <t>Jack, low tide morning</t>
  </si>
  <si>
    <t>Only 3 trailers at 1st Ave, prioritized MA2</t>
  </si>
  <si>
    <t>All jacks</t>
  </si>
  <si>
    <t>Fly</t>
  </si>
  <si>
    <t>Buzzbomb</t>
  </si>
  <si>
    <t>Few trailers, prioritized MA2, smokey day out</t>
  </si>
  <si>
    <t>Plug/Herring</t>
  </si>
  <si>
    <t>Released jack</t>
  </si>
  <si>
    <t>few trailers, prioritized MA2</t>
  </si>
  <si>
    <t>Egg/Shrimp</t>
  </si>
  <si>
    <t>Jacks</t>
  </si>
  <si>
    <t>Wanted female</t>
  </si>
  <si>
    <t>Missed the majority of boaters</t>
  </si>
  <si>
    <t>Also used a variety of lures, gave a report of boaters catching tons of coho</t>
  </si>
  <si>
    <t>Pink</t>
  </si>
  <si>
    <t>Egg/Spinner</t>
  </si>
  <si>
    <t>Low tide</t>
  </si>
  <si>
    <t>High tide</t>
  </si>
  <si>
    <t>1 jack king</t>
  </si>
  <si>
    <t>Low tide, 1st Ave had 2 trailers</t>
  </si>
  <si>
    <t>Jack released</t>
  </si>
  <si>
    <t>Spinner/Corky</t>
  </si>
  <si>
    <t>Spinner/Jig</t>
  </si>
  <si>
    <t>10 trailers at 4:00 PM</t>
  </si>
  <si>
    <t>Went to FFC</t>
  </si>
  <si>
    <t>Incoming tide</t>
  </si>
  <si>
    <t>Egg/Dart</t>
  </si>
  <si>
    <t>High tide at 10:00 AM</t>
  </si>
  <si>
    <t>Caught between 102nd and CCM</t>
  </si>
  <si>
    <t>Reports of fish jumping but nobody hooking</t>
  </si>
  <si>
    <t>Low tide at 7:30 AM, jack</t>
  </si>
  <si>
    <t>Jig/Spoon</t>
  </si>
  <si>
    <t>Egg/Spinner/Jig</t>
  </si>
  <si>
    <t>No trailers at 1st Ave, few nets out</t>
  </si>
  <si>
    <t>Only 2 trailers at 1st Ave at 4:30 PM, high tide</t>
  </si>
  <si>
    <t>Low tide at 10:30 AM</t>
  </si>
  <si>
    <t>Egg/Bead</t>
  </si>
  <si>
    <t>8 trailers at 1st Ave at 11:15 AM</t>
  </si>
  <si>
    <t>*Tuesday, high tide at 6 PM</t>
  </si>
  <si>
    <t>2 trailers at 1st Ave at 4:50 PM, high tide at 6:45 PM</t>
  </si>
  <si>
    <t>Marshmellow</t>
  </si>
  <si>
    <t>No fishermen in MA1-2 this morning</t>
  </si>
  <si>
    <t>*Sunday, Chum being reported as appearing</t>
  </si>
  <si>
    <t>Egg/Jig/Spinner</t>
  </si>
  <si>
    <t>Coho/Chum</t>
  </si>
  <si>
    <t>Egg/Shrimp/Jig</t>
  </si>
  <si>
    <t>Released 1 jack</t>
  </si>
  <si>
    <t>No trailers at 1st Ave, low tide at 6:45 AM</t>
  </si>
  <si>
    <t>No trailers at 1st Ave, high tide at 3:45 PM</t>
  </si>
  <si>
    <t>*No interviews on 10/20 due to bad air quality</t>
  </si>
  <si>
    <t>Jig/Bead</t>
  </si>
  <si>
    <t>Low tide at 9:20 AM</t>
  </si>
  <si>
    <t>High tide at 4:00 PM</t>
  </si>
  <si>
    <t>High tide at 7:25 AM</t>
  </si>
  <si>
    <t>High tide at 6:00 PM</t>
  </si>
  <si>
    <t>High tide at 8:15 AM</t>
  </si>
  <si>
    <t>High tide at 9:15 AM</t>
  </si>
  <si>
    <t>Jig/Spinner</t>
  </si>
  <si>
    <t>Jig/Corky</t>
  </si>
  <si>
    <t>Completed Trip Totals</t>
  </si>
  <si>
    <t>Percent Jacks</t>
  </si>
  <si>
    <t>Overall Total (Completed + Incomplete)</t>
  </si>
  <si>
    <t>Complete + Incomplete Trips</t>
  </si>
  <si>
    <t>Total Anglers Interviewed</t>
  </si>
  <si>
    <t>Effort (Hours) by MA</t>
  </si>
  <si>
    <t># Anglers</t>
  </si>
  <si>
    <t>Total Hours Fished</t>
  </si>
  <si>
    <t>Includes Chinook</t>
  </si>
  <si>
    <t>Average Fishing Duration</t>
  </si>
  <si>
    <t>Includes Coho</t>
  </si>
  <si>
    <t>Includes Chum</t>
  </si>
  <si>
    <t>Shore Anglers Interviewed</t>
  </si>
  <si>
    <t>Total</t>
  </si>
  <si>
    <t>Shore Anglers Total Hours Fished</t>
  </si>
  <si>
    <t>Average Shore Angler Fishing Duration</t>
  </si>
  <si>
    <t>Boat Anglers Interviewed</t>
  </si>
  <si>
    <t>Boat Anglers Total Hours Fished</t>
  </si>
  <si>
    <t>Average Boat Angler Fishing Duration</t>
  </si>
  <si>
    <t>Total Kept</t>
  </si>
  <si>
    <t>Total Released</t>
  </si>
  <si>
    <t>Total Encounters</t>
  </si>
  <si>
    <t>Sept. Unextrapolated Counts</t>
  </si>
  <si>
    <t>Anglers</t>
  </si>
  <si>
    <t>Chinook Encounters</t>
  </si>
  <si>
    <t>Chinook Kept</t>
  </si>
  <si>
    <t>Chinook Released</t>
  </si>
  <si>
    <t>Coho Encounters</t>
  </si>
  <si>
    <t>Coho Kept</t>
  </si>
  <si>
    <t>Coho Released</t>
  </si>
  <si>
    <t>Shore Anglers</t>
  </si>
  <si>
    <t>Boat Anglers</t>
  </si>
  <si>
    <t>Oct. Unextrapolated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</si>
</sst>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0" xfId="0" applyNumberFormat="1"/>
    <xf numFmtId="20" fontId="0" fillId="0" borderId="0" xfId="0" applyNumberFormat="1"/>
    <xf numFmtId="164" fontId="0" fillId="2" borderId="0" xfId="0" applyNumberFormat="1" applyFill="1"/>
    <xf numFmtId="165" fontId="0" fillId="0" borderId="0" xfId="0" applyNumberFormat="1"/>
    <xf numFmtId="0" fontId="0" fillId="0" borderId="1" xfId="0" applyBorder="1"/>
    <xf numFmtId="2" fontId="0" fillId="0" borderId="0" xfId="0" applyNumberFormat="1"/>
    <xf numFmtId="1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2" fontId="1" fillId="0" borderId="0" xfId="0" applyNumberFormat="1" applyFont="1"/>
    <xf numFmtId="0" fontId="1" fillId="0" borderId="1" xfId="0" applyFont="1" applyBorder="1"/>
    <xf numFmtId="0" fontId="0" fillId="0" borderId="2" xfId="0" applyBorder="1"/>
    <xf numFmtId="0" fontId="0" fillId="7" borderId="0" xfId="0" applyFill="1"/>
    <xf numFmtId="0" fontId="0" fillId="7" borderId="2" xfId="0" applyFill="1" applyBorder="1"/>
    <xf numFmtId="0" fontId="0" fillId="8" borderId="0" xfId="0" applyFill="1"/>
    <xf numFmtId="0" fontId="0" fillId="8" borderId="2" xfId="0" applyFill="1" applyBorder="1"/>
    <xf numFmtId="0" fontId="0" fillId="9" borderId="0" xfId="0" applyFill="1"/>
    <xf numFmtId="0" fontId="0" fillId="9" borderId="2" xfId="0" applyFill="1" applyBorder="1"/>
    <xf numFmtId="14" fontId="0" fillId="0" borderId="3" xfId="0" applyNumberFormat="1" applyBorder="1"/>
    <xf numFmtId="0" fontId="0" fillId="0" borderId="3" xfId="0" applyBorder="1"/>
    <xf numFmtId="20" fontId="0" fillId="0" borderId="3" xfId="0" applyNumberFormat="1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20" fontId="0" fillId="0" borderId="5" xfId="0" applyNumberForma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0" fontId="0" fillId="0" borderId="11" xfId="0" applyNumberForma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0" fillId="0" borderId="22" xfId="0" applyBorder="1"/>
    <xf numFmtId="0" fontId="1" fillId="0" borderId="23" xfId="0" applyFont="1" applyBorder="1"/>
    <xf numFmtId="0" fontId="1" fillId="0" borderId="22" xfId="0" applyFont="1" applyBorder="1"/>
    <xf numFmtId="0" fontId="0" fillId="0" borderId="24" xfId="0" applyBorder="1"/>
    <xf numFmtId="0" fontId="0" fillId="0" borderId="25" xfId="0" applyBorder="1"/>
    <xf numFmtId="0" fontId="1" fillId="0" borderId="10" xfId="0" applyFont="1" applyBorder="1" applyAlignment="1">
      <alignment horizontal="right"/>
    </xf>
    <xf numFmtId="10" fontId="0" fillId="0" borderId="0" xfId="0" applyNumberFormat="1"/>
    <xf numFmtId="0" fontId="0" fillId="0" borderId="26" xfId="0" applyBorder="1"/>
    <xf numFmtId="2" fontId="0" fillId="0" borderId="12" xfId="0" applyNumberForma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0" borderId="24" xfId="0" applyFont="1" applyBorder="1"/>
    <xf numFmtId="0" fontId="0" fillId="0" borderId="30" xfId="0" applyBorder="1"/>
    <xf numFmtId="0" fontId="1" fillId="0" borderId="12" xfId="0" applyFont="1" applyBorder="1" applyAlignment="1">
      <alignment horizontal="right"/>
    </xf>
    <xf numFmtId="0" fontId="1" fillId="0" borderId="19" xfId="0" applyFont="1" applyBorder="1"/>
    <xf numFmtId="0" fontId="0" fillId="0" borderId="21" xfId="0" applyBorder="1"/>
    <xf numFmtId="0" fontId="1" fillId="0" borderId="29" xfId="0" applyFont="1" applyBorder="1" applyAlignment="1">
      <alignment horizontal="right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2" fontId="0" fillId="0" borderId="42" xfId="0" applyNumberFormat="1" applyBorder="1"/>
    <xf numFmtId="0" fontId="0" fillId="0" borderId="43" xfId="0" applyBorder="1"/>
    <xf numFmtId="2" fontId="0" fillId="0" borderId="33" xfId="0" applyNumberFormat="1" applyBorder="1"/>
    <xf numFmtId="0" fontId="0" fillId="0" borderId="44" xfId="0" applyBorder="1"/>
    <xf numFmtId="0" fontId="0" fillId="0" borderId="45" xfId="0" applyBorder="1"/>
    <xf numFmtId="0" fontId="0" fillId="0" borderId="46" xfId="0" applyBorder="1"/>
  </cellXfs>
  <cellStyles count="1">
    <cellStyle name="Normal" xfId="0" builtinId="0"/>
  </cellStyles>
  <dxfs count="34"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2" formatCode="0.00"/>
    </dxf>
    <dxf>
      <numFmt numFmtId="2" formatCode="0.00"/>
    </dxf>
    <dxf>
      <numFmt numFmtId="165" formatCode="h:mm;@"/>
    </dxf>
    <dxf>
      <numFmt numFmtId="165" formatCode="h:mm;@"/>
    </dxf>
    <dxf>
      <numFmt numFmtId="165" formatCode="h:mm;@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2" formatCode="0.00"/>
    </dxf>
    <dxf>
      <numFmt numFmtId="2" formatCode="0.00"/>
    </dxf>
    <dxf>
      <numFmt numFmtId="165" formatCode="h:mm;@"/>
    </dxf>
    <dxf>
      <numFmt numFmtId="165" formatCode="h:mm;@"/>
    </dxf>
    <dxf>
      <numFmt numFmtId="165" formatCode="h:mm;@"/>
    </dxf>
    <dxf>
      <numFmt numFmtId="19" formatCode="m/d/yyyy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2" formatCode="0.00"/>
    </dxf>
    <dxf>
      <numFmt numFmtId="2" formatCode="0.00"/>
    </dxf>
    <dxf>
      <numFmt numFmtId="165" formatCode="h:mm;@"/>
    </dxf>
    <dxf>
      <numFmt numFmtId="165" formatCode="h:mm;@"/>
    </dxf>
    <dxf>
      <numFmt numFmtId="165" formatCode="h:mm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5D202C-0A8D-4E77-90B1-BC2B1DF6D399}" name="Table1" displayName="Table1" ref="A1:AE566" totalsRowShown="0">
  <autoFilter ref="A1:AE566" xr:uid="{F6EAC4BD-EDB8-4C79-A9B5-8BB96A2B65B2}"/>
  <tableColumns count="31">
    <tableColumn id="1" xr3:uid="{0E9FBD46-9A05-4207-B1CC-CB4E13BEF275}" name="Date" dataDxfId="23"/>
    <tableColumn id="2" xr3:uid="{160D52BB-E426-45F1-BBFE-C9A8E9225455}" name="Week"/>
    <tableColumn id="3" xr3:uid="{DDE7EDFB-EDF2-4CC4-9225-C771727AE5FB}" name="DoW"/>
    <tableColumn id="4" xr3:uid="{3C7DC5AB-FD6E-4365-B242-FA2CBDE1BFB9}" name="Shift"/>
    <tableColumn id="5" xr3:uid="{98C4A2BB-8B90-4BD3-B958-42228170A247}" name="#"/>
    <tableColumn id="6" xr3:uid="{5A19E58B-C4E2-462F-AA73-289CE6AD2E64}" name="MA"/>
    <tableColumn id="7" xr3:uid="{B23E4315-C212-4475-90E6-17FF210F7FB2}" name="Location"/>
    <tableColumn id="8" xr3:uid="{E0F667D8-D27E-44FD-9509-A7A1BE10206D}" name="Shore/Boat"/>
    <tableColumn id="9" xr3:uid="{8357A3B5-EF76-488B-9474-B374F18B8676}" name="#Angler"/>
    <tableColumn id="10" xr3:uid="{28C9D339-60C3-4487-8C77-DFDF205B2538}" name="Start" dataDxfId="22"/>
    <tableColumn id="11" xr3:uid="{9A5F7B95-6FE0-4BA5-991F-D10A909DC748}" name="End" dataDxfId="21"/>
    <tableColumn id="12" xr3:uid="{6E7638F5-1A12-4CF3-8FEA-366BAA5DA006}" name="Duration" dataDxfId="20">
      <calculatedColumnFormula>K2-J2</calculatedColumnFormula>
    </tableColumn>
    <tableColumn id="13" xr3:uid="{D5BBF932-E8B6-498C-8365-79634E2F681B}" name="Trip Hours" dataDxfId="19">
      <calculatedColumnFormula>L2*24</calculatedColumnFormula>
    </tableColumn>
    <tableColumn id="31" xr3:uid="{0A23B393-2EE8-481C-A40A-DD3DF817AD22}" name="Angler Hours" dataDxfId="18">
      <calculatedColumnFormula>Table1[[#This Row],[Trip Hours]]*Table1[[#This Row],['#Angler]]</calculatedColumnFormula>
    </tableColumn>
    <tableColumn id="14" xr3:uid="{5508AC25-D98B-48DF-B423-058CD8F60160}" name="CT"/>
    <tableColumn id="15" xr3:uid="{3B7B1F4F-928A-4573-A820-6A49D3D0346A}" name="Gear"/>
    <tableColumn id="16" xr3:uid="{FE858588-7D7B-4984-A534-85E0E2D96EB4}" name="Target"/>
    <tableColumn id="17" xr3:uid="{FE34F924-4034-4215-A7B9-E4B6A17128C7}" name="Chi Kept" dataDxfId="17"/>
    <tableColumn id="18" xr3:uid="{27685AF6-2049-4749-A121-B191F9CE82B0}" name="Co Kept"/>
    <tableColumn id="19" xr3:uid="{1FF5662D-CC70-4F1F-8C3C-FDD93ECE6B44}" name="Pink Kept"/>
    <tableColumn id="20" xr3:uid="{03AF215B-F3C7-4E62-AB75-EB6484AFFD72}" name="Chu Kept"/>
    <tableColumn id="21" xr3:uid="{91571364-8100-4D0A-94DF-A292657EE89D}" name="Chi Released" dataDxfId="16"/>
    <tableColumn id="22" xr3:uid="{60F4160C-3DEA-4DB2-AE12-7E6A7BB648FC}" name="Co Released "/>
    <tableColumn id="23" xr3:uid="{A0F9EF45-BA75-40D4-8104-03CF2B94A8C4}" name="Pink Released"/>
    <tableColumn id="24" xr3:uid="{12C04A87-6EEC-4F73-A7CF-3CDBA22BF63C}" name="Chu Released"/>
    <tableColumn id="25" xr3:uid="{77ED2391-8B30-40A8-9DAF-9AF26229B5DD}" name="Chi Encounters" dataDxfId="15">
      <calculatedColumnFormula>SUM(Table1[[#This Row],[Chi Kept]],Table1[[#This Row],[Chi Released]])</calculatedColumnFormula>
    </tableColumn>
    <tableColumn id="26" xr3:uid="{AC4816F4-A249-4278-960E-E45753B3ABD3}" name="Co Encounters">
      <calculatedColumnFormula>SUM(Table1[[#This Row],[Co Kept]],Table1[[#This Row],[Co Released ]])</calculatedColumnFormula>
    </tableColumn>
    <tableColumn id="27" xr3:uid="{6624ADD0-D302-4AA0-88F4-75862594330C}" name="Pink Encounters">
      <calculatedColumnFormula>SUM(Table1[[#This Row],[Pink Kept]],Table1[[#This Row],[Pink Released]])</calculatedColumnFormula>
    </tableColumn>
    <tableColumn id="28" xr3:uid="{614C1C1B-7E1D-4EFA-87CE-65D238273A10}" name="Chu Encounters">
      <calculatedColumnFormula>SUM(Table1[[#This Row],[Chu Kept]],Table1[[#This Row],[Chu Released]])</calculatedColumnFormula>
    </tableColumn>
    <tableColumn id="29" xr3:uid="{D807E5AC-D165-4A33-BA58-861E2523B85E}" name="Bycatch " dataDxfId="14"/>
    <tableColumn id="30" xr3:uid="{9FB8A566-2671-463C-A680-CDFED4464637}" name="Comment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81F2E1-7C94-495F-87C7-28A99347FBE0}" name="InterviewsRaw" displayName="InterviewsRaw" ref="A1:AE216" totalsRowShown="0" headerRowDxfId="13">
  <autoFilter ref="A1:AE216" xr:uid="{7E561306-9CB8-45E8-AEF7-3855878F579B}"/>
  <tableColumns count="31">
    <tableColumn id="1" xr3:uid="{A8BEAD0D-4624-4E34-9A95-C405F311B437}" name="Date" dataDxfId="12"/>
    <tableColumn id="2" xr3:uid="{C2226F10-3EC6-4C67-99DC-DD5BEA79A673}" name="Week"/>
    <tableColumn id="3" xr3:uid="{75587BE2-D0B6-4F0E-96D3-D14DBD3E39D8}" name="DoW"/>
    <tableColumn id="4" xr3:uid="{8D973C4D-89AF-4DD2-A719-8CDA9B17392B}" name="Shift"/>
    <tableColumn id="5" xr3:uid="{3100E56C-5D05-4C2D-831A-C6AFDB5EB734}" name="#"/>
    <tableColumn id="6" xr3:uid="{FE5A02EB-05C1-436C-99AA-03590715F036}" name="MA"/>
    <tableColumn id="7" xr3:uid="{107C15C2-69D0-47F6-BA7A-F5DB7E107C2F}" name="Location"/>
    <tableColumn id="8" xr3:uid="{B9720AC7-227A-4DCC-95D0-68490B77EFE2}" name="Shore/Boat"/>
    <tableColumn id="9" xr3:uid="{770A3C67-7D36-43FE-BDF8-E2CDD8A24DF9}" name="#Angler"/>
    <tableColumn id="10" xr3:uid="{265C6BD0-8733-4589-90B9-31CC29B19925}" name="Start" dataDxfId="11"/>
    <tableColumn id="11" xr3:uid="{6797493B-2333-4A17-8D9C-11F2CDDE00DC}" name="End" dataDxfId="10"/>
    <tableColumn id="12" xr3:uid="{09CF8883-C584-49A8-B9DE-51D3A47AF5A1}" name="Duration" dataDxfId="9">
      <calculatedColumnFormula>K2-J2</calculatedColumnFormula>
    </tableColumn>
    <tableColumn id="13" xr3:uid="{3137F7B0-19EC-49CC-8765-F0C4C10BCDB6}" name="Trip Hours" dataDxfId="8">
      <calculatedColumnFormula>L2*24</calculatedColumnFormula>
    </tableColumn>
    <tableColumn id="32" xr3:uid="{724F2DFE-306C-441D-92E4-7B62622C3E8C}" name="Angler Hours" dataDxfId="7">
      <calculatedColumnFormula>InterviewsRaw[[#This Row],[Trip Hours]]*InterviewsRaw[[#This Row],['#Angler]]</calculatedColumnFormula>
    </tableColumn>
    <tableColumn id="14" xr3:uid="{314882FD-86E2-4B0C-85CE-845179F93982}" name="CT"/>
    <tableColumn id="15" xr3:uid="{21DAB4C9-576F-4330-8B5A-CA31CA9751E5}" name="Gear"/>
    <tableColumn id="16" xr3:uid="{B150250A-3E74-4E6C-B2B7-16F2543C6102}" name="Target"/>
    <tableColumn id="17" xr3:uid="{0AB71AAF-8730-457B-9EDE-FB1BAD17ECC3}" name="Chi Kept" dataDxfId="6"/>
    <tableColumn id="18" xr3:uid="{1E9087ED-AFCB-4464-AA2F-FB0D64DAECD4}" name="Co Kept"/>
    <tableColumn id="19" xr3:uid="{3E5DF891-FCAB-40EC-8F5C-D3FCF16C179D}" name="Pink Kept"/>
    <tableColumn id="20" xr3:uid="{B9B25960-8749-4CCD-BF92-0D8966460FA6}" name="Chu Kept"/>
    <tableColumn id="21" xr3:uid="{5DD58876-8CEB-4B6D-81F3-3A1CC0854A1F}" name="Chi Released" dataDxfId="5"/>
    <tableColumn id="22" xr3:uid="{67A51A90-17AE-4C93-8A7B-1CA1038C5597}" name="Co Released "/>
    <tableColumn id="23" xr3:uid="{8B53ECDF-708F-4C3D-9EA7-8A804C7C4DD7}" name="Pink Released"/>
    <tableColumn id="24" xr3:uid="{1C42D931-3C8E-4921-AF31-68C995215B12}" name="Chu Released"/>
    <tableColumn id="25" xr3:uid="{2ECACB67-8A25-45B2-9740-C58EE8886073}" name="Chi Encounters" dataDxfId="4">
      <calculatedColumnFormula>InterviewsRaw[[#This Row],[Chi Kept]]+InterviewsRaw[[#This Row],[Chi Released]]</calculatedColumnFormula>
    </tableColumn>
    <tableColumn id="26" xr3:uid="{C007A5B1-2503-479A-A371-DBC8781FB03E}" name="Co Encounters" dataDxfId="3">
      <calculatedColumnFormula>InterviewsRaw[[#This Row],[Co Kept]]+InterviewsRaw[[#This Row],[Co Released ]]</calculatedColumnFormula>
    </tableColumn>
    <tableColumn id="27" xr3:uid="{9BB07BF8-AA6B-4FF7-BD82-FAA94BC92F15}" name="Pink Encounters" dataDxfId="2">
      <calculatedColumnFormula>InterviewsRaw[[#This Row],[Pink Kept]]+InterviewsRaw[[#This Row],[Pink Released]]</calculatedColumnFormula>
    </tableColumn>
    <tableColumn id="28" xr3:uid="{8E4A3E42-34CC-4B5B-A7F7-8384BB5F481C}" name="Chu Encounters" dataDxfId="1">
      <calculatedColumnFormula>InterviewsRaw[[#This Row],[Chu Kept]]+InterviewsRaw[[#This Row],[Chu Released]]</calculatedColumnFormula>
    </tableColumn>
    <tableColumn id="29" xr3:uid="{B35231F1-A997-4C9F-838C-3D7E1B4FFCC3}" name="Bycatch " dataDxfId="0"/>
    <tableColumn id="30" xr3:uid="{38879565-860C-4EDF-A02B-942B107A5C37}" name="Comment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3D7C4-867A-4B60-B5A8-C233740657A1}" name="Table35" displayName="Table35" ref="A1:AB634" totalsRowShown="0">
  <autoFilter ref="A1:AB634" xr:uid="{102CCF9E-F271-4BAC-85E4-91042EF91A13}"/>
  <tableColumns count="28">
    <tableColumn id="1" xr3:uid="{EDDE7936-8BAA-4350-B5F7-027626A541E2}" name="Date" dataDxfId="33"/>
    <tableColumn id="2" xr3:uid="{451F45D0-B888-4A2C-9BA8-A2802417D8CC}" name="Week"/>
    <tableColumn id="3" xr3:uid="{EDDF67EF-0266-4933-8C3A-AF7097DB4477}" name="DoW"/>
    <tableColumn id="4" xr3:uid="{5F2976D7-1B06-4449-90A6-1F8A933218BA}" name="Shift"/>
    <tableColumn id="5" xr3:uid="{FE648F16-2BFD-4437-9115-359EEA80A10D}" name="#"/>
    <tableColumn id="6" xr3:uid="{343D46F8-1A4D-40F9-A488-23024A0C471F}" name="MA"/>
    <tableColumn id="7" xr3:uid="{DAF51A06-05F8-4714-A117-93471582A59C}" name="Location"/>
    <tableColumn id="8" xr3:uid="{CACF4DD7-C44F-498F-A1F6-9DAF38F163C5}" name="Shore/Boat"/>
    <tableColumn id="9" xr3:uid="{1AFFEAEA-4F77-4B47-9E67-1598DEFBCD38}" name="#Angler"/>
    <tableColumn id="10" xr3:uid="{E630558C-3BD4-49AF-A214-CF1DEF404F24}" name="Start" dataDxfId="32"/>
    <tableColumn id="11" xr3:uid="{7AE86F1C-988C-413A-A038-D221C0FACA9C}" name="End" dataDxfId="31"/>
    <tableColumn id="12" xr3:uid="{16015F7E-0B1B-4F7C-875C-2DB409269AC2}" name="Duration" dataDxfId="30">
      <calculatedColumnFormula>K2-J2</calculatedColumnFormula>
    </tableColumn>
    <tableColumn id="28" xr3:uid="{FD5A6798-6332-4A3D-8847-C654DA00B16A}" name="Trip Hours" dataDxfId="29">
      <calculatedColumnFormula>L2*24</calculatedColumnFormula>
    </tableColumn>
    <tableColumn id="13" xr3:uid="{63D09BFE-E3CB-44C3-8193-701DD1782B14}" name="Angler Hours" dataDxfId="28">
      <calculatedColumnFormula>Table35[[#This Row],[Trip Hours]]*Table35[[#This Row],['#Angler]]</calculatedColumnFormula>
    </tableColumn>
    <tableColumn id="14" xr3:uid="{1C9F7056-B88B-4ADE-93F1-AE34CF7D9C48}" name="CT"/>
    <tableColumn id="15" xr3:uid="{0C77A39C-218C-444F-A261-4A2FF47DF67D}" name="Gear"/>
    <tableColumn id="16" xr3:uid="{5D3C3FD8-4313-4641-9A27-97FB7036D09B}" name="Target"/>
    <tableColumn id="17" xr3:uid="{778A00E8-1C51-4E00-B882-6CC49F3CCF83}" name="Chi Kept" dataDxfId="27"/>
    <tableColumn id="18" xr3:uid="{EA0F21FE-2369-42C0-9E97-A0D06EF1ABF9}" name="Co Kept"/>
    <tableColumn id="19" xr3:uid="{82DE5234-9575-4674-9FBB-5EB3C3F52248}" name="Chu Kept"/>
    <tableColumn id="20" xr3:uid="{9DD9BE7F-44C4-4FD5-AB1D-757A5FFDFDC8}" name="Chi Released" dataDxfId="26"/>
    <tableColumn id="21" xr3:uid="{413FD7CA-FE82-4E0B-A37D-2B4C77242C45}" name="Co Released "/>
    <tableColumn id="22" xr3:uid="{9D74C3EB-58DA-4FFA-B0AF-A3D411B5D4FE}" name="Chu Released"/>
    <tableColumn id="23" xr3:uid="{E6E227A9-36E2-40D7-A64E-A3DE5893AAA8}" name="Chi Encounters" dataDxfId="25">
      <calculatedColumnFormula>R2+U2</calculatedColumnFormula>
    </tableColumn>
    <tableColumn id="24" xr3:uid="{CC68F7D1-AE9E-472A-93A3-B4E825BE5935}" name="Co Encounters">
      <calculatedColumnFormula>S2+V2</calculatedColumnFormula>
    </tableColumn>
    <tableColumn id="25" xr3:uid="{D9199026-F3CF-4056-8925-546DF34631B8}" name="Chu Encounters">
      <calculatedColumnFormula>T2+W2</calculatedColumnFormula>
    </tableColumn>
    <tableColumn id="26" xr3:uid="{BE8E5CE4-3DD2-485D-9CA7-CEB021449D99}" name="Bycatch " dataDxfId="24"/>
    <tableColumn id="27" xr3:uid="{4E4DC84D-1158-44B5-820F-7CAA8C198D2B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6B8C-7843-4934-A4E0-630EA63B7178}">
  <dimension ref="A1:AE566"/>
  <sheetViews>
    <sheetView tabSelected="1" workbookViewId="0">
      <selection activeCell="H841" sqref="H841"/>
    </sheetView>
  </sheetViews>
  <sheetFormatPr defaultRowHeight="14.4" x14ac:dyDescent="0.3"/>
  <cols>
    <col min="1" max="1" width="10.109375" style="7" bestFit="1" customWidth="1"/>
    <col min="7" max="7" width="9.77734375" customWidth="1"/>
    <col min="8" max="8" width="11.77734375" customWidth="1"/>
    <col min="9" max="9" width="8.88671875" customWidth="1"/>
    <col min="10" max="11" width="8.88671875" style="10"/>
    <col min="12" max="12" width="9.77734375" customWidth="1"/>
    <col min="13" max="14" width="13.109375" customWidth="1"/>
    <col min="18" max="18" width="9.5546875" style="11" customWidth="1"/>
    <col min="19" max="19" width="9.109375" customWidth="1"/>
    <col min="20" max="20" width="10.21875" customWidth="1"/>
    <col min="21" max="21" width="10.109375" customWidth="1"/>
    <col min="22" max="22" width="13.33203125" style="11" customWidth="1"/>
    <col min="23" max="23" width="13.21875" customWidth="1"/>
    <col min="24" max="24" width="14.109375" customWidth="1"/>
    <col min="25" max="25" width="13.88671875" customWidth="1"/>
    <col min="26" max="26" width="15.109375" style="11" customWidth="1"/>
    <col min="27" max="27" width="14.6640625" customWidth="1"/>
    <col min="28" max="28" width="15.77734375" customWidth="1"/>
    <col min="29" max="29" width="15.6640625" customWidth="1"/>
    <col min="30" max="30" width="9.77734375" style="11" customWidth="1"/>
    <col min="31" max="31" width="11.77734375" customWidth="1"/>
  </cols>
  <sheetData>
    <row r="1" spans="1:31" x14ac:dyDescent="0.3">
      <c r="A1" s="7" t="s">
        <v>1</v>
      </c>
      <c r="B1" t="s">
        <v>225</v>
      </c>
      <c r="C1" t="s">
        <v>226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227</v>
      </c>
      <c r="J1" s="10" t="s">
        <v>8</v>
      </c>
      <c r="K1" s="10" t="s">
        <v>9</v>
      </c>
      <c r="L1" t="s">
        <v>228</v>
      </c>
      <c r="M1" t="s">
        <v>229</v>
      </c>
      <c r="N1" t="s">
        <v>230</v>
      </c>
      <c r="O1" t="s">
        <v>11</v>
      </c>
      <c r="P1" t="s">
        <v>12</v>
      </c>
      <c r="Q1" t="s">
        <v>13</v>
      </c>
      <c r="R1" s="11" t="s">
        <v>14</v>
      </c>
      <c r="S1" t="s">
        <v>15</v>
      </c>
      <c r="T1" t="s">
        <v>16</v>
      </c>
      <c r="U1" t="s">
        <v>17</v>
      </c>
      <c r="V1" s="11" t="s">
        <v>18</v>
      </c>
      <c r="W1" t="s">
        <v>231</v>
      </c>
      <c r="X1" t="s">
        <v>340</v>
      </c>
      <c r="Y1" t="s">
        <v>21</v>
      </c>
      <c r="Z1" s="11" t="s">
        <v>232</v>
      </c>
      <c r="AA1" t="s">
        <v>233</v>
      </c>
      <c r="AB1" t="s">
        <v>341</v>
      </c>
      <c r="AC1" t="s">
        <v>234</v>
      </c>
      <c r="AD1" s="11" t="s">
        <v>235</v>
      </c>
      <c r="AE1" t="s">
        <v>24</v>
      </c>
    </row>
    <row r="2" spans="1:31" x14ac:dyDescent="0.3">
      <c r="A2" s="7">
        <v>45889</v>
      </c>
      <c r="B2">
        <v>1</v>
      </c>
      <c r="C2" t="s">
        <v>236</v>
      </c>
      <c r="D2" t="s">
        <v>26</v>
      </c>
      <c r="E2">
        <v>1</v>
      </c>
      <c r="F2">
        <v>2</v>
      </c>
      <c r="G2">
        <v>2</v>
      </c>
      <c r="H2" t="s">
        <v>241</v>
      </c>
      <c r="I2">
        <v>1</v>
      </c>
      <c r="J2" s="10">
        <v>0.26041666666666669</v>
      </c>
      <c r="K2" s="10">
        <v>0.34583333333333333</v>
      </c>
      <c r="L2" s="10">
        <f>K2-J2</f>
        <v>8.5416666666666641E-2</v>
      </c>
      <c r="M2" s="12">
        <f t="shared" ref="M2:M65" si="0">L2*24</f>
        <v>2.0499999999999994</v>
      </c>
      <c r="N2" s="12">
        <f>Table1[[#This Row],[Trip Hours]]*Table1[[#This Row],['#Angler]]</f>
        <v>2.0499999999999994</v>
      </c>
      <c r="O2" t="s">
        <v>342</v>
      </c>
      <c r="P2" t="s">
        <v>29</v>
      </c>
      <c r="Q2" t="s">
        <v>343</v>
      </c>
      <c r="R2" s="11">
        <v>0</v>
      </c>
      <c r="S2">
        <v>0</v>
      </c>
      <c r="T2">
        <v>0</v>
      </c>
      <c r="U2">
        <v>0</v>
      </c>
      <c r="V2" s="11">
        <v>0</v>
      </c>
      <c r="W2">
        <v>0</v>
      </c>
      <c r="X2">
        <v>0</v>
      </c>
      <c r="Y2">
        <v>0</v>
      </c>
      <c r="Z2" s="11">
        <f>SUM(Table1[[#This Row],[Chi Kept]],Table1[[#This Row],[Chi Released]])</f>
        <v>0</v>
      </c>
      <c r="AA2">
        <f>SUM(Table1[[#This Row],[Co Kept]],Table1[[#This Row],[Co Released ]])</f>
        <v>0</v>
      </c>
      <c r="AB2">
        <f>SUM(Table1[[#This Row],[Pink Kept]],Table1[[#This Row],[Pink Released]])</f>
        <v>0</v>
      </c>
      <c r="AC2">
        <f>SUM(Table1[[#This Row],[Chu Kept]],Table1[[#This Row],[Chu Released]])</f>
        <v>0</v>
      </c>
    </row>
    <row r="3" spans="1:31" x14ac:dyDescent="0.3">
      <c r="A3" s="7">
        <v>45889</v>
      </c>
      <c r="B3">
        <v>1</v>
      </c>
      <c r="C3" t="s">
        <v>236</v>
      </c>
      <c r="D3" t="s">
        <v>42</v>
      </c>
      <c r="E3">
        <v>2</v>
      </c>
      <c r="F3">
        <v>1</v>
      </c>
      <c r="G3">
        <v>1</v>
      </c>
      <c r="H3" t="s">
        <v>344</v>
      </c>
      <c r="I3">
        <v>2</v>
      </c>
      <c r="J3" s="10">
        <v>0.22916666666666666</v>
      </c>
      <c r="K3" s="10">
        <v>0.68472222222222223</v>
      </c>
      <c r="L3" s="10">
        <f t="shared" ref="L3:L66" si="1">K3-J3</f>
        <v>0.4555555555555556</v>
      </c>
      <c r="M3" s="12">
        <f t="shared" si="0"/>
        <v>10.933333333333334</v>
      </c>
      <c r="N3" s="12">
        <f>Table1[[#This Row],[Trip Hours]]*Table1[[#This Row],['#Angler]]</f>
        <v>21.866666666666667</v>
      </c>
      <c r="O3" t="s">
        <v>342</v>
      </c>
      <c r="P3" t="s">
        <v>29</v>
      </c>
      <c r="Q3" t="s">
        <v>345</v>
      </c>
      <c r="R3" s="11">
        <v>0</v>
      </c>
      <c r="S3">
        <v>0</v>
      </c>
      <c r="T3">
        <v>5</v>
      </c>
      <c r="U3">
        <v>0</v>
      </c>
      <c r="V3" s="11">
        <v>0</v>
      </c>
      <c r="W3">
        <v>0</v>
      </c>
      <c r="X3">
        <v>0</v>
      </c>
      <c r="Y3">
        <v>0</v>
      </c>
      <c r="Z3" s="11">
        <f>SUM(Table1[[#This Row],[Chi Kept]],Table1[[#This Row],[Chi Released]])</f>
        <v>0</v>
      </c>
      <c r="AA3">
        <f>SUM(Table1[[#This Row],[Co Kept]],Table1[[#This Row],[Co Released ]])</f>
        <v>0</v>
      </c>
      <c r="AB3">
        <f>SUM(Table1[[#This Row],[Pink Kept]],Table1[[#This Row],[Pink Released]])</f>
        <v>5</v>
      </c>
      <c r="AC3">
        <f>SUM(Table1[[#This Row],[Chu Kept]],Table1[[#This Row],[Chu Released]])</f>
        <v>0</v>
      </c>
    </row>
    <row r="4" spans="1:31" x14ac:dyDescent="0.3">
      <c r="A4" s="7">
        <v>45889</v>
      </c>
      <c r="B4">
        <v>1</v>
      </c>
      <c r="C4" t="s">
        <v>236</v>
      </c>
      <c r="D4" t="s">
        <v>42</v>
      </c>
      <c r="E4">
        <v>3</v>
      </c>
      <c r="F4">
        <v>1</v>
      </c>
      <c r="G4">
        <v>1</v>
      </c>
      <c r="H4" t="s">
        <v>344</v>
      </c>
      <c r="I4">
        <v>2</v>
      </c>
      <c r="J4" s="10">
        <v>0.41666666666666669</v>
      </c>
      <c r="K4" s="10">
        <v>0.70138888888888884</v>
      </c>
      <c r="L4" s="10">
        <f t="shared" si="1"/>
        <v>0.28472222222222215</v>
      </c>
      <c r="M4" s="12">
        <f t="shared" si="0"/>
        <v>6.8333333333333321</v>
      </c>
      <c r="N4" s="12">
        <f>Table1[[#This Row],[Trip Hours]]*Table1[[#This Row],['#Angler]]</f>
        <v>13.666666666666664</v>
      </c>
      <c r="O4" t="s">
        <v>342</v>
      </c>
      <c r="P4" t="s">
        <v>29</v>
      </c>
      <c r="Q4" t="s">
        <v>343</v>
      </c>
      <c r="R4" s="11">
        <v>0</v>
      </c>
      <c r="S4">
        <v>0</v>
      </c>
      <c r="T4">
        <v>9</v>
      </c>
      <c r="U4">
        <v>0</v>
      </c>
      <c r="V4" s="11">
        <v>0</v>
      </c>
      <c r="W4">
        <v>0</v>
      </c>
      <c r="X4">
        <v>0</v>
      </c>
      <c r="Y4">
        <v>0</v>
      </c>
      <c r="Z4" s="11">
        <f>SUM(Table1[[#This Row],[Chi Kept]],Table1[[#This Row],[Chi Released]])</f>
        <v>0</v>
      </c>
      <c r="AA4">
        <f>SUM(Table1[[#This Row],[Co Kept]],Table1[[#This Row],[Co Released ]])</f>
        <v>0</v>
      </c>
      <c r="AB4">
        <f>SUM(Table1[[#This Row],[Pink Kept]],Table1[[#This Row],[Pink Released]])</f>
        <v>9</v>
      </c>
      <c r="AC4">
        <f>SUM(Table1[[#This Row],[Chu Kept]],Table1[[#This Row],[Chu Released]])</f>
        <v>0</v>
      </c>
    </row>
    <row r="5" spans="1:31" x14ac:dyDescent="0.3">
      <c r="A5" s="7">
        <v>45889</v>
      </c>
      <c r="B5">
        <v>1</v>
      </c>
      <c r="C5" t="s">
        <v>236</v>
      </c>
      <c r="D5" t="s">
        <v>42</v>
      </c>
      <c r="E5">
        <v>4</v>
      </c>
      <c r="F5">
        <v>1</v>
      </c>
      <c r="G5">
        <v>1</v>
      </c>
      <c r="H5" t="s">
        <v>344</v>
      </c>
      <c r="I5">
        <v>2</v>
      </c>
      <c r="J5" s="10">
        <v>0.625</v>
      </c>
      <c r="K5" s="10">
        <v>0.70138888888888884</v>
      </c>
      <c r="L5" s="10">
        <f t="shared" si="1"/>
        <v>7.638888888888884E-2</v>
      </c>
      <c r="M5" s="12">
        <f t="shared" si="0"/>
        <v>1.8333333333333321</v>
      </c>
      <c r="N5" s="12">
        <f>Table1[[#This Row],[Trip Hours]]*Table1[[#This Row],['#Angler]]</f>
        <v>3.6666666666666643</v>
      </c>
      <c r="O5" t="s">
        <v>342</v>
      </c>
      <c r="P5" t="s">
        <v>335</v>
      </c>
      <c r="Q5" t="s">
        <v>343</v>
      </c>
      <c r="R5" s="11">
        <v>0</v>
      </c>
      <c r="S5">
        <v>0</v>
      </c>
      <c r="T5">
        <v>1</v>
      </c>
      <c r="U5">
        <v>0</v>
      </c>
      <c r="V5" s="11">
        <v>0</v>
      </c>
      <c r="W5">
        <v>0</v>
      </c>
      <c r="X5">
        <v>0</v>
      </c>
      <c r="Y5">
        <v>0</v>
      </c>
      <c r="Z5" s="11">
        <f>SUM(Table1[[#This Row],[Chi Kept]],Table1[[#This Row],[Chi Released]])</f>
        <v>0</v>
      </c>
      <c r="AA5">
        <f>SUM(Table1[[#This Row],[Co Kept]],Table1[[#This Row],[Co Released ]])</f>
        <v>0</v>
      </c>
      <c r="AB5">
        <f>SUM(Table1[[#This Row],[Pink Kept]],Table1[[#This Row],[Pink Released]])</f>
        <v>1</v>
      </c>
      <c r="AC5">
        <f>SUM(Table1[[#This Row],[Chu Kept]],Table1[[#This Row],[Chu Released]])</f>
        <v>0</v>
      </c>
    </row>
    <row r="6" spans="1:31" x14ac:dyDescent="0.3">
      <c r="A6" s="7">
        <v>45889</v>
      </c>
      <c r="B6">
        <v>1</v>
      </c>
      <c r="C6" t="s">
        <v>236</v>
      </c>
      <c r="D6" t="s">
        <v>42</v>
      </c>
      <c r="E6">
        <v>5</v>
      </c>
      <c r="F6">
        <v>1</v>
      </c>
      <c r="G6">
        <v>1</v>
      </c>
      <c r="H6" t="s">
        <v>344</v>
      </c>
      <c r="I6">
        <v>2</v>
      </c>
      <c r="J6" s="10">
        <v>0.58333333333333337</v>
      </c>
      <c r="K6" s="10">
        <v>0.70138888888888884</v>
      </c>
      <c r="L6" s="10">
        <f t="shared" si="1"/>
        <v>0.11805555555555547</v>
      </c>
      <c r="M6" s="12">
        <f t="shared" si="0"/>
        <v>2.8333333333333313</v>
      </c>
      <c r="N6" s="12">
        <f>Table1[[#This Row],[Trip Hours]]*Table1[[#This Row],['#Angler]]</f>
        <v>5.6666666666666625</v>
      </c>
      <c r="O6" t="s">
        <v>342</v>
      </c>
      <c r="P6" t="s">
        <v>29</v>
      </c>
      <c r="Q6" t="s">
        <v>343</v>
      </c>
      <c r="R6" s="11">
        <v>0</v>
      </c>
      <c r="S6">
        <v>0</v>
      </c>
      <c r="T6">
        <v>12</v>
      </c>
      <c r="U6">
        <v>0</v>
      </c>
      <c r="V6" s="11">
        <v>0</v>
      </c>
      <c r="W6">
        <v>0</v>
      </c>
      <c r="X6">
        <v>0</v>
      </c>
      <c r="Y6">
        <v>0</v>
      </c>
      <c r="Z6" s="11">
        <f>SUM(Table1[[#This Row],[Chi Kept]],Table1[[#This Row],[Chi Released]])</f>
        <v>0</v>
      </c>
      <c r="AA6">
        <f>SUM(Table1[[#This Row],[Co Kept]],Table1[[#This Row],[Co Released ]])</f>
        <v>0</v>
      </c>
      <c r="AB6">
        <f>SUM(Table1[[#This Row],[Pink Kept]],Table1[[#This Row],[Pink Released]])</f>
        <v>12</v>
      </c>
      <c r="AC6">
        <f>SUM(Table1[[#This Row],[Chu Kept]],Table1[[#This Row],[Chu Released]])</f>
        <v>0</v>
      </c>
    </row>
    <row r="7" spans="1:31" x14ac:dyDescent="0.3">
      <c r="A7" s="7">
        <v>45889</v>
      </c>
      <c r="B7">
        <v>1</v>
      </c>
      <c r="C7" t="s">
        <v>236</v>
      </c>
      <c r="D7" t="s">
        <v>42</v>
      </c>
      <c r="E7">
        <v>6</v>
      </c>
      <c r="F7">
        <v>1</v>
      </c>
      <c r="G7">
        <v>1</v>
      </c>
      <c r="H7" t="s">
        <v>344</v>
      </c>
      <c r="I7">
        <v>1</v>
      </c>
      <c r="J7" s="10">
        <v>0.64583333333333337</v>
      </c>
      <c r="K7" s="10">
        <v>0.7055555555555556</v>
      </c>
      <c r="L7" s="10">
        <f t="shared" si="1"/>
        <v>5.9722222222222232E-2</v>
      </c>
      <c r="M7" s="12">
        <f t="shared" si="0"/>
        <v>1.4333333333333336</v>
      </c>
      <c r="N7" s="12">
        <f>Table1[[#This Row],[Trip Hours]]*Table1[[#This Row],['#Angler]]</f>
        <v>1.4333333333333336</v>
      </c>
      <c r="O7" t="s">
        <v>342</v>
      </c>
      <c r="P7" t="s">
        <v>29</v>
      </c>
      <c r="Q7" t="s">
        <v>343</v>
      </c>
      <c r="R7" s="11">
        <v>0</v>
      </c>
      <c r="S7">
        <v>0</v>
      </c>
      <c r="T7">
        <v>6</v>
      </c>
      <c r="U7">
        <v>0</v>
      </c>
      <c r="V7" s="11">
        <v>0</v>
      </c>
      <c r="W7">
        <v>0</v>
      </c>
      <c r="X7">
        <v>0</v>
      </c>
      <c r="Y7">
        <v>0</v>
      </c>
      <c r="Z7" s="11">
        <f>SUM(Table1[[#This Row],[Chi Kept]],Table1[[#This Row],[Chi Released]])</f>
        <v>0</v>
      </c>
      <c r="AA7">
        <f>SUM(Table1[[#This Row],[Co Kept]],Table1[[#This Row],[Co Released ]])</f>
        <v>0</v>
      </c>
      <c r="AB7">
        <f>SUM(Table1[[#This Row],[Pink Kept]],Table1[[#This Row],[Pink Released]])</f>
        <v>6</v>
      </c>
      <c r="AC7">
        <f>SUM(Table1[[#This Row],[Chu Kept]],Table1[[#This Row],[Chu Released]])</f>
        <v>0</v>
      </c>
    </row>
    <row r="8" spans="1:31" x14ac:dyDescent="0.3">
      <c r="A8" s="7">
        <v>45889</v>
      </c>
      <c r="B8">
        <v>1</v>
      </c>
      <c r="C8" t="s">
        <v>236</v>
      </c>
      <c r="D8" t="s">
        <v>42</v>
      </c>
      <c r="E8">
        <v>7</v>
      </c>
      <c r="F8">
        <v>1</v>
      </c>
      <c r="G8">
        <v>1</v>
      </c>
      <c r="H8" t="s">
        <v>344</v>
      </c>
      <c r="I8">
        <v>2</v>
      </c>
      <c r="J8" s="10">
        <v>0.58333333333333337</v>
      </c>
      <c r="K8" s="10">
        <v>0.71180555555555558</v>
      </c>
      <c r="L8" s="10">
        <f t="shared" si="1"/>
        <v>0.12847222222222221</v>
      </c>
      <c r="M8" s="12">
        <f t="shared" si="0"/>
        <v>3.083333333333333</v>
      </c>
      <c r="N8" s="12">
        <f>Table1[[#This Row],[Trip Hours]]*Table1[[#This Row],['#Angler]]</f>
        <v>6.1666666666666661</v>
      </c>
      <c r="O8" t="s">
        <v>342</v>
      </c>
      <c r="P8" t="s">
        <v>29</v>
      </c>
      <c r="Q8" t="s">
        <v>238</v>
      </c>
      <c r="R8" s="11">
        <v>0</v>
      </c>
      <c r="S8">
        <v>0</v>
      </c>
      <c r="T8">
        <v>0</v>
      </c>
      <c r="U8">
        <v>0</v>
      </c>
      <c r="V8" s="11">
        <v>0</v>
      </c>
      <c r="W8">
        <v>0</v>
      </c>
      <c r="X8">
        <v>0</v>
      </c>
      <c r="Y8">
        <v>0</v>
      </c>
      <c r="Z8" s="11">
        <f>SUM(Table1[[#This Row],[Chi Kept]],Table1[[#This Row],[Chi Released]])</f>
        <v>0</v>
      </c>
      <c r="AA8">
        <f>SUM(Table1[[#This Row],[Co Kept]],Table1[[#This Row],[Co Released ]])</f>
        <v>0</v>
      </c>
      <c r="AB8">
        <f>SUM(Table1[[#This Row],[Pink Kept]],Table1[[#This Row],[Pink Released]])</f>
        <v>0</v>
      </c>
      <c r="AC8">
        <f>SUM(Table1[[#This Row],[Chu Kept]],Table1[[#This Row],[Chu Released]])</f>
        <v>0</v>
      </c>
    </row>
    <row r="9" spans="1:31" x14ac:dyDescent="0.3">
      <c r="A9" s="7">
        <v>45889</v>
      </c>
      <c r="B9">
        <v>1</v>
      </c>
      <c r="C9" t="s">
        <v>236</v>
      </c>
      <c r="D9" t="s">
        <v>42</v>
      </c>
      <c r="E9">
        <v>8</v>
      </c>
      <c r="F9">
        <v>1</v>
      </c>
      <c r="G9">
        <v>1</v>
      </c>
      <c r="H9" t="s">
        <v>344</v>
      </c>
      <c r="I9">
        <v>3</v>
      </c>
      <c r="J9" s="10">
        <v>0.33333333333333331</v>
      </c>
      <c r="K9" s="10">
        <v>0.71527777777777779</v>
      </c>
      <c r="L9" s="10">
        <f t="shared" si="1"/>
        <v>0.38194444444444448</v>
      </c>
      <c r="M9" s="12">
        <f t="shared" si="0"/>
        <v>9.1666666666666679</v>
      </c>
      <c r="N9" s="12">
        <f>Table1[[#This Row],[Trip Hours]]*Table1[[#This Row],['#Angler]]</f>
        <v>27.500000000000004</v>
      </c>
      <c r="O9" t="s">
        <v>342</v>
      </c>
      <c r="P9" t="s">
        <v>29</v>
      </c>
      <c r="Q9" t="s">
        <v>343</v>
      </c>
      <c r="R9" s="11">
        <v>0</v>
      </c>
      <c r="S9">
        <v>0</v>
      </c>
      <c r="T9">
        <v>12</v>
      </c>
      <c r="U9">
        <v>0</v>
      </c>
      <c r="V9" s="11">
        <v>0</v>
      </c>
      <c r="W9">
        <v>0</v>
      </c>
      <c r="X9">
        <v>0</v>
      </c>
      <c r="Y9">
        <v>0</v>
      </c>
      <c r="Z9" s="11">
        <f>SUM(Table1[[#This Row],[Chi Kept]],Table1[[#This Row],[Chi Released]])</f>
        <v>0</v>
      </c>
      <c r="AA9">
        <f>SUM(Table1[[#This Row],[Co Kept]],Table1[[#This Row],[Co Released ]])</f>
        <v>0</v>
      </c>
      <c r="AB9">
        <f>SUM(Table1[[#This Row],[Pink Kept]],Table1[[#This Row],[Pink Released]])</f>
        <v>12</v>
      </c>
      <c r="AC9">
        <f>SUM(Table1[[#This Row],[Chu Kept]],Table1[[#This Row],[Chu Released]])</f>
        <v>0</v>
      </c>
    </row>
    <row r="10" spans="1:31" x14ac:dyDescent="0.3">
      <c r="A10" s="7">
        <v>45889</v>
      </c>
      <c r="B10">
        <v>1</v>
      </c>
      <c r="C10" t="s">
        <v>236</v>
      </c>
      <c r="D10" t="s">
        <v>42</v>
      </c>
      <c r="E10">
        <v>9</v>
      </c>
      <c r="F10">
        <v>1</v>
      </c>
      <c r="G10">
        <v>1</v>
      </c>
      <c r="H10" t="s">
        <v>344</v>
      </c>
      <c r="I10">
        <v>1</v>
      </c>
      <c r="J10" s="10">
        <v>0.625</v>
      </c>
      <c r="K10" s="10">
        <v>0.72013888888888888</v>
      </c>
      <c r="L10" s="10">
        <f t="shared" si="1"/>
        <v>9.5138888888888884E-2</v>
      </c>
      <c r="M10" s="12">
        <f t="shared" si="0"/>
        <v>2.2833333333333332</v>
      </c>
      <c r="N10" s="12">
        <f>Table1[[#This Row],[Trip Hours]]*Table1[[#This Row],['#Angler]]</f>
        <v>2.2833333333333332</v>
      </c>
      <c r="O10" t="s">
        <v>342</v>
      </c>
      <c r="P10" t="s">
        <v>29</v>
      </c>
      <c r="Q10" t="s">
        <v>343</v>
      </c>
      <c r="R10" s="11">
        <v>0</v>
      </c>
      <c r="S10">
        <v>0</v>
      </c>
      <c r="T10">
        <v>1</v>
      </c>
      <c r="U10">
        <v>0</v>
      </c>
      <c r="V10" s="11">
        <v>0</v>
      </c>
      <c r="W10">
        <v>0</v>
      </c>
      <c r="X10">
        <v>1</v>
      </c>
      <c r="Y10">
        <v>0</v>
      </c>
      <c r="Z10" s="11">
        <f>SUM(Table1[[#This Row],[Chi Kept]],Table1[[#This Row],[Chi Released]])</f>
        <v>0</v>
      </c>
      <c r="AA10">
        <f>SUM(Table1[[#This Row],[Co Kept]],Table1[[#This Row],[Co Released ]])</f>
        <v>0</v>
      </c>
      <c r="AB10">
        <f>SUM(Table1[[#This Row],[Pink Kept]],Table1[[#This Row],[Pink Released]])</f>
        <v>2</v>
      </c>
      <c r="AC10">
        <f>SUM(Table1[[#This Row],[Chu Kept]],Table1[[#This Row],[Chu Released]])</f>
        <v>0</v>
      </c>
    </row>
    <row r="11" spans="1:31" x14ac:dyDescent="0.3">
      <c r="A11" s="7">
        <v>45889</v>
      </c>
      <c r="B11">
        <v>1</v>
      </c>
      <c r="C11" t="s">
        <v>236</v>
      </c>
      <c r="D11" t="s">
        <v>42</v>
      </c>
      <c r="E11">
        <v>10</v>
      </c>
      <c r="F11">
        <v>1</v>
      </c>
      <c r="G11">
        <v>1</v>
      </c>
      <c r="H11" t="s">
        <v>344</v>
      </c>
      <c r="I11">
        <v>3</v>
      </c>
      <c r="J11" s="10">
        <v>0.5625</v>
      </c>
      <c r="K11" s="10">
        <v>0.72222222222222221</v>
      </c>
      <c r="L11" s="10">
        <f t="shared" si="1"/>
        <v>0.15972222222222221</v>
      </c>
      <c r="M11" s="12">
        <f t="shared" si="0"/>
        <v>3.833333333333333</v>
      </c>
      <c r="N11" s="12">
        <f>Table1[[#This Row],[Trip Hours]]*Table1[[#This Row],['#Angler]]</f>
        <v>11.5</v>
      </c>
      <c r="O11" t="s">
        <v>342</v>
      </c>
      <c r="P11" t="s">
        <v>29</v>
      </c>
      <c r="Q11" t="s">
        <v>343</v>
      </c>
      <c r="R11" s="11">
        <v>0</v>
      </c>
      <c r="S11">
        <v>0</v>
      </c>
      <c r="T11">
        <v>18</v>
      </c>
      <c r="U11">
        <v>0</v>
      </c>
      <c r="V11" s="11">
        <v>0</v>
      </c>
      <c r="W11">
        <v>0</v>
      </c>
      <c r="X11">
        <v>0</v>
      </c>
      <c r="Y11">
        <v>0</v>
      </c>
      <c r="Z11" s="11">
        <f>SUM(Table1[[#This Row],[Chi Kept]],Table1[[#This Row],[Chi Released]])</f>
        <v>0</v>
      </c>
      <c r="AA11">
        <f>SUM(Table1[[#This Row],[Co Kept]],Table1[[#This Row],[Co Released ]])</f>
        <v>0</v>
      </c>
      <c r="AB11">
        <f>SUM(Table1[[#This Row],[Pink Kept]],Table1[[#This Row],[Pink Released]])</f>
        <v>18</v>
      </c>
      <c r="AC11">
        <f>SUM(Table1[[#This Row],[Chu Kept]],Table1[[#This Row],[Chu Released]])</f>
        <v>0</v>
      </c>
    </row>
    <row r="12" spans="1:31" x14ac:dyDescent="0.3">
      <c r="A12" s="7">
        <v>45889</v>
      </c>
      <c r="B12">
        <v>1</v>
      </c>
      <c r="C12" t="s">
        <v>236</v>
      </c>
      <c r="D12" t="s">
        <v>42</v>
      </c>
      <c r="E12">
        <v>11</v>
      </c>
      <c r="F12">
        <v>1</v>
      </c>
      <c r="G12">
        <v>1</v>
      </c>
      <c r="H12" t="s">
        <v>344</v>
      </c>
      <c r="I12">
        <v>2</v>
      </c>
      <c r="J12" s="10">
        <v>0.66666666666666663</v>
      </c>
      <c r="K12" s="10">
        <v>0.75347222222222221</v>
      </c>
      <c r="L12" s="10">
        <f t="shared" si="1"/>
        <v>8.680555555555558E-2</v>
      </c>
      <c r="M12" s="12">
        <f t="shared" si="0"/>
        <v>2.0833333333333339</v>
      </c>
      <c r="N12" s="12">
        <f>Table1[[#This Row],[Trip Hours]]*Table1[[#This Row],['#Angler]]</f>
        <v>4.1666666666666679</v>
      </c>
      <c r="O12" t="s">
        <v>342</v>
      </c>
      <c r="P12" t="s">
        <v>29</v>
      </c>
      <c r="Q12" t="s">
        <v>343</v>
      </c>
      <c r="R12" s="11">
        <v>0</v>
      </c>
      <c r="S12">
        <v>0</v>
      </c>
      <c r="T12">
        <v>4</v>
      </c>
      <c r="U12">
        <v>0</v>
      </c>
      <c r="V12" s="11">
        <v>0</v>
      </c>
      <c r="W12">
        <v>0</v>
      </c>
      <c r="X12">
        <v>0</v>
      </c>
      <c r="Y12">
        <v>0</v>
      </c>
      <c r="Z12" s="11">
        <f>SUM(Table1[[#This Row],[Chi Kept]],Table1[[#This Row],[Chi Released]])</f>
        <v>0</v>
      </c>
      <c r="AA12">
        <f>SUM(Table1[[#This Row],[Co Kept]],Table1[[#This Row],[Co Released ]])</f>
        <v>0</v>
      </c>
      <c r="AB12">
        <f>SUM(Table1[[#This Row],[Pink Kept]],Table1[[#This Row],[Pink Released]])</f>
        <v>4</v>
      </c>
      <c r="AC12">
        <f>SUM(Table1[[#This Row],[Chu Kept]],Table1[[#This Row],[Chu Released]])</f>
        <v>0</v>
      </c>
    </row>
    <row r="13" spans="1:31" x14ac:dyDescent="0.3">
      <c r="A13" s="7">
        <v>45889</v>
      </c>
      <c r="B13">
        <v>1</v>
      </c>
      <c r="C13" t="s">
        <v>236</v>
      </c>
      <c r="D13" t="s">
        <v>42</v>
      </c>
      <c r="E13">
        <v>12</v>
      </c>
      <c r="F13">
        <v>1</v>
      </c>
      <c r="G13">
        <v>1</v>
      </c>
      <c r="H13" t="s">
        <v>344</v>
      </c>
      <c r="I13">
        <v>3</v>
      </c>
      <c r="J13" s="10">
        <v>0.64583333333333337</v>
      </c>
      <c r="K13" s="10">
        <v>0.75694444444444442</v>
      </c>
      <c r="L13" s="10">
        <f t="shared" si="1"/>
        <v>0.11111111111111105</v>
      </c>
      <c r="M13" s="12">
        <f t="shared" si="0"/>
        <v>2.6666666666666652</v>
      </c>
      <c r="N13" s="12">
        <f>Table1[[#This Row],[Trip Hours]]*Table1[[#This Row],['#Angler]]</f>
        <v>7.9999999999999956</v>
      </c>
      <c r="O13" t="s">
        <v>342</v>
      </c>
      <c r="P13" t="s">
        <v>29</v>
      </c>
      <c r="Q13" t="s">
        <v>343</v>
      </c>
      <c r="R13" s="11">
        <v>0</v>
      </c>
      <c r="S13">
        <v>0</v>
      </c>
      <c r="T13">
        <v>12</v>
      </c>
      <c r="U13">
        <v>0</v>
      </c>
      <c r="V13" s="11">
        <v>0</v>
      </c>
      <c r="W13">
        <v>0</v>
      </c>
      <c r="X13">
        <v>0</v>
      </c>
      <c r="Y13">
        <v>0</v>
      </c>
      <c r="Z13" s="11">
        <f>SUM(Table1[[#This Row],[Chi Kept]],Table1[[#This Row],[Chi Released]])</f>
        <v>0</v>
      </c>
      <c r="AA13">
        <f>SUM(Table1[[#This Row],[Co Kept]],Table1[[#This Row],[Co Released ]])</f>
        <v>0</v>
      </c>
      <c r="AB13">
        <f>SUM(Table1[[#This Row],[Pink Kept]],Table1[[#This Row],[Pink Released]])</f>
        <v>12</v>
      </c>
      <c r="AC13">
        <f>SUM(Table1[[#This Row],[Chu Kept]],Table1[[#This Row],[Chu Released]])</f>
        <v>0</v>
      </c>
    </row>
    <row r="14" spans="1:31" x14ac:dyDescent="0.3">
      <c r="A14" s="7">
        <v>45889</v>
      </c>
      <c r="B14">
        <v>1</v>
      </c>
      <c r="C14" t="s">
        <v>236</v>
      </c>
      <c r="D14" t="s">
        <v>42</v>
      </c>
      <c r="E14">
        <v>13</v>
      </c>
      <c r="F14">
        <v>1</v>
      </c>
      <c r="G14">
        <v>1</v>
      </c>
      <c r="H14" t="s">
        <v>344</v>
      </c>
      <c r="I14">
        <v>2</v>
      </c>
      <c r="J14" s="10">
        <v>0.66666666666666663</v>
      </c>
      <c r="K14" s="10">
        <v>0.76111111111111107</v>
      </c>
      <c r="L14" s="10">
        <f t="shared" si="1"/>
        <v>9.4444444444444442E-2</v>
      </c>
      <c r="M14" s="12">
        <f t="shared" si="0"/>
        <v>2.2666666666666666</v>
      </c>
      <c r="N14" s="12">
        <f>Table1[[#This Row],[Trip Hours]]*Table1[[#This Row],['#Angler]]</f>
        <v>4.5333333333333332</v>
      </c>
      <c r="O14" t="s">
        <v>342</v>
      </c>
      <c r="P14" t="s">
        <v>29</v>
      </c>
      <c r="Q14" t="s">
        <v>343</v>
      </c>
      <c r="R14" s="11">
        <v>0</v>
      </c>
      <c r="S14">
        <v>0</v>
      </c>
      <c r="T14">
        <v>2</v>
      </c>
      <c r="U14">
        <v>0</v>
      </c>
      <c r="V14" s="11">
        <v>0</v>
      </c>
      <c r="W14">
        <v>0</v>
      </c>
      <c r="X14">
        <v>0</v>
      </c>
      <c r="Y14">
        <v>0</v>
      </c>
      <c r="Z14" s="11">
        <f>SUM(Table1[[#This Row],[Chi Kept]],Table1[[#This Row],[Chi Released]])</f>
        <v>0</v>
      </c>
      <c r="AA14">
        <f>SUM(Table1[[#This Row],[Co Kept]],Table1[[#This Row],[Co Released ]])</f>
        <v>0</v>
      </c>
      <c r="AB14">
        <f>SUM(Table1[[#This Row],[Pink Kept]],Table1[[#This Row],[Pink Released]])</f>
        <v>2</v>
      </c>
      <c r="AC14">
        <f>SUM(Table1[[#This Row],[Chu Kept]],Table1[[#This Row],[Chu Released]])</f>
        <v>0</v>
      </c>
    </row>
    <row r="15" spans="1:31" x14ac:dyDescent="0.3">
      <c r="A15" s="7">
        <v>45889</v>
      </c>
      <c r="B15">
        <v>1</v>
      </c>
      <c r="C15" t="s">
        <v>236</v>
      </c>
      <c r="D15" t="s">
        <v>42</v>
      </c>
      <c r="E15">
        <v>14</v>
      </c>
      <c r="F15">
        <v>1</v>
      </c>
      <c r="G15">
        <v>1</v>
      </c>
      <c r="H15" t="s">
        <v>344</v>
      </c>
      <c r="I15">
        <v>2</v>
      </c>
      <c r="J15" s="10">
        <v>0.58333333333333337</v>
      </c>
      <c r="K15" s="10">
        <v>0.7631944444444444</v>
      </c>
      <c r="L15" s="10">
        <f t="shared" si="1"/>
        <v>0.17986111111111103</v>
      </c>
      <c r="M15" s="12">
        <f t="shared" si="0"/>
        <v>4.3166666666666647</v>
      </c>
      <c r="N15" s="12">
        <f>Table1[[#This Row],[Trip Hours]]*Table1[[#This Row],['#Angler]]</f>
        <v>8.6333333333333293</v>
      </c>
      <c r="O15" t="s">
        <v>342</v>
      </c>
      <c r="P15" t="s">
        <v>37</v>
      </c>
      <c r="Q15" t="s">
        <v>247</v>
      </c>
      <c r="R15" s="11">
        <v>0</v>
      </c>
      <c r="S15">
        <v>2</v>
      </c>
      <c r="T15">
        <v>0</v>
      </c>
      <c r="U15">
        <v>0</v>
      </c>
      <c r="V15" s="11">
        <v>1</v>
      </c>
      <c r="W15">
        <v>0</v>
      </c>
      <c r="X15">
        <v>0</v>
      </c>
      <c r="Y15">
        <v>0</v>
      </c>
      <c r="Z15" s="11">
        <f>SUM(Table1[[#This Row],[Chi Kept]],Table1[[#This Row],[Chi Released]])</f>
        <v>1</v>
      </c>
      <c r="AA15">
        <f>SUM(Table1[[#This Row],[Co Kept]],Table1[[#This Row],[Co Released ]])</f>
        <v>2</v>
      </c>
      <c r="AB15">
        <f>SUM(Table1[[#This Row],[Pink Kept]],Table1[[#This Row],[Pink Released]])</f>
        <v>0</v>
      </c>
      <c r="AC15">
        <f>SUM(Table1[[#This Row],[Chu Kept]],Table1[[#This Row],[Chu Released]])</f>
        <v>0</v>
      </c>
      <c r="AE15" t="s">
        <v>346</v>
      </c>
    </row>
    <row r="16" spans="1:31" x14ac:dyDescent="0.3">
      <c r="A16" s="7">
        <v>45889</v>
      </c>
      <c r="B16">
        <v>1</v>
      </c>
      <c r="C16" t="s">
        <v>236</v>
      </c>
      <c r="D16" t="s">
        <v>42</v>
      </c>
      <c r="E16">
        <v>15</v>
      </c>
      <c r="F16">
        <v>1</v>
      </c>
      <c r="G16">
        <v>1</v>
      </c>
      <c r="H16" t="s">
        <v>344</v>
      </c>
      <c r="I16">
        <v>3</v>
      </c>
      <c r="J16" s="10">
        <v>0.5</v>
      </c>
      <c r="K16" s="10">
        <v>0.76527777777777772</v>
      </c>
      <c r="L16" s="10">
        <f t="shared" si="1"/>
        <v>0.26527777777777772</v>
      </c>
      <c r="M16" s="12">
        <f t="shared" si="0"/>
        <v>6.3666666666666654</v>
      </c>
      <c r="N16" s="12">
        <f>Table1[[#This Row],[Trip Hours]]*Table1[[#This Row],['#Angler]]</f>
        <v>19.099999999999994</v>
      </c>
      <c r="O16" t="s">
        <v>342</v>
      </c>
      <c r="P16" t="s">
        <v>307</v>
      </c>
      <c r="Q16" t="s">
        <v>343</v>
      </c>
      <c r="R16" s="11">
        <v>0</v>
      </c>
      <c r="S16">
        <v>0</v>
      </c>
      <c r="T16">
        <v>2</v>
      </c>
      <c r="U16">
        <v>0</v>
      </c>
      <c r="V16" s="11">
        <v>0</v>
      </c>
      <c r="W16">
        <v>0</v>
      </c>
      <c r="X16">
        <v>0</v>
      </c>
      <c r="Y16">
        <v>0</v>
      </c>
      <c r="Z16" s="11">
        <f>SUM(Table1[[#This Row],[Chi Kept]],Table1[[#This Row],[Chi Released]])</f>
        <v>0</v>
      </c>
      <c r="AA16">
        <f>SUM(Table1[[#This Row],[Co Kept]],Table1[[#This Row],[Co Released ]])</f>
        <v>0</v>
      </c>
      <c r="AB16">
        <f>SUM(Table1[[#This Row],[Pink Kept]],Table1[[#This Row],[Pink Released]])</f>
        <v>2</v>
      </c>
      <c r="AC16">
        <f>SUM(Table1[[#This Row],[Chu Kept]],Table1[[#This Row],[Chu Released]])</f>
        <v>0</v>
      </c>
    </row>
    <row r="17" spans="1:29" x14ac:dyDescent="0.3">
      <c r="A17" s="7">
        <v>45889</v>
      </c>
      <c r="B17">
        <v>1</v>
      </c>
      <c r="C17" t="s">
        <v>236</v>
      </c>
      <c r="D17" t="s">
        <v>42</v>
      </c>
      <c r="E17">
        <v>16</v>
      </c>
      <c r="F17">
        <v>1</v>
      </c>
      <c r="G17">
        <v>1</v>
      </c>
      <c r="H17" t="s">
        <v>344</v>
      </c>
      <c r="I17">
        <v>2</v>
      </c>
      <c r="J17" s="10">
        <v>0.66666666666666663</v>
      </c>
      <c r="K17" s="10">
        <v>0.7729166666666667</v>
      </c>
      <c r="L17" s="10">
        <f t="shared" si="1"/>
        <v>0.10625000000000007</v>
      </c>
      <c r="M17" s="12">
        <f t="shared" si="0"/>
        <v>2.5500000000000016</v>
      </c>
      <c r="N17" s="12">
        <f>Table1[[#This Row],[Trip Hours]]*Table1[[#This Row],['#Angler]]</f>
        <v>5.1000000000000032</v>
      </c>
      <c r="O17" t="s">
        <v>342</v>
      </c>
      <c r="P17" t="s">
        <v>29</v>
      </c>
      <c r="Q17" t="s">
        <v>343</v>
      </c>
      <c r="R17" s="11">
        <v>0</v>
      </c>
      <c r="S17">
        <v>0</v>
      </c>
      <c r="T17">
        <v>6</v>
      </c>
      <c r="U17">
        <v>0</v>
      </c>
      <c r="V17" s="11">
        <v>0</v>
      </c>
      <c r="W17">
        <v>0</v>
      </c>
      <c r="X17">
        <v>0</v>
      </c>
      <c r="Y17">
        <v>0</v>
      </c>
      <c r="Z17" s="11">
        <f>SUM(Table1[[#This Row],[Chi Kept]],Table1[[#This Row],[Chi Released]])</f>
        <v>0</v>
      </c>
      <c r="AA17">
        <f>SUM(Table1[[#This Row],[Co Kept]],Table1[[#This Row],[Co Released ]])</f>
        <v>0</v>
      </c>
      <c r="AB17">
        <f>SUM(Table1[[#This Row],[Pink Kept]],Table1[[#This Row],[Pink Released]])</f>
        <v>6</v>
      </c>
      <c r="AC17">
        <f>SUM(Table1[[#This Row],[Chu Kept]],Table1[[#This Row],[Chu Released]])</f>
        <v>0</v>
      </c>
    </row>
    <row r="18" spans="1:29" x14ac:dyDescent="0.3">
      <c r="A18" s="7">
        <v>45889</v>
      </c>
      <c r="B18">
        <v>1</v>
      </c>
      <c r="C18" t="s">
        <v>236</v>
      </c>
      <c r="D18" t="s">
        <v>42</v>
      </c>
      <c r="E18">
        <v>17</v>
      </c>
      <c r="F18">
        <v>1</v>
      </c>
      <c r="G18">
        <v>1</v>
      </c>
      <c r="H18" t="s">
        <v>344</v>
      </c>
      <c r="I18">
        <v>2</v>
      </c>
      <c r="J18" s="10">
        <v>0.54166666666666663</v>
      </c>
      <c r="K18" s="10">
        <v>0.77430555555555558</v>
      </c>
      <c r="L18" s="10">
        <f t="shared" si="1"/>
        <v>0.23263888888888895</v>
      </c>
      <c r="M18" s="12">
        <f t="shared" si="0"/>
        <v>5.5833333333333348</v>
      </c>
      <c r="N18" s="12">
        <f>Table1[[#This Row],[Trip Hours]]*Table1[[#This Row],['#Angler]]</f>
        <v>11.16666666666667</v>
      </c>
      <c r="O18" t="s">
        <v>342</v>
      </c>
      <c r="P18" t="s">
        <v>29</v>
      </c>
      <c r="Q18" t="s">
        <v>241</v>
      </c>
      <c r="R18" s="11">
        <v>0</v>
      </c>
      <c r="S18">
        <v>0</v>
      </c>
      <c r="T18">
        <v>4</v>
      </c>
      <c r="U18">
        <v>0</v>
      </c>
      <c r="V18" s="11">
        <v>0</v>
      </c>
      <c r="W18">
        <v>1</v>
      </c>
      <c r="X18">
        <v>15</v>
      </c>
      <c r="Y18">
        <v>0</v>
      </c>
      <c r="Z18" s="11">
        <f>SUM(Table1[[#This Row],[Chi Kept]],Table1[[#This Row],[Chi Released]])</f>
        <v>0</v>
      </c>
      <c r="AA18">
        <f>SUM(Table1[[#This Row],[Co Kept]],Table1[[#This Row],[Co Released ]])</f>
        <v>1</v>
      </c>
      <c r="AB18">
        <f>SUM(Table1[[#This Row],[Pink Kept]],Table1[[#This Row],[Pink Released]])</f>
        <v>19</v>
      </c>
      <c r="AC18">
        <f>SUM(Table1[[#This Row],[Chu Kept]],Table1[[#This Row],[Chu Released]])</f>
        <v>0</v>
      </c>
    </row>
    <row r="19" spans="1:29" x14ac:dyDescent="0.3">
      <c r="A19" s="7">
        <v>45889</v>
      </c>
      <c r="B19">
        <v>1</v>
      </c>
      <c r="C19" t="s">
        <v>236</v>
      </c>
      <c r="D19" t="s">
        <v>42</v>
      </c>
      <c r="E19">
        <v>18</v>
      </c>
      <c r="F19">
        <v>1</v>
      </c>
      <c r="G19">
        <v>1</v>
      </c>
      <c r="H19" t="s">
        <v>344</v>
      </c>
      <c r="I19">
        <v>2</v>
      </c>
      <c r="J19" s="10">
        <v>0.25</v>
      </c>
      <c r="K19" s="10">
        <v>0.78611111111111109</v>
      </c>
      <c r="L19" s="10">
        <f t="shared" si="1"/>
        <v>0.53611111111111109</v>
      </c>
      <c r="M19" s="12">
        <f t="shared" si="0"/>
        <v>12.866666666666667</v>
      </c>
      <c r="N19" s="12">
        <f>Table1[[#This Row],[Trip Hours]]*Table1[[#This Row],['#Angler]]</f>
        <v>25.733333333333334</v>
      </c>
      <c r="O19" t="s">
        <v>342</v>
      </c>
      <c r="P19" t="s">
        <v>29</v>
      </c>
      <c r="Q19" t="s">
        <v>343</v>
      </c>
      <c r="R19" s="11">
        <v>0</v>
      </c>
      <c r="S19">
        <v>0</v>
      </c>
      <c r="T19">
        <v>11</v>
      </c>
      <c r="U19">
        <v>0</v>
      </c>
      <c r="V19" s="11">
        <v>0</v>
      </c>
      <c r="W19">
        <v>0</v>
      </c>
      <c r="X19">
        <v>0</v>
      </c>
      <c r="Y19">
        <v>0</v>
      </c>
      <c r="Z19" s="11">
        <f>SUM(Table1[[#This Row],[Chi Kept]],Table1[[#This Row],[Chi Released]])</f>
        <v>0</v>
      </c>
      <c r="AA19">
        <f>SUM(Table1[[#This Row],[Co Kept]],Table1[[#This Row],[Co Released ]])</f>
        <v>0</v>
      </c>
      <c r="AB19">
        <f>SUM(Table1[[#This Row],[Pink Kept]],Table1[[#This Row],[Pink Released]])</f>
        <v>11</v>
      </c>
      <c r="AC19">
        <f>SUM(Table1[[#This Row],[Chu Kept]],Table1[[#This Row],[Chu Released]])</f>
        <v>0</v>
      </c>
    </row>
    <row r="20" spans="1:29" x14ac:dyDescent="0.3">
      <c r="A20" s="7">
        <v>45889</v>
      </c>
      <c r="B20">
        <v>1</v>
      </c>
      <c r="C20" t="s">
        <v>236</v>
      </c>
      <c r="D20" t="s">
        <v>42</v>
      </c>
      <c r="E20">
        <v>19</v>
      </c>
      <c r="F20">
        <v>1</v>
      </c>
      <c r="G20">
        <v>1</v>
      </c>
      <c r="H20" t="s">
        <v>344</v>
      </c>
      <c r="I20">
        <v>1</v>
      </c>
      <c r="J20" s="10">
        <v>0.29166666666666669</v>
      </c>
      <c r="K20" s="10">
        <v>0.7993055555555556</v>
      </c>
      <c r="L20" s="10">
        <f t="shared" si="1"/>
        <v>0.50763888888888897</v>
      </c>
      <c r="M20" s="12">
        <f t="shared" si="0"/>
        <v>12.183333333333335</v>
      </c>
      <c r="N20" s="12">
        <f>Table1[[#This Row],[Trip Hours]]*Table1[[#This Row],['#Angler]]</f>
        <v>12.183333333333335</v>
      </c>
      <c r="O20" t="s">
        <v>342</v>
      </c>
      <c r="P20" t="s">
        <v>29</v>
      </c>
      <c r="Q20" t="s">
        <v>343</v>
      </c>
      <c r="R20" s="11">
        <v>0</v>
      </c>
      <c r="S20">
        <v>0</v>
      </c>
      <c r="T20">
        <v>6</v>
      </c>
      <c r="U20">
        <v>0</v>
      </c>
      <c r="V20" s="11">
        <v>0</v>
      </c>
      <c r="W20">
        <v>0</v>
      </c>
      <c r="X20">
        <v>20</v>
      </c>
      <c r="Y20">
        <v>0</v>
      </c>
      <c r="Z20" s="11">
        <f>SUM(Table1[[#This Row],[Chi Kept]],Table1[[#This Row],[Chi Released]])</f>
        <v>0</v>
      </c>
      <c r="AA20">
        <f>SUM(Table1[[#This Row],[Co Kept]],Table1[[#This Row],[Co Released ]])</f>
        <v>0</v>
      </c>
      <c r="AB20">
        <f>SUM(Table1[[#This Row],[Pink Kept]],Table1[[#This Row],[Pink Released]])</f>
        <v>26</v>
      </c>
      <c r="AC20">
        <f>SUM(Table1[[#This Row],[Chu Kept]],Table1[[#This Row],[Chu Released]])</f>
        <v>0</v>
      </c>
    </row>
    <row r="21" spans="1:29" x14ac:dyDescent="0.3">
      <c r="A21" s="7">
        <v>45889</v>
      </c>
      <c r="B21">
        <v>1</v>
      </c>
      <c r="C21" t="s">
        <v>236</v>
      </c>
      <c r="D21" t="s">
        <v>42</v>
      </c>
      <c r="E21">
        <v>20</v>
      </c>
      <c r="F21">
        <v>1</v>
      </c>
      <c r="G21">
        <v>1</v>
      </c>
      <c r="H21" t="s">
        <v>344</v>
      </c>
      <c r="I21">
        <v>1</v>
      </c>
      <c r="J21" s="10">
        <v>0.6875</v>
      </c>
      <c r="K21" s="10">
        <v>0.80208333333333337</v>
      </c>
      <c r="L21" s="10">
        <f t="shared" si="1"/>
        <v>0.11458333333333337</v>
      </c>
      <c r="M21" s="12">
        <f t="shared" si="0"/>
        <v>2.7500000000000009</v>
      </c>
      <c r="N21" s="12">
        <f>Table1[[#This Row],[Trip Hours]]*Table1[[#This Row],['#Angler]]</f>
        <v>2.7500000000000009</v>
      </c>
      <c r="O21" t="s">
        <v>342</v>
      </c>
      <c r="P21" t="s">
        <v>29</v>
      </c>
      <c r="Q21" t="s">
        <v>343</v>
      </c>
      <c r="R21" s="11">
        <v>0</v>
      </c>
      <c r="S21">
        <v>0</v>
      </c>
      <c r="T21">
        <v>6</v>
      </c>
      <c r="U21">
        <v>0</v>
      </c>
      <c r="V21" s="11">
        <v>0</v>
      </c>
      <c r="W21">
        <v>0</v>
      </c>
      <c r="X21">
        <v>0</v>
      </c>
      <c r="Y21">
        <v>0</v>
      </c>
      <c r="Z21" s="11">
        <f>SUM(Table1[[#This Row],[Chi Kept]],Table1[[#This Row],[Chi Released]])</f>
        <v>0</v>
      </c>
      <c r="AA21">
        <f>SUM(Table1[[#This Row],[Co Kept]],Table1[[#This Row],[Co Released ]])</f>
        <v>0</v>
      </c>
      <c r="AB21">
        <f>SUM(Table1[[#This Row],[Pink Kept]],Table1[[#This Row],[Pink Released]])</f>
        <v>6</v>
      </c>
      <c r="AC21">
        <f>SUM(Table1[[#This Row],[Chu Kept]],Table1[[#This Row],[Chu Released]])</f>
        <v>0</v>
      </c>
    </row>
    <row r="22" spans="1:29" x14ac:dyDescent="0.3">
      <c r="A22" s="7">
        <v>45889</v>
      </c>
      <c r="B22">
        <v>1</v>
      </c>
      <c r="C22" t="s">
        <v>236</v>
      </c>
      <c r="D22" t="s">
        <v>42</v>
      </c>
      <c r="E22">
        <v>21</v>
      </c>
      <c r="F22">
        <v>1</v>
      </c>
      <c r="G22">
        <v>1</v>
      </c>
      <c r="H22" t="s">
        <v>344</v>
      </c>
      <c r="I22">
        <v>1</v>
      </c>
      <c r="J22" s="10">
        <v>0.6875</v>
      </c>
      <c r="K22" s="10">
        <v>0.80763888888888891</v>
      </c>
      <c r="L22" s="10">
        <f t="shared" si="1"/>
        <v>0.12013888888888891</v>
      </c>
      <c r="M22" s="12">
        <f t="shared" si="0"/>
        <v>2.8833333333333337</v>
      </c>
      <c r="N22" s="12">
        <f>Table1[[#This Row],[Trip Hours]]*Table1[[#This Row],['#Angler]]</f>
        <v>2.8833333333333337</v>
      </c>
      <c r="O22" t="s">
        <v>342</v>
      </c>
      <c r="P22" t="s">
        <v>29</v>
      </c>
      <c r="Q22" t="s">
        <v>343</v>
      </c>
      <c r="R22" s="11">
        <v>0</v>
      </c>
      <c r="S22">
        <v>0</v>
      </c>
      <c r="T22">
        <v>2</v>
      </c>
      <c r="U22">
        <v>0</v>
      </c>
      <c r="V22" s="11">
        <v>0</v>
      </c>
      <c r="W22">
        <v>0</v>
      </c>
      <c r="X22">
        <v>0</v>
      </c>
      <c r="Y22">
        <v>0</v>
      </c>
      <c r="Z22" s="11">
        <f>SUM(Table1[[#This Row],[Chi Kept]],Table1[[#This Row],[Chi Released]])</f>
        <v>0</v>
      </c>
      <c r="AA22">
        <f>SUM(Table1[[#This Row],[Co Kept]],Table1[[#This Row],[Co Released ]])</f>
        <v>0</v>
      </c>
      <c r="AB22">
        <f>SUM(Table1[[#This Row],[Pink Kept]],Table1[[#This Row],[Pink Released]])</f>
        <v>2</v>
      </c>
      <c r="AC22">
        <f>SUM(Table1[[#This Row],[Chu Kept]],Table1[[#This Row],[Chu Released]])</f>
        <v>0</v>
      </c>
    </row>
    <row r="23" spans="1:29" x14ac:dyDescent="0.3">
      <c r="A23" s="7">
        <v>45889</v>
      </c>
      <c r="B23">
        <v>1</v>
      </c>
      <c r="C23" t="s">
        <v>236</v>
      </c>
      <c r="D23" t="s">
        <v>42</v>
      </c>
      <c r="E23">
        <v>22</v>
      </c>
      <c r="F23">
        <v>1</v>
      </c>
      <c r="G23">
        <v>1</v>
      </c>
      <c r="H23" t="s">
        <v>344</v>
      </c>
      <c r="I23">
        <v>4</v>
      </c>
      <c r="J23" s="10">
        <v>0.5625</v>
      </c>
      <c r="K23" s="10">
        <v>0.80902777777777779</v>
      </c>
      <c r="L23" s="10">
        <f t="shared" si="1"/>
        <v>0.24652777777777779</v>
      </c>
      <c r="M23" s="12">
        <f t="shared" si="0"/>
        <v>5.916666666666667</v>
      </c>
      <c r="N23" s="12">
        <f>Table1[[#This Row],[Trip Hours]]*Table1[[#This Row],['#Angler]]</f>
        <v>23.666666666666668</v>
      </c>
      <c r="O23" t="s">
        <v>342</v>
      </c>
      <c r="Q23" t="s">
        <v>238</v>
      </c>
      <c r="R23" s="11">
        <v>0</v>
      </c>
      <c r="S23">
        <v>0</v>
      </c>
      <c r="T23">
        <v>0</v>
      </c>
      <c r="U23">
        <v>0</v>
      </c>
      <c r="V23" s="11">
        <v>0</v>
      </c>
      <c r="W23">
        <v>0</v>
      </c>
      <c r="X23">
        <v>0</v>
      </c>
      <c r="Y23">
        <v>0</v>
      </c>
      <c r="Z23" s="11">
        <f>SUM(Table1[[#This Row],[Chi Kept]],Table1[[#This Row],[Chi Released]])</f>
        <v>0</v>
      </c>
      <c r="AA23">
        <f>SUM(Table1[[#This Row],[Co Kept]],Table1[[#This Row],[Co Released ]])</f>
        <v>0</v>
      </c>
      <c r="AB23">
        <f>SUM(Table1[[#This Row],[Pink Kept]],Table1[[#This Row],[Pink Released]])</f>
        <v>0</v>
      </c>
      <c r="AC23">
        <f>SUM(Table1[[#This Row],[Chu Kept]],Table1[[#This Row],[Chu Released]])</f>
        <v>0</v>
      </c>
    </row>
    <row r="24" spans="1:29" x14ac:dyDescent="0.3">
      <c r="A24" s="7">
        <v>45889</v>
      </c>
      <c r="B24">
        <v>1</v>
      </c>
      <c r="C24" t="s">
        <v>236</v>
      </c>
      <c r="D24" t="s">
        <v>42</v>
      </c>
      <c r="E24">
        <v>23</v>
      </c>
      <c r="F24">
        <v>1</v>
      </c>
      <c r="G24">
        <v>1</v>
      </c>
      <c r="H24" t="s">
        <v>344</v>
      </c>
      <c r="I24">
        <v>4</v>
      </c>
      <c r="J24" s="10">
        <v>0.64583333333333337</v>
      </c>
      <c r="K24" s="10">
        <v>0.8125</v>
      </c>
      <c r="L24" s="10">
        <f t="shared" si="1"/>
        <v>0.16666666666666663</v>
      </c>
      <c r="M24" s="12">
        <f t="shared" si="0"/>
        <v>3.9999999999999991</v>
      </c>
      <c r="N24" s="12">
        <f>Table1[[#This Row],[Trip Hours]]*Table1[[#This Row],['#Angler]]</f>
        <v>15.999999999999996</v>
      </c>
      <c r="O24" t="s">
        <v>342</v>
      </c>
      <c r="P24" t="s">
        <v>29</v>
      </c>
      <c r="Q24" t="s">
        <v>343</v>
      </c>
      <c r="R24" s="11">
        <v>0</v>
      </c>
      <c r="S24">
        <v>0</v>
      </c>
      <c r="T24">
        <v>3</v>
      </c>
      <c r="U24">
        <v>0</v>
      </c>
      <c r="V24" s="11">
        <v>0</v>
      </c>
      <c r="W24">
        <v>0</v>
      </c>
      <c r="X24">
        <v>3</v>
      </c>
      <c r="Y24">
        <v>0</v>
      </c>
      <c r="Z24" s="11">
        <f>SUM(Table1[[#This Row],[Chi Kept]],Table1[[#This Row],[Chi Released]])</f>
        <v>0</v>
      </c>
      <c r="AA24">
        <f>SUM(Table1[[#This Row],[Co Kept]],Table1[[#This Row],[Co Released ]])</f>
        <v>0</v>
      </c>
      <c r="AB24">
        <f>SUM(Table1[[#This Row],[Pink Kept]],Table1[[#This Row],[Pink Released]])</f>
        <v>6</v>
      </c>
      <c r="AC24">
        <f>SUM(Table1[[#This Row],[Chu Kept]],Table1[[#This Row],[Chu Released]])</f>
        <v>0</v>
      </c>
    </row>
    <row r="25" spans="1:29" x14ac:dyDescent="0.3">
      <c r="A25" s="7">
        <v>45889</v>
      </c>
      <c r="B25">
        <v>1</v>
      </c>
      <c r="C25" t="s">
        <v>236</v>
      </c>
      <c r="D25" t="s">
        <v>42</v>
      </c>
      <c r="E25">
        <v>24</v>
      </c>
      <c r="F25">
        <v>1</v>
      </c>
      <c r="G25">
        <v>1</v>
      </c>
      <c r="H25" t="s">
        <v>344</v>
      </c>
      <c r="I25">
        <v>1</v>
      </c>
      <c r="J25" s="10">
        <v>0.66666666666666663</v>
      </c>
      <c r="K25" s="10">
        <v>0.81597222222222221</v>
      </c>
      <c r="L25" s="10">
        <f t="shared" si="1"/>
        <v>0.14930555555555558</v>
      </c>
      <c r="M25" s="12">
        <f t="shared" si="0"/>
        <v>3.5833333333333339</v>
      </c>
      <c r="N25" s="12">
        <f>Table1[[#This Row],[Trip Hours]]*Table1[[#This Row],['#Angler]]</f>
        <v>3.5833333333333339</v>
      </c>
      <c r="O25" t="s">
        <v>342</v>
      </c>
      <c r="P25" t="s">
        <v>37</v>
      </c>
      <c r="Q25" t="s">
        <v>247</v>
      </c>
      <c r="R25" s="11">
        <v>0</v>
      </c>
      <c r="S25">
        <v>0</v>
      </c>
      <c r="T25">
        <v>0</v>
      </c>
      <c r="U25">
        <v>0</v>
      </c>
      <c r="V25" s="11">
        <v>0</v>
      </c>
      <c r="W25">
        <v>0</v>
      </c>
      <c r="X25">
        <v>1</v>
      </c>
      <c r="Y25">
        <v>0</v>
      </c>
      <c r="Z25" s="11">
        <f>SUM(Table1[[#This Row],[Chi Kept]],Table1[[#This Row],[Chi Released]])</f>
        <v>0</v>
      </c>
      <c r="AA25">
        <f>SUM(Table1[[#This Row],[Co Kept]],Table1[[#This Row],[Co Released ]])</f>
        <v>0</v>
      </c>
      <c r="AB25">
        <f>SUM(Table1[[#This Row],[Pink Kept]],Table1[[#This Row],[Pink Released]])</f>
        <v>1</v>
      </c>
      <c r="AC25">
        <f>SUM(Table1[[#This Row],[Chu Kept]],Table1[[#This Row],[Chu Released]])</f>
        <v>0</v>
      </c>
    </row>
    <row r="26" spans="1:29" x14ac:dyDescent="0.3">
      <c r="A26" s="7">
        <v>45889</v>
      </c>
      <c r="B26">
        <v>1</v>
      </c>
      <c r="C26" t="s">
        <v>236</v>
      </c>
      <c r="D26" t="s">
        <v>42</v>
      </c>
      <c r="E26">
        <v>25</v>
      </c>
      <c r="F26">
        <v>1</v>
      </c>
      <c r="G26">
        <v>1</v>
      </c>
      <c r="H26" t="s">
        <v>344</v>
      </c>
      <c r="I26">
        <v>3</v>
      </c>
      <c r="J26" s="10">
        <v>0.26041666666666669</v>
      </c>
      <c r="K26" s="10">
        <v>0.82430555555555551</v>
      </c>
      <c r="L26" s="10">
        <f t="shared" si="1"/>
        <v>0.56388888888888888</v>
      </c>
      <c r="M26" s="12">
        <f t="shared" si="0"/>
        <v>13.533333333333333</v>
      </c>
      <c r="N26" s="12">
        <f>Table1[[#This Row],[Trip Hours]]*Table1[[#This Row],['#Angler]]</f>
        <v>40.6</v>
      </c>
      <c r="O26" t="s">
        <v>342</v>
      </c>
      <c r="P26" t="s">
        <v>347</v>
      </c>
      <c r="Q26" t="s">
        <v>343</v>
      </c>
      <c r="R26" s="11">
        <v>0</v>
      </c>
      <c r="S26">
        <v>0</v>
      </c>
      <c r="T26">
        <v>12</v>
      </c>
      <c r="U26">
        <v>0</v>
      </c>
      <c r="V26" s="11">
        <v>0</v>
      </c>
      <c r="W26">
        <v>0</v>
      </c>
      <c r="X26">
        <v>5</v>
      </c>
      <c r="Y26">
        <v>0</v>
      </c>
      <c r="Z26" s="11">
        <f>SUM(Table1[[#This Row],[Chi Kept]],Table1[[#This Row],[Chi Released]])</f>
        <v>0</v>
      </c>
      <c r="AA26">
        <f>SUM(Table1[[#This Row],[Co Kept]],Table1[[#This Row],[Co Released ]])</f>
        <v>0</v>
      </c>
      <c r="AB26">
        <f>SUM(Table1[[#This Row],[Pink Kept]],Table1[[#This Row],[Pink Released]])</f>
        <v>17</v>
      </c>
      <c r="AC26">
        <f>SUM(Table1[[#This Row],[Chu Kept]],Table1[[#This Row],[Chu Released]])</f>
        <v>0</v>
      </c>
    </row>
    <row r="27" spans="1:29" x14ac:dyDescent="0.3">
      <c r="A27" s="7">
        <v>45889</v>
      </c>
      <c r="B27">
        <v>1</v>
      </c>
      <c r="C27" t="s">
        <v>236</v>
      </c>
      <c r="D27" t="s">
        <v>42</v>
      </c>
      <c r="E27">
        <v>26</v>
      </c>
      <c r="F27">
        <v>1</v>
      </c>
      <c r="G27">
        <v>1</v>
      </c>
      <c r="H27" t="s">
        <v>344</v>
      </c>
      <c r="I27">
        <v>2</v>
      </c>
      <c r="J27" s="10">
        <v>0.66666666666666663</v>
      </c>
      <c r="K27" s="10">
        <v>0.82916666666666672</v>
      </c>
      <c r="L27" s="10">
        <f t="shared" si="1"/>
        <v>0.16250000000000009</v>
      </c>
      <c r="M27" s="12">
        <f t="shared" si="0"/>
        <v>3.9000000000000021</v>
      </c>
      <c r="N27" s="12">
        <f>Table1[[#This Row],[Trip Hours]]*Table1[[#This Row],['#Angler]]</f>
        <v>7.8000000000000043</v>
      </c>
      <c r="O27" t="s">
        <v>342</v>
      </c>
      <c r="R27" s="11">
        <v>0</v>
      </c>
      <c r="S27">
        <v>0</v>
      </c>
      <c r="T27">
        <v>0</v>
      </c>
      <c r="U27">
        <v>0</v>
      </c>
      <c r="V27" s="11">
        <v>0</v>
      </c>
      <c r="W27">
        <v>0</v>
      </c>
      <c r="X27">
        <v>0</v>
      </c>
      <c r="Y27">
        <v>0</v>
      </c>
      <c r="Z27" s="11">
        <f>SUM(Table1[[#This Row],[Chi Kept]],Table1[[#This Row],[Chi Released]])</f>
        <v>0</v>
      </c>
      <c r="AA27">
        <f>SUM(Table1[[#This Row],[Co Kept]],Table1[[#This Row],[Co Released ]])</f>
        <v>0</v>
      </c>
      <c r="AB27">
        <f>SUM(Table1[[#This Row],[Pink Kept]],Table1[[#This Row],[Pink Released]])</f>
        <v>0</v>
      </c>
      <c r="AC27">
        <f>SUM(Table1[[#This Row],[Chu Kept]],Table1[[#This Row],[Chu Released]])</f>
        <v>0</v>
      </c>
    </row>
    <row r="28" spans="1:29" x14ac:dyDescent="0.3">
      <c r="A28" s="7">
        <v>45889</v>
      </c>
      <c r="B28">
        <v>1</v>
      </c>
      <c r="C28" t="s">
        <v>236</v>
      </c>
      <c r="D28" t="s">
        <v>42</v>
      </c>
      <c r="E28">
        <v>27</v>
      </c>
      <c r="F28">
        <v>1</v>
      </c>
      <c r="G28">
        <v>1</v>
      </c>
      <c r="H28" t="s">
        <v>344</v>
      </c>
      <c r="I28">
        <v>2</v>
      </c>
      <c r="J28" s="10">
        <v>0.66666666666666663</v>
      </c>
      <c r="K28" s="10">
        <v>0.83263888888888893</v>
      </c>
      <c r="L28" s="10">
        <f t="shared" si="1"/>
        <v>0.1659722222222223</v>
      </c>
      <c r="M28" s="12">
        <f t="shared" si="0"/>
        <v>3.9833333333333352</v>
      </c>
      <c r="N28" s="12">
        <f>Table1[[#This Row],[Trip Hours]]*Table1[[#This Row],['#Angler]]</f>
        <v>7.9666666666666703</v>
      </c>
      <c r="O28" t="s">
        <v>342</v>
      </c>
      <c r="P28" t="s">
        <v>29</v>
      </c>
      <c r="Q28" t="s">
        <v>343</v>
      </c>
      <c r="R28" s="11">
        <v>0</v>
      </c>
      <c r="S28">
        <v>0</v>
      </c>
      <c r="T28">
        <v>7</v>
      </c>
      <c r="U28">
        <v>0</v>
      </c>
      <c r="V28" s="11">
        <v>0</v>
      </c>
      <c r="W28">
        <v>0</v>
      </c>
      <c r="X28">
        <v>0</v>
      </c>
      <c r="Y28">
        <v>0</v>
      </c>
      <c r="Z28" s="11">
        <f>SUM(Table1[[#This Row],[Chi Kept]],Table1[[#This Row],[Chi Released]])</f>
        <v>0</v>
      </c>
      <c r="AA28">
        <f>SUM(Table1[[#This Row],[Co Kept]],Table1[[#This Row],[Co Released ]])</f>
        <v>0</v>
      </c>
      <c r="AB28">
        <f>SUM(Table1[[#This Row],[Pink Kept]],Table1[[#This Row],[Pink Released]])</f>
        <v>7</v>
      </c>
      <c r="AC28">
        <f>SUM(Table1[[#This Row],[Chu Kept]],Table1[[#This Row],[Chu Released]])</f>
        <v>0</v>
      </c>
    </row>
    <row r="29" spans="1:29" x14ac:dyDescent="0.3">
      <c r="A29" s="7">
        <v>45889</v>
      </c>
      <c r="B29">
        <v>1</v>
      </c>
      <c r="C29" t="s">
        <v>236</v>
      </c>
      <c r="D29" t="s">
        <v>42</v>
      </c>
      <c r="E29">
        <v>28</v>
      </c>
      <c r="F29">
        <v>1</v>
      </c>
      <c r="G29">
        <v>1</v>
      </c>
      <c r="H29" t="s">
        <v>344</v>
      </c>
      <c r="I29">
        <v>3</v>
      </c>
      <c r="J29" s="10">
        <v>0.6875</v>
      </c>
      <c r="K29" s="10">
        <v>0.84097222222222223</v>
      </c>
      <c r="L29" s="10">
        <f t="shared" si="1"/>
        <v>0.15347222222222223</v>
      </c>
      <c r="M29" s="12">
        <f t="shared" si="0"/>
        <v>3.6833333333333336</v>
      </c>
      <c r="N29" s="12">
        <f>Table1[[#This Row],[Trip Hours]]*Table1[[#This Row],['#Angler]]</f>
        <v>11.05</v>
      </c>
      <c r="O29" t="s">
        <v>342</v>
      </c>
      <c r="Q29" t="s">
        <v>343</v>
      </c>
      <c r="R29" s="11">
        <v>0</v>
      </c>
      <c r="S29">
        <v>0</v>
      </c>
      <c r="T29">
        <v>8</v>
      </c>
      <c r="U29">
        <v>0</v>
      </c>
      <c r="V29" s="11">
        <v>0</v>
      </c>
      <c r="W29">
        <v>0</v>
      </c>
      <c r="X29">
        <v>3</v>
      </c>
      <c r="Y29">
        <v>0</v>
      </c>
      <c r="Z29" s="11">
        <f>SUM(Table1[[#This Row],[Chi Kept]],Table1[[#This Row],[Chi Released]])</f>
        <v>0</v>
      </c>
      <c r="AA29">
        <f>SUM(Table1[[#This Row],[Co Kept]],Table1[[#This Row],[Co Released ]])</f>
        <v>0</v>
      </c>
      <c r="AB29">
        <f>SUM(Table1[[#This Row],[Pink Kept]],Table1[[#This Row],[Pink Released]])</f>
        <v>11</v>
      </c>
      <c r="AC29">
        <f>SUM(Table1[[#This Row],[Chu Kept]],Table1[[#This Row],[Chu Released]])</f>
        <v>0</v>
      </c>
    </row>
    <row r="30" spans="1:29" x14ac:dyDescent="0.3">
      <c r="A30" s="7">
        <v>45889</v>
      </c>
      <c r="B30">
        <v>1</v>
      </c>
      <c r="C30" t="s">
        <v>236</v>
      </c>
      <c r="D30" t="s">
        <v>42</v>
      </c>
      <c r="E30">
        <v>29</v>
      </c>
      <c r="F30">
        <v>1</v>
      </c>
      <c r="G30">
        <v>1</v>
      </c>
      <c r="H30" t="s">
        <v>344</v>
      </c>
      <c r="I30">
        <v>2</v>
      </c>
      <c r="J30" s="10">
        <v>0.77777777777777779</v>
      </c>
      <c r="K30" s="10">
        <v>0.84305555555555556</v>
      </c>
      <c r="L30" s="10">
        <f t="shared" si="1"/>
        <v>6.5277777777777768E-2</v>
      </c>
      <c r="M30" s="12">
        <f t="shared" si="0"/>
        <v>1.5666666666666664</v>
      </c>
      <c r="N30" s="12">
        <f>Table1[[#This Row],[Trip Hours]]*Table1[[#This Row],['#Angler]]</f>
        <v>3.1333333333333329</v>
      </c>
      <c r="O30" t="s">
        <v>342</v>
      </c>
      <c r="Q30" t="s">
        <v>241</v>
      </c>
      <c r="R30" s="11">
        <v>0</v>
      </c>
      <c r="S30">
        <v>0</v>
      </c>
      <c r="T30">
        <v>2</v>
      </c>
      <c r="U30">
        <v>0</v>
      </c>
      <c r="V30" s="11">
        <v>0</v>
      </c>
      <c r="W30">
        <v>0</v>
      </c>
      <c r="X30">
        <v>0</v>
      </c>
      <c r="Y30">
        <v>0</v>
      </c>
      <c r="Z30" s="11">
        <f>SUM(Table1[[#This Row],[Chi Kept]],Table1[[#This Row],[Chi Released]])</f>
        <v>0</v>
      </c>
      <c r="AA30">
        <f>SUM(Table1[[#This Row],[Co Kept]],Table1[[#This Row],[Co Released ]])</f>
        <v>0</v>
      </c>
      <c r="AB30">
        <f>SUM(Table1[[#This Row],[Pink Kept]],Table1[[#This Row],[Pink Released]])</f>
        <v>2</v>
      </c>
      <c r="AC30">
        <f>SUM(Table1[[#This Row],[Chu Kept]],Table1[[#This Row],[Chu Released]])</f>
        <v>0</v>
      </c>
    </row>
    <row r="31" spans="1:29" x14ac:dyDescent="0.3">
      <c r="A31" s="7">
        <v>45890</v>
      </c>
      <c r="B31">
        <v>1</v>
      </c>
      <c r="C31" t="s">
        <v>236</v>
      </c>
      <c r="D31" t="s">
        <v>26</v>
      </c>
      <c r="E31">
        <v>1</v>
      </c>
      <c r="F31">
        <v>1</v>
      </c>
      <c r="G31">
        <v>4</v>
      </c>
      <c r="H31" t="s">
        <v>241</v>
      </c>
      <c r="I31">
        <v>4</v>
      </c>
      <c r="J31" s="10">
        <v>0.25</v>
      </c>
      <c r="K31" s="10">
        <v>0.38194444444444442</v>
      </c>
      <c r="L31" s="10">
        <f t="shared" si="1"/>
        <v>0.13194444444444442</v>
      </c>
      <c r="M31" s="12">
        <f t="shared" si="0"/>
        <v>3.1666666666666661</v>
      </c>
      <c r="N31" s="12">
        <f>Table1[[#This Row],[Trip Hours]]*Table1[[#This Row],['#Angler]]</f>
        <v>12.666666666666664</v>
      </c>
      <c r="O31" t="s">
        <v>342</v>
      </c>
      <c r="P31" t="s">
        <v>348</v>
      </c>
      <c r="Q31" t="s">
        <v>343</v>
      </c>
      <c r="R31" s="11">
        <v>0</v>
      </c>
      <c r="S31">
        <v>0</v>
      </c>
      <c r="T31">
        <v>0</v>
      </c>
      <c r="U31">
        <v>0</v>
      </c>
      <c r="V31" s="11">
        <v>3</v>
      </c>
      <c r="W31">
        <v>0</v>
      </c>
      <c r="X31">
        <v>0</v>
      </c>
      <c r="Y31">
        <v>0</v>
      </c>
      <c r="Z31" s="11">
        <f>SUM(Table1[[#This Row],[Chi Kept]],Table1[[#This Row],[Chi Released]])</f>
        <v>3</v>
      </c>
      <c r="AA31">
        <f>SUM(Table1[[#This Row],[Co Kept]],Table1[[#This Row],[Co Released ]])</f>
        <v>0</v>
      </c>
      <c r="AB31">
        <f>SUM(Table1[[#This Row],[Pink Kept]],Table1[[#This Row],[Pink Released]])</f>
        <v>0</v>
      </c>
      <c r="AC31">
        <f>SUM(Table1[[#This Row],[Chu Kept]],Table1[[#This Row],[Chu Released]])</f>
        <v>0</v>
      </c>
    </row>
    <row r="32" spans="1:29" x14ac:dyDescent="0.3">
      <c r="A32" s="7">
        <v>45890</v>
      </c>
      <c r="B32">
        <v>1</v>
      </c>
      <c r="C32" t="s">
        <v>236</v>
      </c>
      <c r="D32" t="s">
        <v>26</v>
      </c>
      <c r="E32">
        <v>2</v>
      </c>
      <c r="F32">
        <v>1</v>
      </c>
      <c r="G32">
        <v>2</v>
      </c>
      <c r="H32" t="s">
        <v>241</v>
      </c>
      <c r="I32">
        <v>3</v>
      </c>
      <c r="J32" s="10">
        <v>0.29166666666666669</v>
      </c>
      <c r="K32" s="10">
        <v>0.40486111111111112</v>
      </c>
      <c r="L32" s="10">
        <f t="shared" si="1"/>
        <v>0.11319444444444443</v>
      </c>
      <c r="M32" s="12">
        <f t="shared" si="0"/>
        <v>2.7166666666666663</v>
      </c>
      <c r="N32" s="12">
        <f>Table1[[#This Row],[Trip Hours]]*Table1[[#This Row],['#Angler]]</f>
        <v>8.1499999999999986</v>
      </c>
      <c r="O32" t="s">
        <v>342</v>
      </c>
      <c r="Q32" t="s">
        <v>343</v>
      </c>
      <c r="R32" s="11">
        <v>0</v>
      </c>
      <c r="S32">
        <v>0</v>
      </c>
      <c r="T32">
        <v>1</v>
      </c>
      <c r="U32">
        <v>0</v>
      </c>
      <c r="V32" s="11">
        <v>0</v>
      </c>
      <c r="W32">
        <v>0</v>
      </c>
      <c r="X32">
        <v>0</v>
      </c>
      <c r="Y32">
        <v>0</v>
      </c>
      <c r="Z32" s="11">
        <f>SUM(Table1[[#This Row],[Chi Kept]],Table1[[#This Row],[Chi Released]])</f>
        <v>0</v>
      </c>
      <c r="AA32">
        <f>SUM(Table1[[#This Row],[Co Kept]],Table1[[#This Row],[Co Released ]])</f>
        <v>0</v>
      </c>
      <c r="AB32">
        <f>SUM(Table1[[#This Row],[Pink Kept]],Table1[[#This Row],[Pink Released]])</f>
        <v>1</v>
      </c>
      <c r="AC32">
        <f>SUM(Table1[[#This Row],[Chu Kept]],Table1[[#This Row],[Chu Released]])</f>
        <v>0</v>
      </c>
    </row>
    <row r="33" spans="1:29" x14ac:dyDescent="0.3">
      <c r="A33" s="7">
        <v>45890</v>
      </c>
      <c r="B33">
        <v>1</v>
      </c>
      <c r="C33" t="s">
        <v>236</v>
      </c>
      <c r="D33" t="s">
        <v>42</v>
      </c>
      <c r="E33">
        <v>4</v>
      </c>
      <c r="F33">
        <v>1</v>
      </c>
      <c r="G33">
        <v>4</v>
      </c>
      <c r="H33" t="s">
        <v>241</v>
      </c>
      <c r="I33">
        <v>1</v>
      </c>
      <c r="J33" s="10">
        <v>0.61458333333333337</v>
      </c>
      <c r="K33" s="10">
        <v>0.69930555555555551</v>
      </c>
      <c r="L33" s="10">
        <f t="shared" si="1"/>
        <v>8.4722222222222143E-2</v>
      </c>
      <c r="M33" s="12">
        <f t="shared" si="0"/>
        <v>2.0333333333333314</v>
      </c>
      <c r="N33" s="12">
        <f>Table1[[#This Row],[Trip Hours]]*Table1[[#This Row],['#Angler]]</f>
        <v>2.0333333333333314</v>
      </c>
      <c r="O33" t="s">
        <v>349</v>
      </c>
      <c r="Q33" t="s">
        <v>241</v>
      </c>
      <c r="R33" s="11">
        <v>0</v>
      </c>
      <c r="S33">
        <v>0</v>
      </c>
      <c r="T33">
        <v>0</v>
      </c>
      <c r="U33">
        <v>0</v>
      </c>
      <c r="V33" s="11">
        <v>0</v>
      </c>
      <c r="W33">
        <v>0</v>
      </c>
      <c r="X33">
        <v>0</v>
      </c>
      <c r="Y33">
        <v>0</v>
      </c>
      <c r="Z33" s="11">
        <f>SUM(Table1[[#This Row],[Chi Kept]],Table1[[#This Row],[Chi Released]])</f>
        <v>0</v>
      </c>
      <c r="AA33">
        <f>SUM(Table1[[#This Row],[Co Kept]],Table1[[#This Row],[Co Released ]])</f>
        <v>0</v>
      </c>
      <c r="AB33">
        <f>SUM(Table1[[#This Row],[Pink Kept]],Table1[[#This Row],[Pink Released]])</f>
        <v>0</v>
      </c>
      <c r="AC33">
        <f>SUM(Table1[[#This Row],[Chu Kept]],Table1[[#This Row],[Chu Released]])</f>
        <v>0</v>
      </c>
    </row>
    <row r="34" spans="1:29" x14ac:dyDescent="0.3">
      <c r="A34" s="7">
        <v>45890</v>
      </c>
      <c r="B34">
        <v>1</v>
      </c>
      <c r="C34" t="s">
        <v>236</v>
      </c>
      <c r="D34" t="s">
        <v>42</v>
      </c>
      <c r="E34">
        <v>5</v>
      </c>
      <c r="F34">
        <v>2</v>
      </c>
      <c r="G34">
        <v>5</v>
      </c>
      <c r="H34" t="s">
        <v>241</v>
      </c>
      <c r="I34">
        <v>3</v>
      </c>
      <c r="J34" s="10">
        <v>0.6875</v>
      </c>
      <c r="K34" s="10">
        <v>0.70833333333333337</v>
      </c>
      <c r="L34" s="10">
        <f t="shared" si="1"/>
        <v>2.083333333333337E-2</v>
      </c>
      <c r="M34" s="12">
        <f t="shared" si="0"/>
        <v>0.50000000000000089</v>
      </c>
      <c r="N34" s="12">
        <f>Table1[[#This Row],[Trip Hours]]*Table1[[#This Row],['#Angler]]</f>
        <v>1.5000000000000027</v>
      </c>
      <c r="O34" t="s">
        <v>349</v>
      </c>
      <c r="P34" t="s">
        <v>49</v>
      </c>
      <c r="R34" s="11">
        <v>0</v>
      </c>
      <c r="S34">
        <v>0</v>
      </c>
      <c r="T34">
        <v>0</v>
      </c>
      <c r="U34">
        <v>0</v>
      </c>
      <c r="V34" s="11">
        <v>0</v>
      </c>
      <c r="W34">
        <v>0</v>
      </c>
      <c r="X34">
        <v>0</v>
      </c>
      <c r="Y34">
        <v>0</v>
      </c>
      <c r="Z34" s="11">
        <f>SUM(Table1[[#This Row],[Chi Kept]],Table1[[#This Row],[Chi Released]])</f>
        <v>0</v>
      </c>
      <c r="AA34">
        <f>SUM(Table1[[#This Row],[Co Kept]],Table1[[#This Row],[Co Released ]])</f>
        <v>0</v>
      </c>
      <c r="AB34">
        <f>SUM(Table1[[#This Row],[Pink Kept]],Table1[[#This Row],[Pink Released]])</f>
        <v>0</v>
      </c>
      <c r="AC34">
        <f>SUM(Table1[[#This Row],[Chu Kept]],Table1[[#This Row],[Chu Released]])</f>
        <v>0</v>
      </c>
    </row>
    <row r="35" spans="1:29" x14ac:dyDescent="0.3">
      <c r="A35" s="7">
        <v>45890</v>
      </c>
      <c r="B35">
        <v>1</v>
      </c>
      <c r="C35" t="s">
        <v>236</v>
      </c>
      <c r="D35" t="s">
        <v>42</v>
      </c>
      <c r="E35">
        <v>6</v>
      </c>
      <c r="F35">
        <v>2</v>
      </c>
      <c r="G35">
        <v>2</v>
      </c>
      <c r="H35" t="s">
        <v>241</v>
      </c>
      <c r="I35">
        <v>2</v>
      </c>
      <c r="J35" s="10">
        <v>0.71527777777777779</v>
      </c>
      <c r="K35" s="10">
        <v>0.72222222222222221</v>
      </c>
      <c r="L35" s="10">
        <f t="shared" si="1"/>
        <v>6.9444444444444198E-3</v>
      </c>
      <c r="M35" s="12">
        <f t="shared" si="0"/>
        <v>0.16666666666666607</v>
      </c>
      <c r="N35" s="12">
        <f>Table1[[#This Row],[Trip Hours]]*Table1[[#This Row],['#Angler]]</f>
        <v>0.33333333333333215</v>
      </c>
      <c r="O35" t="s">
        <v>349</v>
      </c>
      <c r="Q35" t="s">
        <v>238</v>
      </c>
      <c r="R35" s="11">
        <v>0</v>
      </c>
      <c r="S35">
        <v>0</v>
      </c>
      <c r="T35">
        <v>0</v>
      </c>
      <c r="U35">
        <v>0</v>
      </c>
      <c r="V35" s="11">
        <v>0</v>
      </c>
      <c r="W35">
        <v>0</v>
      </c>
      <c r="X35">
        <v>0</v>
      </c>
      <c r="Y35">
        <v>0</v>
      </c>
      <c r="Z35" s="11">
        <f>SUM(Table1[[#This Row],[Chi Kept]],Table1[[#This Row],[Chi Released]])</f>
        <v>0</v>
      </c>
      <c r="AA35">
        <f>SUM(Table1[[#This Row],[Co Kept]],Table1[[#This Row],[Co Released ]])</f>
        <v>0</v>
      </c>
      <c r="AB35">
        <f>SUM(Table1[[#This Row],[Pink Kept]],Table1[[#This Row],[Pink Released]])</f>
        <v>0</v>
      </c>
      <c r="AC35">
        <f>SUM(Table1[[#This Row],[Chu Kept]],Table1[[#This Row],[Chu Released]])</f>
        <v>0</v>
      </c>
    </row>
    <row r="36" spans="1:29" x14ac:dyDescent="0.3">
      <c r="A36" s="7">
        <v>45890</v>
      </c>
      <c r="B36">
        <v>1</v>
      </c>
      <c r="C36" t="s">
        <v>236</v>
      </c>
      <c r="D36" t="s">
        <v>42</v>
      </c>
      <c r="E36">
        <v>7</v>
      </c>
      <c r="F36">
        <v>2</v>
      </c>
      <c r="G36">
        <v>2</v>
      </c>
      <c r="H36" t="s">
        <v>241</v>
      </c>
      <c r="I36">
        <v>2</v>
      </c>
      <c r="J36" s="10">
        <v>0.70833333333333337</v>
      </c>
      <c r="K36" s="10">
        <v>0.73819444444444449</v>
      </c>
      <c r="L36" s="10">
        <f t="shared" si="1"/>
        <v>2.9861111111111116E-2</v>
      </c>
      <c r="M36" s="12">
        <f t="shared" si="0"/>
        <v>0.71666666666666679</v>
      </c>
      <c r="N36" s="12">
        <f>Table1[[#This Row],[Trip Hours]]*Table1[[#This Row],['#Angler]]</f>
        <v>1.4333333333333336</v>
      </c>
      <c r="O36" t="s">
        <v>349</v>
      </c>
      <c r="P36" t="s">
        <v>82</v>
      </c>
      <c r="Q36" t="s">
        <v>241</v>
      </c>
      <c r="R36" s="11">
        <v>0</v>
      </c>
      <c r="S36">
        <v>0</v>
      </c>
      <c r="T36">
        <v>0</v>
      </c>
      <c r="U36">
        <v>0</v>
      </c>
      <c r="V36" s="11">
        <v>0</v>
      </c>
      <c r="W36">
        <v>0</v>
      </c>
      <c r="X36">
        <v>0</v>
      </c>
      <c r="Y36">
        <v>0</v>
      </c>
      <c r="Z36" s="11">
        <f>SUM(Table1[[#This Row],[Chi Kept]],Table1[[#This Row],[Chi Released]])</f>
        <v>0</v>
      </c>
      <c r="AA36">
        <f>SUM(Table1[[#This Row],[Co Kept]],Table1[[#This Row],[Co Released ]])</f>
        <v>0</v>
      </c>
      <c r="AB36">
        <f>SUM(Table1[[#This Row],[Pink Kept]],Table1[[#This Row],[Pink Released]])</f>
        <v>0</v>
      </c>
      <c r="AC36">
        <f>SUM(Table1[[#This Row],[Chu Kept]],Table1[[#This Row],[Chu Released]])</f>
        <v>0</v>
      </c>
    </row>
    <row r="37" spans="1:29" x14ac:dyDescent="0.3">
      <c r="A37" s="7">
        <v>45890</v>
      </c>
      <c r="B37">
        <v>1</v>
      </c>
      <c r="C37" t="s">
        <v>236</v>
      </c>
      <c r="D37" t="s">
        <v>42</v>
      </c>
      <c r="E37">
        <v>8</v>
      </c>
      <c r="F37">
        <v>2</v>
      </c>
      <c r="G37">
        <v>2</v>
      </c>
      <c r="H37" t="s">
        <v>241</v>
      </c>
      <c r="I37">
        <v>1</v>
      </c>
      <c r="J37" s="10">
        <v>0.71875</v>
      </c>
      <c r="K37" s="10">
        <v>0.73958333333333337</v>
      </c>
      <c r="L37" s="10">
        <f t="shared" si="1"/>
        <v>2.083333333333337E-2</v>
      </c>
      <c r="M37" s="12">
        <f t="shared" si="0"/>
        <v>0.50000000000000089</v>
      </c>
      <c r="N37" s="12">
        <f>Table1[[#This Row],[Trip Hours]]*Table1[[#This Row],['#Angler]]</f>
        <v>0.50000000000000089</v>
      </c>
      <c r="O37" t="s">
        <v>349</v>
      </c>
      <c r="P37" t="s">
        <v>29</v>
      </c>
      <c r="Q37" t="s">
        <v>241</v>
      </c>
      <c r="R37" s="11">
        <v>0</v>
      </c>
      <c r="S37">
        <v>0</v>
      </c>
      <c r="T37">
        <v>0</v>
      </c>
      <c r="U37">
        <v>0</v>
      </c>
      <c r="V37" s="11">
        <v>0</v>
      </c>
      <c r="W37">
        <v>0</v>
      </c>
      <c r="X37">
        <v>0</v>
      </c>
      <c r="Y37">
        <v>0</v>
      </c>
      <c r="Z37" s="11">
        <f>SUM(Table1[[#This Row],[Chi Kept]],Table1[[#This Row],[Chi Released]])</f>
        <v>0</v>
      </c>
      <c r="AA37">
        <f>SUM(Table1[[#This Row],[Co Kept]],Table1[[#This Row],[Co Released ]])</f>
        <v>0</v>
      </c>
      <c r="AB37">
        <f>SUM(Table1[[#This Row],[Pink Kept]],Table1[[#This Row],[Pink Released]])</f>
        <v>0</v>
      </c>
      <c r="AC37">
        <f>SUM(Table1[[#This Row],[Chu Kept]],Table1[[#This Row],[Chu Released]])</f>
        <v>0</v>
      </c>
    </row>
    <row r="38" spans="1:29" x14ac:dyDescent="0.3">
      <c r="A38" s="7">
        <v>45890</v>
      </c>
      <c r="B38">
        <v>1</v>
      </c>
      <c r="C38" t="s">
        <v>236</v>
      </c>
      <c r="D38" t="s">
        <v>42</v>
      </c>
      <c r="E38">
        <v>9</v>
      </c>
      <c r="F38">
        <v>2</v>
      </c>
      <c r="G38">
        <v>2</v>
      </c>
      <c r="H38" t="s">
        <v>241</v>
      </c>
      <c r="I38">
        <v>2</v>
      </c>
      <c r="J38" s="10">
        <v>0.72916666666666663</v>
      </c>
      <c r="K38" s="10">
        <v>0.75</v>
      </c>
      <c r="L38" s="10">
        <f t="shared" si="1"/>
        <v>2.083333333333337E-2</v>
      </c>
      <c r="M38" s="12">
        <f t="shared" si="0"/>
        <v>0.50000000000000089</v>
      </c>
      <c r="N38" s="12">
        <f>Table1[[#This Row],[Trip Hours]]*Table1[[#This Row],['#Angler]]</f>
        <v>1.0000000000000018</v>
      </c>
      <c r="O38" t="s">
        <v>349</v>
      </c>
      <c r="P38" t="s">
        <v>29</v>
      </c>
      <c r="Q38" t="s">
        <v>241</v>
      </c>
      <c r="R38" s="11">
        <v>0</v>
      </c>
      <c r="S38">
        <v>0</v>
      </c>
      <c r="T38">
        <v>0</v>
      </c>
      <c r="U38">
        <v>0</v>
      </c>
      <c r="V38" s="11">
        <v>0</v>
      </c>
      <c r="W38">
        <v>0</v>
      </c>
      <c r="X38">
        <v>0</v>
      </c>
      <c r="Y38">
        <v>0</v>
      </c>
      <c r="Z38" s="11">
        <f>SUM(Table1[[#This Row],[Chi Kept]],Table1[[#This Row],[Chi Released]])</f>
        <v>0</v>
      </c>
      <c r="AA38">
        <f>SUM(Table1[[#This Row],[Co Kept]],Table1[[#This Row],[Co Released ]])</f>
        <v>0</v>
      </c>
      <c r="AB38">
        <f>SUM(Table1[[#This Row],[Pink Kept]],Table1[[#This Row],[Pink Released]])</f>
        <v>0</v>
      </c>
      <c r="AC38">
        <f>SUM(Table1[[#This Row],[Chu Kept]],Table1[[#This Row],[Chu Released]])</f>
        <v>0</v>
      </c>
    </row>
    <row r="39" spans="1:29" x14ac:dyDescent="0.3">
      <c r="A39" s="7">
        <v>45890</v>
      </c>
      <c r="B39">
        <v>1</v>
      </c>
      <c r="C39" t="s">
        <v>236</v>
      </c>
      <c r="D39" t="s">
        <v>42</v>
      </c>
      <c r="E39">
        <v>10</v>
      </c>
      <c r="F39">
        <v>1</v>
      </c>
      <c r="G39">
        <v>4</v>
      </c>
      <c r="H39" t="s">
        <v>241</v>
      </c>
      <c r="I39">
        <v>1</v>
      </c>
      <c r="J39" s="10">
        <v>0.70833333333333337</v>
      </c>
      <c r="K39" s="10">
        <v>0.8</v>
      </c>
      <c r="L39" s="10">
        <f t="shared" si="1"/>
        <v>9.1666666666666674E-2</v>
      </c>
      <c r="M39" s="12">
        <f t="shared" si="0"/>
        <v>2.2000000000000002</v>
      </c>
      <c r="N39" s="12">
        <f>Table1[[#This Row],[Trip Hours]]*Table1[[#This Row],['#Angler]]</f>
        <v>2.2000000000000002</v>
      </c>
      <c r="O39" t="s">
        <v>342</v>
      </c>
      <c r="Q39" t="s">
        <v>241</v>
      </c>
      <c r="R39" s="11">
        <v>0</v>
      </c>
      <c r="S39">
        <v>0</v>
      </c>
      <c r="T39">
        <v>0</v>
      </c>
      <c r="U39">
        <v>0</v>
      </c>
      <c r="V39" s="11">
        <v>0</v>
      </c>
      <c r="W39">
        <v>0</v>
      </c>
      <c r="X39">
        <v>0</v>
      </c>
      <c r="Y39">
        <v>0</v>
      </c>
      <c r="Z39" s="11">
        <f>SUM(Table1[[#This Row],[Chi Kept]],Table1[[#This Row],[Chi Released]])</f>
        <v>0</v>
      </c>
      <c r="AA39">
        <f>SUM(Table1[[#This Row],[Co Kept]],Table1[[#This Row],[Co Released ]])</f>
        <v>0</v>
      </c>
      <c r="AB39">
        <f>SUM(Table1[[#This Row],[Pink Kept]],Table1[[#This Row],[Pink Released]])</f>
        <v>0</v>
      </c>
      <c r="AC39">
        <f>SUM(Table1[[#This Row],[Chu Kept]],Table1[[#This Row],[Chu Released]])</f>
        <v>0</v>
      </c>
    </row>
    <row r="40" spans="1:29" x14ac:dyDescent="0.3">
      <c r="A40" s="7">
        <v>45890</v>
      </c>
      <c r="B40">
        <v>1</v>
      </c>
      <c r="C40" t="s">
        <v>236</v>
      </c>
      <c r="D40" t="s">
        <v>42</v>
      </c>
      <c r="E40">
        <v>11</v>
      </c>
      <c r="F40">
        <v>1</v>
      </c>
      <c r="G40">
        <v>4</v>
      </c>
      <c r="H40" t="s">
        <v>241</v>
      </c>
      <c r="I40">
        <v>2</v>
      </c>
      <c r="J40" s="10">
        <v>0.76041666666666663</v>
      </c>
      <c r="K40" s="10">
        <v>0.80347222222222225</v>
      </c>
      <c r="L40" s="10">
        <f t="shared" si="1"/>
        <v>4.3055555555555625E-2</v>
      </c>
      <c r="M40" s="12">
        <f t="shared" si="0"/>
        <v>1.033333333333335</v>
      </c>
      <c r="N40" s="12">
        <f>Table1[[#This Row],[Trip Hours]]*Table1[[#This Row],['#Angler]]</f>
        <v>2.06666666666667</v>
      </c>
      <c r="O40" t="s">
        <v>342</v>
      </c>
      <c r="R40" s="11">
        <v>0</v>
      </c>
      <c r="S40">
        <v>0</v>
      </c>
      <c r="T40">
        <v>0</v>
      </c>
      <c r="U40">
        <v>0</v>
      </c>
      <c r="V40" s="11">
        <v>0</v>
      </c>
      <c r="W40">
        <v>0</v>
      </c>
      <c r="X40">
        <v>0</v>
      </c>
      <c r="Y40">
        <v>0</v>
      </c>
      <c r="Z40" s="11">
        <f>SUM(Table1[[#This Row],[Chi Kept]],Table1[[#This Row],[Chi Released]])</f>
        <v>0</v>
      </c>
      <c r="AA40">
        <f>SUM(Table1[[#This Row],[Co Kept]],Table1[[#This Row],[Co Released ]])</f>
        <v>0</v>
      </c>
      <c r="AB40">
        <f>SUM(Table1[[#This Row],[Pink Kept]],Table1[[#This Row],[Pink Released]])</f>
        <v>0</v>
      </c>
      <c r="AC40">
        <f>SUM(Table1[[#This Row],[Chu Kept]],Table1[[#This Row],[Chu Released]])</f>
        <v>0</v>
      </c>
    </row>
    <row r="41" spans="1:29" x14ac:dyDescent="0.3">
      <c r="A41" s="7">
        <v>45890</v>
      </c>
      <c r="B41">
        <v>1</v>
      </c>
      <c r="C41" t="s">
        <v>236</v>
      </c>
      <c r="D41" t="s">
        <v>42</v>
      </c>
      <c r="E41">
        <v>12</v>
      </c>
      <c r="F41">
        <v>1</v>
      </c>
      <c r="G41">
        <v>4</v>
      </c>
      <c r="H41" t="s">
        <v>241</v>
      </c>
      <c r="I41">
        <v>1</v>
      </c>
      <c r="J41" s="10">
        <v>0.65625</v>
      </c>
      <c r="K41" s="10">
        <v>0.82013888888888886</v>
      </c>
      <c r="L41" s="10">
        <f t="shared" si="1"/>
        <v>0.16388888888888886</v>
      </c>
      <c r="M41" s="12">
        <f t="shared" si="0"/>
        <v>3.9333333333333327</v>
      </c>
      <c r="N41" s="12">
        <f>Table1[[#This Row],[Trip Hours]]*Table1[[#This Row],['#Angler]]</f>
        <v>3.9333333333333327</v>
      </c>
      <c r="O41" t="s">
        <v>342</v>
      </c>
      <c r="P41" t="s">
        <v>347</v>
      </c>
      <c r="Q41" t="s">
        <v>241</v>
      </c>
      <c r="R41" s="11">
        <v>0</v>
      </c>
      <c r="S41">
        <v>0</v>
      </c>
      <c r="T41">
        <v>3</v>
      </c>
      <c r="U41">
        <v>0</v>
      </c>
      <c r="V41" s="11">
        <v>0</v>
      </c>
      <c r="W41">
        <v>0</v>
      </c>
      <c r="X41">
        <v>0</v>
      </c>
      <c r="Y41">
        <v>0</v>
      </c>
      <c r="Z41" s="11">
        <f>SUM(Table1[[#This Row],[Chi Kept]],Table1[[#This Row],[Chi Released]])</f>
        <v>0</v>
      </c>
      <c r="AA41">
        <f>SUM(Table1[[#This Row],[Co Kept]],Table1[[#This Row],[Co Released ]])</f>
        <v>0</v>
      </c>
      <c r="AB41">
        <f>SUM(Table1[[#This Row],[Pink Kept]],Table1[[#This Row],[Pink Released]])</f>
        <v>3</v>
      </c>
      <c r="AC41">
        <f>SUM(Table1[[#This Row],[Chu Kept]],Table1[[#This Row],[Chu Released]])</f>
        <v>0</v>
      </c>
    </row>
    <row r="42" spans="1:29" x14ac:dyDescent="0.3">
      <c r="A42" s="7">
        <v>45890</v>
      </c>
      <c r="B42">
        <v>1</v>
      </c>
      <c r="C42" t="s">
        <v>236</v>
      </c>
      <c r="D42" t="s">
        <v>42</v>
      </c>
      <c r="E42">
        <v>13</v>
      </c>
      <c r="F42">
        <v>1</v>
      </c>
      <c r="G42">
        <v>4</v>
      </c>
      <c r="H42" t="s">
        <v>241</v>
      </c>
      <c r="I42">
        <v>1</v>
      </c>
      <c r="J42" s="10">
        <v>0.70833333333333337</v>
      </c>
      <c r="K42" s="10">
        <v>0.84027777777777779</v>
      </c>
      <c r="L42" s="10">
        <f t="shared" si="1"/>
        <v>0.13194444444444442</v>
      </c>
      <c r="M42" s="12">
        <f t="shared" si="0"/>
        <v>3.1666666666666661</v>
      </c>
      <c r="N42" s="12">
        <f>Table1[[#This Row],[Trip Hours]]*Table1[[#This Row],['#Angler]]</f>
        <v>3.1666666666666661</v>
      </c>
      <c r="O42" t="s">
        <v>342</v>
      </c>
      <c r="R42" s="11">
        <v>0</v>
      </c>
      <c r="S42">
        <v>1</v>
      </c>
      <c r="T42">
        <v>0</v>
      </c>
      <c r="U42">
        <v>0</v>
      </c>
      <c r="V42" s="11">
        <v>0</v>
      </c>
      <c r="W42">
        <v>0</v>
      </c>
      <c r="X42">
        <v>0</v>
      </c>
      <c r="Y42">
        <v>0</v>
      </c>
      <c r="Z42" s="11">
        <f>SUM(Table1[[#This Row],[Chi Kept]],Table1[[#This Row],[Chi Released]])</f>
        <v>0</v>
      </c>
      <c r="AA42">
        <f>SUM(Table1[[#This Row],[Co Kept]],Table1[[#This Row],[Co Released ]])</f>
        <v>1</v>
      </c>
      <c r="AB42">
        <f>SUM(Table1[[#This Row],[Pink Kept]],Table1[[#This Row],[Pink Released]])</f>
        <v>0</v>
      </c>
      <c r="AC42">
        <f>SUM(Table1[[#This Row],[Chu Kept]],Table1[[#This Row],[Chu Released]])</f>
        <v>0</v>
      </c>
    </row>
    <row r="43" spans="1:29" x14ac:dyDescent="0.3">
      <c r="A43" s="7">
        <v>45891</v>
      </c>
      <c r="B43">
        <v>1</v>
      </c>
      <c r="C43" t="s">
        <v>236</v>
      </c>
      <c r="D43" t="s">
        <v>26</v>
      </c>
      <c r="E43">
        <v>1</v>
      </c>
      <c r="F43">
        <v>1</v>
      </c>
      <c r="G43">
        <v>1</v>
      </c>
      <c r="H43" t="s">
        <v>344</v>
      </c>
      <c r="I43">
        <v>2</v>
      </c>
      <c r="J43" s="10">
        <v>0.25</v>
      </c>
      <c r="K43" s="10">
        <v>0.32083333333333336</v>
      </c>
      <c r="L43" s="10">
        <f t="shared" si="1"/>
        <v>7.0833333333333359E-2</v>
      </c>
      <c r="M43" s="12">
        <f t="shared" si="0"/>
        <v>1.7000000000000006</v>
      </c>
      <c r="N43" s="12">
        <f>Table1[[#This Row],[Trip Hours]]*Table1[[#This Row],['#Angler]]</f>
        <v>3.4000000000000012</v>
      </c>
      <c r="O43" t="s">
        <v>342</v>
      </c>
      <c r="P43" t="s">
        <v>347</v>
      </c>
      <c r="Q43" t="s">
        <v>343</v>
      </c>
      <c r="R43" s="11">
        <v>0</v>
      </c>
      <c r="S43">
        <v>0</v>
      </c>
      <c r="T43">
        <v>5</v>
      </c>
      <c r="U43">
        <v>0</v>
      </c>
      <c r="V43" s="11">
        <v>0</v>
      </c>
      <c r="W43">
        <v>0</v>
      </c>
      <c r="X43">
        <v>0</v>
      </c>
      <c r="Y43">
        <v>0</v>
      </c>
      <c r="Z43" s="11">
        <f>SUM(Table1[[#This Row],[Chi Kept]],Table1[[#This Row],[Chi Released]])</f>
        <v>0</v>
      </c>
      <c r="AA43">
        <f>SUM(Table1[[#This Row],[Co Kept]],Table1[[#This Row],[Co Released ]])</f>
        <v>0</v>
      </c>
      <c r="AB43">
        <f>SUM(Table1[[#This Row],[Pink Kept]],Table1[[#This Row],[Pink Released]])</f>
        <v>5</v>
      </c>
      <c r="AC43">
        <f>SUM(Table1[[#This Row],[Chu Kept]],Table1[[#This Row],[Chu Released]])</f>
        <v>0</v>
      </c>
    </row>
    <row r="44" spans="1:29" x14ac:dyDescent="0.3">
      <c r="A44" s="7">
        <v>45891</v>
      </c>
      <c r="B44">
        <v>1</v>
      </c>
      <c r="C44" t="s">
        <v>236</v>
      </c>
      <c r="D44" t="s">
        <v>26</v>
      </c>
      <c r="E44">
        <v>2</v>
      </c>
      <c r="F44">
        <v>1</v>
      </c>
      <c r="G44">
        <v>1</v>
      </c>
      <c r="H44" t="s">
        <v>344</v>
      </c>
      <c r="I44">
        <v>1</v>
      </c>
      <c r="J44" s="10">
        <v>0.25</v>
      </c>
      <c r="K44" s="10">
        <v>0.37916666666666665</v>
      </c>
      <c r="L44" s="10">
        <f t="shared" si="1"/>
        <v>0.12916666666666665</v>
      </c>
      <c r="M44" s="12">
        <f t="shared" si="0"/>
        <v>3.0999999999999996</v>
      </c>
      <c r="N44" s="12">
        <f>Table1[[#This Row],[Trip Hours]]*Table1[[#This Row],['#Angler]]</f>
        <v>3.0999999999999996</v>
      </c>
      <c r="O44" t="s">
        <v>342</v>
      </c>
      <c r="P44" t="s">
        <v>307</v>
      </c>
      <c r="Q44" t="s">
        <v>247</v>
      </c>
      <c r="R44" s="11">
        <v>0</v>
      </c>
      <c r="S44">
        <v>0</v>
      </c>
      <c r="T44">
        <v>0</v>
      </c>
      <c r="U44">
        <v>0</v>
      </c>
      <c r="V44" s="11">
        <v>0</v>
      </c>
      <c r="W44">
        <v>0</v>
      </c>
      <c r="X44">
        <v>3</v>
      </c>
      <c r="Y44">
        <v>0</v>
      </c>
      <c r="Z44" s="11">
        <f>SUM(Table1[[#This Row],[Chi Kept]],Table1[[#This Row],[Chi Released]])</f>
        <v>0</v>
      </c>
      <c r="AA44">
        <f>SUM(Table1[[#This Row],[Co Kept]],Table1[[#This Row],[Co Released ]])</f>
        <v>0</v>
      </c>
      <c r="AB44">
        <f>SUM(Table1[[#This Row],[Pink Kept]],Table1[[#This Row],[Pink Released]])</f>
        <v>3</v>
      </c>
      <c r="AC44">
        <f>SUM(Table1[[#This Row],[Chu Kept]],Table1[[#This Row],[Chu Released]])</f>
        <v>0</v>
      </c>
    </row>
    <row r="45" spans="1:29" x14ac:dyDescent="0.3">
      <c r="A45" s="7">
        <v>45891</v>
      </c>
      <c r="B45">
        <v>1</v>
      </c>
      <c r="C45" t="s">
        <v>236</v>
      </c>
      <c r="D45" t="s">
        <v>26</v>
      </c>
      <c r="E45">
        <v>3</v>
      </c>
      <c r="F45">
        <v>1</v>
      </c>
      <c r="G45">
        <v>1</v>
      </c>
      <c r="H45" t="s">
        <v>344</v>
      </c>
      <c r="I45">
        <v>3</v>
      </c>
      <c r="J45" s="10">
        <v>0.25</v>
      </c>
      <c r="K45" s="10">
        <v>0.3888888888888889</v>
      </c>
      <c r="L45" s="10">
        <f t="shared" si="1"/>
        <v>0.1388888888888889</v>
      </c>
      <c r="M45" s="12">
        <f t="shared" si="0"/>
        <v>3.3333333333333335</v>
      </c>
      <c r="N45" s="12">
        <f>Table1[[#This Row],[Trip Hours]]*Table1[[#This Row],['#Angler]]</f>
        <v>10</v>
      </c>
      <c r="O45" t="s">
        <v>342</v>
      </c>
      <c r="P45" t="s">
        <v>29</v>
      </c>
      <c r="Q45" t="s">
        <v>343</v>
      </c>
      <c r="R45" s="11">
        <v>0</v>
      </c>
      <c r="S45">
        <v>0</v>
      </c>
      <c r="T45">
        <v>4</v>
      </c>
      <c r="U45">
        <v>0</v>
      </c>
      <c r="V45" s="11">
        <v>0</v>
      </c>
      <c r="W45">
        <v>0</v>
      </c>
      <c r="X45">
        <v>21</v>
      </c>
      <c r="Y45">
        <v>0</v>
      </c>
      <c r="Z45" s="11">
        <f>SUM(Table1[[#This Row],[Chi Kept]],Table1[[#This Row],[Chi Released]])</f>
        <v>0</v>
      </c>
      <c r="AA45">
        <f>SUM(Table1[[#This Row],[Co Kept]],Table1[[#This Row],[Co Released ]])</f>
        <v>0</v>
      </c>
      <c r="AB45">
        <f>SUM(Table1[[#This Row],[Pink Kept]],Table1[[#This Row],[Pink Released]])</f>
        <v>25</v>
      </c>
      <c r="AC45">
        <f>SUM(Table1[[#This Row],[Chu Kept]],Table1[[#This Row],[Chu Released]])</f>
        <v>0</v>
      </c>
    </row>
    <row r="46" spans="1:29" x14ac:dyDescent="0.3">
      <c r="A46" s="7">
        <v>45891</v>
      </c>
      <c r="B46">
        <v>1</v>
      </c>
      <c r="C46" t="s">
        <v>236</v>
      </c>
      <c r="D46" t="s">
        <v>26</v>
      </c>
      <c r="E46">
        <v>4</v>
      </c>
      <c r="F46">
        <v>1</v>
      </c>
      <c r="G46">
        <v>1</v>
      </c>
      <c r="H46" t="s">
        <v>344</v>
      </c>
      <c r="I46">
        <v>2</v>
      </c>
      <c r="J46" s="10">
        <v>0.22916666666666666</v>
      </c>
      <c r="K46" s="10">
        <v>0.39305555555555555</v>
      </c>
      <c r="L46" s="10">
        <f t="shared" si="1"/>
        <v>0.16388888888888889</v>
      </c>
      <c r="M46" s="12">
        <f t="shared" si="0"/>
        <v>3.9333333333333336</v>
      </c>
      <c r="N46" s="12">
        <f>Table1[[#This Row],[Trip Hours]]*Table1[[#This Row],['#Angler]]</f>
        <v>7.8666666666666671</v>
      </c>
      <c r="O46" t="s">
        <v>342</v>
      </c>
      <c r="P46" t="s">
        <v>29</v>
      </c>
      <c r="Q46" t="s">
        <v>343</v>
      </c>
      <c r="R46" s="11">
        <v>0</v>
      </c>
      <c r="S46">
        <v>0</v>
      </c>
      <c r="T46">
        <v>6</v>
      </c>
      <c r="U46">
        <v>0</v>
      </c>
      <c r="V46" s="11">
        <v>0</v>
      </c>
      <c r="W46">
        <v>0</v>
      </c>
      <c r="X46">
        <v>5</v>
      </c>
      <c r="Y46">
        <v>0</v>
      </c>
      <c r="Z46" s="11">
        <f>SUM(Table1[[#This Row],[Chi Kept]],Table1[[#This Row],[Chi Released]])</f>
        <v>0</v>
      </c>
      <c r="AA46">
        <f>SUM(Table1[[#This Row],[Co Kept]],Table1[[#This Row],[Co Released ]])</f>
        <v>0</v>
      </c>
      <c r="AB46">
        <f>SUM(Table1[[#This Row],[Pink Kept]],Table1[[#This Row],[Pink Released]])</f>
        <v>11</v>
      </c>
      <c r="AC46">
        <f>SUM(Table1[[#This Row],[Chu Kept]],Table1[[#This Row],[Chu Released]])</f>
        <v>0</v>
      </c>
    </row>
    <row r="47" spans="1:29" x14ac:dyDescent="0.3">
      <c r="A47" s="7">
        <v>45891</v>
      </c>
      <c r="B47">
        <v>1</v>
      </c>
      <c r="C47" t="s">
        <v>236</v>
      </c>
      <c r="D47" t="s">
        <v>26</v>
      </c>
      <c r="E47">
        <v>5</v>
      </c>
      <c r="F47">
        <v>1</v>
      </c>
      <c r="G47">
        <v>1</v>
      </c>
      <c r="H47" t="s">
        <v>344</v>
      </c>
      <c r="I47">
        <v>1</v>
      </c>
      <c r="J47" s="10">
        <v>0.16666666666666666</v>
      </c>
      <c r="K47" s="10">
        <v>0.39583333333333331</v>
      </c>
      <c r="L47" s="10">
        <f t="shared" si="1"/>
        <v>0.22916666666666666</v>
      </c>
      <c r="M47" s="12">
        <f t="shared" si="0"/>
        <v>5.5</v>
      </c>
      <c r="N47" s="12">
        <f>Table1[[#This Row],[Trip Hours]]*Table1[[#This Row],['#Angler]]</f>
        <v>5.5</v>
      </c>
      <c r="O47" t="s">
        <v>342</v>
      </c>
      <c r="P47" t="s">
        <v>49</v>
      </c>
      <c r="Q47" t="s">
        <v>241</v>
      </c>
      <c r="R47" s="11">
        <v>0</v>
      </c>
      <c r="S47">
        <v>0</v>
      </c>
      <c r="T47">
        <v>0</v>
      </c>
      <c r="U47">
        <v>0</v>
      </c>
      <c r="V47" s="11">
        <v>0</v>
      </c>
      <c r="W47">
        <v>0</v>
      </c>
      <c r="X47">
        <v>0</v>
      </c>
      <c r="Y47">
        <v>0</v>
      </c>
      <c r="Z47" s="11">
        <f>SUM(Table1[[#This Row],[Chi Kept]],Table1[[#This Row],[Chi Released]])</f>
        <v>0</v>
      </c>
      <c r="AA47">
        <f>SUM(Table1[[#This Row],[Co Kept]],Table1[[#This Row],[Co Released ]])</f>
        <v>0</v>
      </c>
      <c r="AB47">
        <f>SUM(Table1[[#This Row],[Pink Kept]],Table1[[#This Row],[Pink Released]])</f>
        <v>0</v>
      </c>
      <c r="AC47">
        <f>SUM(Table1[[#This Row],[Chu Kept]],Table1[[#This Row],[Chu Released]])</f>
        <v>0</v>
      </c>
    </row>
    <row r="48" spans="1:29" x14ac:dyDescent="0.3">
      <c r="A48" s="7">
        <v>45891</v>
      </c>
      <c r="B48">
        <v>1</v>
      </c>
      <c r="C48" t="s">
        <v>236</v>
      </c>
      <c r="D48" t="s">
        <v>26</v>
      </c>
      <c r="E48">
        <v>6</v>
      </c>
      <c r="F48">
        <v>1</v>
      </c>
      <c r="G48">
        <v>1</v>
      </c>
      <c r="H48" t="s">
        <v>344</v>
      </c>
      <c r="I48">
        <v>4</v>
      </c>
      <c r="J48" s="10">
        <v>0.25</v>
      </c>
      <c r="K48" s="10">
        <v>0.39930555555555558</v>
      </c>
      <c r="L48" s="10">
        <f t="shared" si="1"/>
        <v>0.14930555555555558</v>
      </c>
      <c r="M48" s="12">
        <f t="shared" si="0"/>
        <v>3.5833333333333339</v>
      </c>
      <c r="N48" s="12">
        <f>Table1[[#This Row],[Trip Hours]]*Table1[[#This Row],['#Angler]]</f>
        <v>14.333333333333336</v>
      </c>
      <c r="O48" t="s">
        <v>342</v>
      </c>
      <c r="P48" t="s">
        <v>29</v>
      </c>
      <c r="Q48" t="s">
        <v>343</v>
      </c>
      <c r="R48" s="11">
        <v>0</v>
      </c>
      <c r="S48">
        <v>0</v>
      </c>
      <c r="T48">
        <v>7</v>
      </c>
      <c r="U48">
        <v>0</v>
      </c>
      <c r="V48" s="11">
        <v>0</v>
      </c>
      <c r="W48">
        <v>0</v>
      </c>
      <c r="X48">
        <v>0</v>
      </c>
      <c r="Y48">
        <v>0</v>
      </c>
      <c r="Z48" s="11">
        <f>SUM(Table1[[#This Row],[Chi Kept]],Table1[[#This Row],[Chi Released]])</f>
        <v>0</v>
      </c>
      <c r="AA48">
        <f>SUM(Table1[[#This Row],[Co Kept]],Table1[[#This Row],[Co Released ]])</f>
        <v>0</v>
      </c>
      <c r="AB48">
        <f>SUM(Table1[[#This Row],[Pink Kept]],Table1[[#This Row],[Pink Released]])</f>
        <v>7</v>
      </c>
      <c r="AC48">
        <f>SUM(Table1[[#This Row],[Chu Kept]],Table1[[#This Row],[Chu Released]])</f>
        <v>0</v>
      </c>
    </row>
    <row r="49" spans="1:31" x14ac:dyDescent="0.3">
      <c r="A49" s="7">
        <v>45891</v>
      </c>
      <c r="B49">
        <v>1</v>
      </c>
      <c r="C49" t="s">
        <v>236</v>
      </c>
      <c r="D49" t="s">
        <v>26</v>
      </c>
      <c r="E49">
        <v>7</v>
      </c>
      <c r="F49">
        <v>1</v>
      </c>
      <c r="G49">
        <v>1</v>
      </c>
      <c r="H49" t="s">
        <v>344</v>
      </c>
      <c r="I49">
        <v>3</v>
      </c>
      <c r="J49" s="10">
        <v>0.33333333333333331</v>
      </c>
      <c r="K49" s="10">
        <v>0.43194444444444446</v>
      </c>
      <c r="L49" s="10">
        <f t="shared" si="1"/>
        <v>9.8611111111111149E-2</v>
      </c>
      <c r="M49" s="12">
        <f t="shared" si="0"/>
        <v>2.3666666666666676</v>
      </c>
      <c r="N49" s="12">
        <f>Table1[[#This Row],[Trip Hours]]*Table1[[#This Row],['#Angler]]</f>
        <v>7.1000000000000032</v>
      </c>
      <c r="O49" t="s">
        <v>342</v>
      </c>
      <c r="Q49" t="s">
        <v>343</v>
      </c>
      <c r="R49" s="11">
        <v>0</v>
      </c>
      <c r="S49">
        <v>0</v>
      </c>
      <c r="T49">
        <v>1</v>
      </c>
      <c r="U49">
        <v>0</v>
      </c>
      <c r="V49" s="11">
        <v>0</v>
      </c>
      <c r="W49">
        <v>0</v>
      </c>
      <c r="X49">
        <v>0</v>
      </c>
      <c r="Y49">
        <v>0</v>
      </c>
      <c r="Z49" s="11">
        <f>SUM(Table1[[#This Row],[Chi Kept]],Table1[[#This Row],[Chi Released]])</f>
        <v>0</v>
      </c>
      <c r="AA49">
        <f>SUM(Table1[[#This Row],[Co Kept]],Table1[[#This Row],[Co Released ]])</f>
        <v>0</v>
      </c>
      <c r="AB49">
        <f>SUM(Table1[[#This Row],[Pink Kept]],Table1[[#This Row],[Pink Released]])</f>
        <v>1</v>
      </c>
      <c r="AC49">
        <f>SUM(Table1[[#This Row],[Chu Kept]],Table1[[#This Row],[Chu Released]])</f>
        <v>0</v>
      </c>
    </row>
    <row r="50" spans="1:31" x14ac:dyDescent="0.3">
      <c r="A50" s="7">
        <v>45891</v>
      </c>
      <c r="B50">
        <v>1</v>
      </c>
      <c r="C50" t="s">
        <v>236</v>
      </c>
      <c r="D50" t="s">
        <v>26</v>
      </c>
      <c r="E50">
        <v>8</v>
      </c>
      <c r="F50">
        <v>1</v>
      </c>
      <c r="G50">
        <v>1</v>
      </c>
      <c r="H50" t="s">
        <v>344</v>
      </c>
      <c r="I50">
        <v>4</v>
      </c>
      <c r="J50" s="10">
        <v>0.25</v>
      </c>
      <c r="K50" s="10">
        <v>0.43888888888888888</v>
      </c>
      <c r="L50" s="10">
        <f t="shared" si="1"/>
        <v>0.18888888888888888</v>
      </c>
      <c r="M50" s="12">
        <f t="shared" si="0"/>
        <v>4.5333333333333332</v>
      </c>
      <c r="N50" s="12">
        <f>Table1[[#This Row],[Trip Hours]]*Table1[[#This Row],['#Angler]]</f>
        <v>18.133333333333333</v>
      </c>
      <c r="O50" t="s">
        <v>342</v>
      </c>
      <c r="P50" t="s">
        <v>29</v>
      </c>
      <c r="Q50" t="s">
        <v>343</v>
      </c>
      <c r="R50" s="11">
        <v>0</v>
      </c>
      <c r="S50">
        <v>0</v>
      </c>
      <c r="T50">
        <v>13</v>
      </c>
      <c r="U50">
        <v>0</v>
      </c>
      <c r="V50" s="11">
        <v>0</v>
      </c>
      <c r="W50">
        <v>0</v>
      </c>
      <c r="X50">
        <v>0</v>
      </c>
      <c r="Y50">
        <v>0</v>
      </c>
      <c r="Z50" s="11">
        <f>SUM(Table1[[#This Row],[Chi Kept]],Table1[[#This Row],[Chi Released]])</f>
        <v>0</v>
      </c>
      <c r="AA50">
        <f>SUM(Table1[[#This Row],[Co Kept]],Table1[[#This Row],[Co Released ]])</f>
        <v>0</v>
      </c>
      <c r="AB50">
        <f>SUM(Table1[[#This Row],[Pink Kept]],Table1[[#This Row],[Pink Released]])</f>
        <v>13</v>
      </c>
      <c r="AC50">
        <f>SUM(Table1[[#This Row],[Chu Kept]],Table1[[#This Row],[Chu Released]])</f>
        <v>0</v>
      </c>
    </row>
    <row r="51" spans="1:31" x14ac:dyDescent="0.3">
      <c r="A51" s="7">
        <v>45891</v>
      </c>
      <c r="B51">
        <v>1</v>
      </c>
      <c r="C51" t="s">
        <v>236</v>
      </c>
      <c r="D51" t="s">
        <v>26</v>
      </c>
      <c r="E51">
        <v>9</v>
      </c>
      <c r="F51">
        <v>2</v>
      </c>
      <c r="G51">
        <v>4</v>
      </c>
      <c r="H51" t="s">
        <v>241</v>
      </c>
      <c r="I51">
        <v>1</v>
      </c>
      <c r="J51" s="10">
        <v>0.65625</v>
      </c>
      <c r="K51" s="10">
        <v>0.7</v>
      </c>
      <c r="L51" s="10">
        <f t="shared" si="1"/>
        <v>4.3749999999999956E-2</v>
      </c>
      <c r="M51" s="12">
        <f t="shared" si="0"/>
        <v>1.0499999999999989</v>
      </c>
      <c r="N51" s="12">
        <f>Table1[[#This Row],[Trip Hours]]*Table1[[#This Row],['#Angler]]</f>
        <v>1.0499999999999989</v>
      </c>
      <c r="O51" t="s">
        <v>342</v>
      </c>
      <c r="R51" s="11">
        <v>0</v>
      </c>
      <c r="S51">
        <v>0</v>
      </c>
      <c r="T51">
        <v>0</v>
      </c>
      <c r="U51">
        <v>0</v>
      </c>
      <c r="V51" s="11">
        <v>0</v>
      </c>
      <c r="W51">
        <v>0</v>
      </c>
      <c r="X51">
        <v>0</v>
      </c>
      <c r="Y51">
        <v>0</v>
      </c>
      <c r="Z51" s="11">
        <f>SUM(Table1[[#This Row],[Chi Kept]],Table1[[#This Row],[Chi Released]])</f>
        <v>0</v>
      </c>
      <c r="AA51">
        <f>SUM(Table1[[#This Row],[Co Kept]],Table1[[#This Row],[Co Released ]])</f>
        <v>0</v>
      </c>
      <c r="AB51">
        <f>SUM(Table1[[#This Row],[Pink Kept]],Table1[[#This Row],[Pink Released]])</f>
        <v>0</v>
      </c>
      <c r="AC51">
        <f>SUM(Table1[[#This Row],[Chu Kept]],Table1[[#This Row],[Chu Released]])</f>
        <v>0</v>
      </c>
    </row>
    <row r="52" spans="1:31" x14ac:dyDescent="0.3">
      <c r="A52" s="7">
        <v>45891</v>
      </c>
      <c r="B52">
        <v>1</v>
      </c>
      <c r="C52" t="s">
        <v>236</v>
      </c>
      <c r="D52" t="s">
        <v>42</v>
      </c>
      <c r="E52">
        <v>10</v>
      </c>
      <c r="F52">
        <v>1</v>
      </c>
      <c r="G52">
        <v>4</v>
      </c>
      <c r="H52" t="s">
        <v>241</v>
      </c>
      <c r="I52">
        <v>1</v>
      </c>
      <c r="J52" s="10">
        <v>0.70833333333333337</v>
      </c>
      <c r="K52" s="10">
        <v>0.79652777777777772</v>
      </c>
      <c r="L52" s="10">
        <f t="shared" si="1"/>
        <v>8.8194444444444353E-2</v>
      </c>
      <c r="M52" s="12">
        <f t="shared" si="0"/>
        <v>2.1166666666666645</v>
      </c>
      <c r="N52" s="12">
        <f>Table1[[#This Row],[Trip Hours]]*Table1[[#This Row],['#Angler]]</f>
        <v>2.1166666666666645</v>
      </c>
      <c r="O52" t="s">
        <v>349</v>
      </c>
      <c r="R52" s="11">
        <v>0</v>
      </c>
      <c r="S52">
        <v>0</v>
      </c>
      <c r="T52">
        <v>0</v>
      </c>
      <c r="U52">
        <v>0</v>
      </c>
      <c r="V52" s="11">
        <v>0</v>
      </c>
      <c r="W52">
        <v>0</v>
      </c>
      <c r="X52">
        <v>0</v>
      </c>
      <c r="Y52">
        <v>0</v>
      </c>
      <c r="Z52" s="11">
        <f>SUM(Table1[[#This Row],[Chi Kept]],Table1[[#This Row],[Chi Released]])</f>
        <v>0</v>
      </c>
      <c r="AA52">
        <f>SUM(Table1[[#This Row],[Co Kept]],Table1[[#This Row],[Co Released ]])</f>
        <v>0</v>
      </c>
      <c r="AB52">
        <f>SUM(Table1[[#This Row],[Pink Kept]],Table1[[#This Row],[Pink Released]])</f>
        <v>0</v>
      </c>
      <c r="AC52">
        <f>SUM(Table1[[#This Row],[Chu Kept]],Table1[[#This Row],[Chu Released]])</f>
        <v>0</v>
      </c>
    </row>
    <row r="53" spans="1:31" x14ac:dyDescent="0.3">
      <c r="A53" s="7">
        <v>45891</v>
      </c>
      <c r="B53">
        <v>1</v>
      </c>
      <c r="C53" t="s">
        <v>236</v>
      </c>
      <c r="D53" t="s">
        <v>42</v>
      </c>
      <c r="E53">
        <v>11</v>
      </c>
      <c r="F53">
        <v>1</v>
      </c>
      <c r="G53">
        <v>1</v>
      </c>
      <c r="H53" t="s">
        <v>344</v>
      </c>
      <c r="I53">
        <v>1</v>
      </c>
      <c r="J53" s="10">
        <v>0.625</v>
      </c>
      <c r="K53" s="10">
        <v>0.83333333333333337</v>
      </c>
      <c r="L53" s="10">
        <f t="shared" si="1"/>
        <v>0.20833333333333337</v>
      </c>
      <c r="M53" s="12">
        <f t="shared" si="0"/>
        <v>5.0000000000000009</v>
      </c>
      <c r="N53" s="12">
        <f>Table1[[#This Row],[Trip Hours]]*Table1[[#This Row],['#Angler]]</f>
        <v>5.0000000000000009</v>
      </c>
      <c r="O53" t="s">
        <v>342</v>
      </c>
      <c r="P53" t="s">
        <v>307</v>
      </c>
      <c r="Q53" t="s">
        <v>247</v>
      </c>
      <c r="R53" s="11">
        <v>0</v>
      </c>
      <c r="S53">
        <v>0</v>
      </c>
      <c r="T53">
        <v>0</v>
      </c>
      <c r="U53">
        <v>0</v>
      </c>
      <c r="V53" s="11">
        <v>0</v>
      </c>
      <c r="W53">
        <v>0</v>
      </c>
      <c r="X53">
        <v>2</v>
      </c>
      <c r="Y53">
        <v>0</v>
      </c>
      <c r="Z53" s="11">
        <f>SUM(Table1[[#This Row],[Chi Kept]],Table1[[#This Row],[Chi Released]])</f>
        <v>0</v>
      </c>
      <c r="AA53">
        <f>SUM(Table1[[#This Row],[Co Kept]],Table1[[#This Row],[Co Released ]])</f>
        <v>0</v>
      </c>
      <c r="AB53">
        <f>SUM(Table1[[#This Row],[Pink Kept]],Table1[[#This Row],[Pink Released]])</f>
        <v>2</v>
      </c>
      <c r="AC53">
        <f>SUM(Table1[[#This Row],[Chu Kept]],Table1[[#This Row],[Chu Released]])</f>
        <v>0</v>
      </c>
    </row>
    <row r="54" spans="1:31" x14ac:dyDescent="0.3">
      <c r="A54" s="7">
        <v>45891</v>
      </c>
      <c r="B54">
        <v>1</v>
      </c>
      <c r="C54" t="s">
        <v>236</v>
      </c>
      <c r="D54" t="s">
        <v>42</v>
      </c>
      <c r="E54">
        <v>12</v>
      </c>
      <c r="F54">
        <v>1</v>
      </c>
      <c r="G54">
        <v>1</v>
      </c>
      <c r="H54" t="s">
        <v>344</v>
      </c>
      <c r="I54">
        <v>1</v>
      </c>
      <c r="J54" s="10">
        <v>0.6875</v>
      </c>
      <c r="K54" s="10">
        <v>0.83680555555555558</v>
      </c>
      <c r="L54" s="10">
        <f t="shared" si="1"/>
        <v>0.14930555555555558</v>
      </c>
      <c r="M54" s="12">
        <f t="shared" si="0"/>
        <v>3.5833333333333339</v>
      </c>
      <c r="N54" s="12">
        <f>Table1[[#This Row],[Trip Hours]]*Table1[[#This Row],['#Angler]]</f>
        <v>3.5833333333333339</v>
      </c>
      <c r="O54" t="s">
        <v>342</v>
      </c>
      <c r="P54" t="s">
        <v>307</v>
      </c>
      <c r="Q54" t="s">
        <v>247</v>
      </c>
      <c r="R54" s="11">
        <v>0</v>
      </c>
      <c r="S54">
        <v>1</v>
      </c>
      <c r="T54">
        <v>0</v>
      </c>
      <c r="U54">
        <v>0</v>
      </c>
      <c r="V54" s="11">
        <v>1</v>
      </c>
      <c r="W54">
        <v>0</v>
      </c>
      <c r="X54">
        <v>1</v>
      </c>
      <c r="Y54">
        <v>0</v>
      </c>
      <c r="Z54" s="11">
        <f>SUM(Table1[[#This Row],[Chi Kept]],Table1[[#This Row],[Chi Released]])</f>
        <v>1</v>
      </c>
      <c r="AA54">
        <f>SUM(Table1[[#This Row],[Co Kept]],Table1[[#This Row],[Co Released ]])</f>
        <v>1</v>
      </c>
      <c r="AB54">
        <f>SUM(Table1[[#This Row],[Pink Kept]],Table1[[#This Row],[Pink Released]])</f>
        <v>1</v>
      </c>
      <c r="AC54">
        <f>SUM(Table1[[#This Row],[Chu Kept]],Table1[[#This Row],[Chu Released]])</f>
        <v>0</v>
      </c>
    </row>
    <row r="55" spans="1:31" x14ac:dyDescent="0.3">
      <c r="A55" s="7">
        <v>45891</v>
      </c>
      <c r="B55">
        <v>1</v>
      </c>
      <c r="C55" t="s">
        <v>236</v>
      </c>
      <c r="D55" t="s">
        <v>42</v>
      </c>
      <c r="E55">
        <v>13</v>
      </c>
      <c r="F55">
        <v>1</v>
      </c>
      <c r="G55">
        <v>1</v>
      </c>
      <c r="H55" t="s">
        <v>344</v>
      </c>
      <c r="I55">
        <v>5</v>
      </c>
      <c r="J55" s="10">
        <v>0.66666666666666663</v>
      </c>
      <c r="K55" s="10">
        <v>0.83888888888888891</v>
      </c>
      <c r="L55" s="10">
        <f t="shared" si="1"/>
        <v>0.17222222222222228</v>
      </c>
      <c r="M55" s="12">
        <f t="shared" si="0"/>
        <v>4.1333333333333346</v>
      </c>
      <c r="N55" s="12">
        <f>Table1[[#This Row],[Trip Hours]]*Table1[[#This Row],['#Angler]]</f>
        <v>20.666666666666671</v>
      </c>
      <c r="O55" t="s">
        <v>342</v>
      </c>
      <c r="Q55" t="s">
        <v>343</v>
      </c>
      <c r="R55" s="11">
        <v>0</v>
      </c>
      <c r="S55">
        <v>0</v>
      </c>
      <c r="T55">
        <v>14</v>
      </c>
      <c r="U55">
        <v>0</v>
      </c>
      <c r="V55" s="11">
        <v>0</v>
      </c>
      <c r="W55">
        <v>0</v>
      </c>
      <c r="X55">
        <v>20</v>
      </c>
      <c r="Y55">
        <v>0</v>
      </c>
      <c r="Z55" s="11">
        <f>SUM(Table1[[#This Row],[Chi Kept]],Table1[[#This Row],[Chi Released]])</f>
        <v>0</v>
      </c>
      <c r="AA55">
        <f>SUM(Table1[[#This Row],[Co Kept]],Table1[[#This Row],[Co Released ]])</f>
        <v>0</v>
      </c>
      <c r="AB55">
        <f>SUM(Table1[[#This Row],[Pink Kept]],Table1[[#This Row],[Pink Released]])</f>
        <v>34</v>
      </c>
      <c r="AC55">
        <f>SUM(Table1[[#This Row],[Chu Kept]],Table1[[#This Row],[Chu Released]])</f>
        <v>0</v>
      </c>
    </row>
    <row r="56" spans="1:31" x14ac:dyDescent="0.3">
      <c r="A56" s="7">
        <v>45891</v>
      </c>
      <c r="B56">
        <v>1</v>
      </c>
      <c r="C56" t="s">
        <v>236</v>
      </c>
      <c r="D56" t="s">
        <v>42</v>
      </c>
      <c r="E56">
        <v>14</v>
      </c>
      <c r="F56">
        <v>1</v>
      </c>
      <c r="G56">
        <v>1</v>
      </c>
      <c r="H56" t="s">
        <v>344</v>
      </c>
      <c r="I56">
        <v>3</v>
      </c>
      <c r="J56" s="10">
        <v>0.625</v>
      </c>
      <c r="K56" s="10">
        <v>0.83888888888888891</v>
      </c>
      <c r="L56" s="10">
        <f t="shared" si="1"/>
        <v>0.21388888888888891</v>
      </c>
      <c r="M56" s="12">
        <f t="shared" si="0"/>
        <v>5.1333333333333337</v>
      </c>
      <c r="N56" s="12">
        <f>Table1[[#This Row],[Trip Hours]]*Table1[[#This Row],['#Angler]]</f>
        <v>15.400000000000002</v>
      </c>
      <c r="O56" t="s">
        <v>342</v>
      </c>
      <c r="Q56" t="s">
        <v>343</v>
      </c>
      <c r="R56" s="11">
        <v>0</v>
      </c>
      <c r="S56">
        <v>0</v>
      </c>
      <c r="T56">
        <v>9</v>
      </c>
      <c r="U56">
        <v>0</v>
      </c>
      <c r="V56" s="11">
        <v>0</v>
      </c>
      <c r="W56">
        <v>0</v>
      </c>
      <c r="X56">
        <v>0</v>
      </c>
      <c r="Y56">
        <v>0</v>
      </c>
      <c r="Z56" s="11">
        <f>SUM(Table1[[#This Row],[Chi Kept]],Table1[[#This Row],[Chi Released]])</f>
        <v>0</v>
      </c>
      <c r="AA56">
        <f>SUM(Table1[[#This Row],[Co Kept]],Table1[[#This Row],[Co Released ]])</f>
        <v>0</v>
      </c>
      <c r="AB56">
        <f>SUM(Table1[[#This Row],[Pink Kept]],Table1[[#This Row],[Pink Released]])</f>
        <v>9</v>
      </c>
      <c r="AC56">
        <f>SUM(Table1[[#This Row],[Chu Kept]],Table1[[#This Row],[Chu Released]])</f>
        <v>0</v>
      </c>
    </row>
    <row r="57" spans="1:31" x14ac:dyDescent="0.3">
      <c r="A57" s="7">
        <v>45891</v>
      </c>
      <c r="B57">
        <v>1</v>
      </c>
      <c r="C57" t="s">
        <v>236</v>
      </c>
      <c r="D57" t="s">
        <v>42</v>
      </c>
      <c r="E57">
        <v>15</v>
      </c>
      <c r="F57">
        <v>2</v>
      </c>
      <c r="G57">
        <v>2</v>
      </c>
      <c r="H57" t="s">
        <v>241</v>
      </c>
      <c r="I57">
        <v>1</v>
      </c>
      <c r="J57" s="10">
        <v>0.29166666666666669</v>
      </c>
      <c r="K57" s="10">
        <v>0.6875</v>
      </c>
      <c r="L57" s="10">
        <f t="shared" si="1"/>
        <v>0.39583333333333331</v>
      </c>
      <c r="M57" s="12">
        <f t="shared" si="0"/>
        <v>9.5</v>
      </c>
      <c r="N57" s="12">
        <f>Table1[[#This Row],[Trip Hours]]*Table1[[#This Row],['#Angler]]</f>
        <v>9.5</v>
      </c>
      <c r="O57" t="s">
        <v>342</v>
      </c>
      <c r="P57" t="s">
        <v>350</v>
      </c>
      <c r="Q57" t="s">
        <v>343</v>
      </c>
      <c r="R57" s="11">
        <v>0</v>
      </c>
      <c r="S57">
        <v>0</v>
      </c>
      <c r="T57">
        <v>0</v>
      </c>
      <c r="U57">
        <v>0</v>
      </c>
      <c r="V57" s="11">
        <v>6</v>
      </c>
      <c r="W57">
        <v>0</v>
      </c>
      <c r="X57">
        <v>0</v>
      </c>
      <c r="Y57">
        <v>0</v>
      </c>
      <c r="Z57" s="11">
        <f>SUM(Table1[[#This Row],[Chi Kept]],Table1[[#This Row],[Chi Released]])</f>
        <v>6</v>
      </c>
      <c r="AA57">
        <f>SUM(Table1[[#This Row],[Co Kept]],Table1[[#This Row],[Co Released ]])</f>
        <v>0</v>
      </c>
      <c r="AB57">
        <f>SUM(Table1[[#This Row],[Pink Kept]],Table1[[#This Row],[Pink Released]])</f>
        <v>0</v>
      </c>
      <c r="AC57">
        <f>SUM(Table1[[#This Row],[Chu Kept]],Table1[[#This Row],[Chu Released]])</f>
        <v>0</v>
      </c>
      <c r="AE57" t="s">
        <v>351</v>
      </c>
    </row>
    <row r="58" spans="1:31" x14ac:dyDescent="0.3">
      <c r="A58" s="7">
        <v>45892</v>
      </c>
      <c r="B58">
        <v>1</v>
      </c>
      <c r="C58" t="s">
        <v>250</v>
      </c>
      <c r="D58" t="s">
        <v>26</v>
      </c>
      <c r="E58">
        <v>1</v>
      </c>
      <c r="F58">
        <v>2</v>
      </c>
      <c r="G58">
        <v>3</v>
      </c>
      <c r="H58" t="s">
        <v>241</v>
      </c>
      <c r="I58">
        <v>2</v>
      </c>
      <c r="J58" s="10">
        <v>0.22916666666666666</v>
      </c>
      <c r="K58" s="10">
        <v>0.2986111111111111</v>
      </c>
      <c r="L58" s="10">
        <f t="shared" si="1"/>
        <v>6.9444444444444448E-2</v>
      </c>
      <c r="M58" s="12">
        <f t="shared" si="0"/>
        <v>1.6666666666666667</v>
      </c>
      <c r="N58" s="12">
        <f>Table1[[#This Row],[Trip Hours]]*Table1[[#This Row],['#Angler]]</f>
        <v>3.3333333333333335</v>
      </c>
      <c r="O58" t="s">
        <v>349</v>
      </c>
      <c r="Q58" t="s">
        <v>247</v>
      </c>
      <c r="R58" s="11">
        <v>0</v>
      </c>
      <c r="S58">
        <v>0</v>
      </c>
      <c r="T58">
        <v>0</v>
      </c>
      <c r="U58">
        <v>0</v>
      </c>
      <c r="V58" s="11">
        <v>0</v>
      </c>
      <c r="W58">
        <v>0</v>
      </c>
      <c r="X58">
        <v>0</v>
      </c>
      <c r="Y58">
        <v>0</v>
      </c>
      <c r="Z58" s="11">
        <f>SUM(Table1[[#This Row],[Chi Kept]],Table1[[#This Row],[Chi Released]])</f>
        <v>0</v>
      </c>
      <c r="AA58">
        <f>SUM(Table1[[#This Row],[Co Kept]],Table1[[#This Row],[Co Released ]])</f>
        <v>0</v>
      </c>
      <c r="AB58">
        <f>SUM(Table1[[#This Row],[Pink Kept]],Table1[[#This Row],[Pink Released]])</f>
        <v>0</v>
      </c>
      <c r="AC58">
        <f>SUM(Table1[[#This Row],[Chu Kept]],Table1[[#This Row],[Chu Released]])</f>
        <v>0</v>
      </c>
    </row>
    <row r="59" spans="1:31" x14ac:dyDescent="0.3">
      <c r="A59" s="7">
        <v>45892</v>
      </c>
      <c r="B59">
        <v>1</v>
      </c>
      <c r="C59" t="s">
        <v>250</v>
      </c>
      <c r="D59" t="s">
        <v>26</v>
      </c>
      <c r="E59">
        <v>2</v>
      </c>
      <c r="F59">
        <v>2</v>
      </c>
      <c r="G59">
        <v>2</v>
      </c>
      <c r="H59" t="s">
        <v>241</v>
      </c>
      <c r="I59">
        <v>2</v>
      </c>
      <c r="J59" s="10">
        <v>0.25</v>
      </c>
      <c r="K59" s="10">
        <v>0.32361111111111113</v>
      </c>
      <c r="L59" s="10">
        <f t="shared" si="1"/>
        <v>7.3611111111111127E-2</v>
      </c>
      <c r="M59" s="12">
        <f t="shared" si="0"/>
        <v>1.7666666666666671</v>
      </c>
      <c r="N59" s="12">
        <f>Table1[[#This Row],[Trip Hours]]*Table1[[#This Row],['#Angler]]</f>
        <v>3.5333333333333341</v>
      </c>
      <c r="O59" t="s">
        <v>349</v>
      </c>
      <c r="P59" t="s">
        <v>148</v>
      </c>
      <c r="R59" s="11">
        <v>0</v>
      </c>
      <c r="S59">
        <v>0</v>
      </c>
      <c r="T59">
        <v>0</v>
      </c>
      <c r="U59">
        <v>0</v>
      </c>
      <c r="V59" s="11">
        <v>0</v>
      </c>
      <c r="W59">
        <v>0</v>
      </c>
      <c r="X59">
        <v>0</v>
      </c>
      <c r="Y59">
        <v>0</v>
      </c>
      <c r="Z59" s="11">
        <f>SUM(Table1[[#This Row],[Chi Kept]],Table1[[#This Row],[Chi Released]])</f>
        <v>0</v>
      </c>
      <c r="AA59">
        <f>SUM(Table1[[#This Row],[Co Kept]],Table1[[#This Row],[Co Released ]])</f>
        <v>0</v>
      </c>
      <c r="AB59">
        <f>SUM(Table1[[#This Row],[Pink Kept]],Table1[[#This Row],[Pink Released]])</f>
        <v>0</v>
      </c>
      <c r="AC59">
        <f>SUM(Table1[[#This Row],[Chu Kept]],Table1[[#This Row],[Chu Released]])</f>
        <v>0</v>
      </c>
    </row>
    <row r="60" spans="1:31" x14ac:dyDescent="0.3">
      <c r="A60" s="7">
        <v>45892</v>
      </c>
      <c r="B60">
        <v>1</v>
      </c>
      <c r="C60" t="s">
        <v>250</v>
      </c>
      <c r="D60" t="s">
        <v>26</v>
      </c>
      <c r="E60">
        <v>3</v>
      </c>
      <c r="F60">
        <v>2</v>
      </c>
      <c r="G60">
        <v>2</v>
      </c>
      <c r="H60" t="s">
        <v>241</v>
      </c>
      <c r="I60">
        <v>1</v>
      </c>
      <c r="J60" s="10">
        <v>0.3263888888888889</v>
      </c>
      <c r="K60" s="10">
        <v>0.3298611111111111</v>
      </c>
      <c r="L60" s="10">
        <f t="shared" si="1"/>
        <v>3.4722222222222099E-3</v>
      </c>
      <c r="M60" s="12">
        <f t="shared" si="0"/>
        <v>8.3333333333333037E-2</v>
      </c>
      <c r="N60" s="12">
        <f>Table1[[#This Row],[Trip Hours]]*Table1[[#This Row],['#Angler]]</f>
        <v>8.3333333333333037E-2</v>
      </c>
      <c r="O60" t="s">
        <v>349</v>
      </c>
      <c r="P60" t="s">
        <v>73</v>
      </c>
      <c r="Q60" t="s">
        <v>343</v>
      </c>
      <c r="R60" s="11">
        <v>0</v>
      </c>
      <c r="S60">
        <v>0</v>
      </c>
      <c r="T60">
        <v>0</v>
      </c>
      <c r="U60">
        <v>0</v>
      </c>
      <c r="V60" s="11">
        <v>0</v>
      </c>
      <c r="W60">
        <v>0</v>
      </c>
      <c r="X60">
        <v>0</v>
      </c>
      <c r="Y60">
        <v>0</v>
      </c>
      <c r="Z60" s="11">
        <f>SUM(Table1[[#This Row],[Chi Kept]],Table1[[#This Row],[Chi Released]])</f>
        <v>0</v>
      </c>
      <c r="AA60">
        <f>SUM(Table1[[#This Row],[Co Kept]],Table1[[#This Row],[Co Released ]])</f>
        <v>0</v>
      </c>
      <c r="AB60">
        <f>SUM(Table1[[#This Row],[Pink Kept]],Table1[[#This Row],[Pink Released]])</f>
        <v>0</v>
      </c>
      <c r="AC60">
        <f>SUM(Table1[[#This Row],[Chu Kept]],Table1[[#This Row],[Chu Released]])</f>
        <v>0</v>
      </c>
    </row>
    <row r="61" spans="1:31" x14ac:dyDescent="0.3">
      <c r="A61" s="7">
        <v>45892</v>
      </c>
      <c r="B61">
        <v>1</v>
      </c>
      <c r="C61" t="s">
        <v>250</v>
      </c>
      <c r="D61" t="s">
        <v>26</v>
      </c>
      <c r="E61">
        <v>4</v>
      </c>
      <c r="F61">
        <v>2</v>
      </c>
      <c r="G61">
        <v>2</v>
      </c>
      <c r="H61" t="s">
        <v>241</v>
      </c>
      <c r="I61">
        <v>1</v>
      </c>
      <c r="J61" s="10">
        <v>0.24305555555555555</v>
      </c>
      <c r="K61" s="10">
        <v>0.33333333333333331</v>
      </c>
      <c r="L61" s="10">
        <f t="shared" si="1"/>
        <v>9.0277777777777762E-2</v>
      </c>
      <c r="M61" s="12">
        <f t="shared" si="0"/>
        <v>2.1666666666666661</v>
      </c>
      <c r="N61" s="12">
        <f>Table1[[#This Row],[Trip Hours]]*Table1[[#This Row],['#Angler]]</f>
        <v>2.1666666666666661</v>
      </c>
      <c r="O61" t="s">
        <v>342</v>
      </c>
      <c r="Q61" t="s">
        <v>343</v>
      </c>
      <c r="R61" s="11">
        <v>0</v>
      </c>
      <c r="S61">
        <v>0</v>
      </c>
      <c r="T61">
        <v>0</v>
      </c>
      <c r="U61">
        <v>0</v>
      </c>
      <c r="V61" s="11">
        <v>0</v>
      </c>
      <c r="W61">
        <v>0</v>
      </c>
      <c r="X61">
        <v>0</v>
      </c>
      <c r="Y61">
        <v>0</v>
      </c>
      <c r="Z61" s="11">
        <f>SUM(Table1[[#This Row],[Chi Kept]],Table1[[#This Row],[Chi Released]])</f>
        <v>0</v>
      </c>
      <c r="AA61">
        <f>SUM(Table1[[#This Row],[Co Kept]],Table1[[#This Row],[Co Released ]])</f>
        <v>0</v>
      </c>
      <c r="AB61">
        <f>SUM(Table1[[#This Row],[Pink Kept]],Table1[[#This Row],[Pink Released]])</f>
        <v>0</v>
      </c>
      <c r="AC61">
        <f>SUM(Table1[[#This Row],[Chu Kept]],Table1[[#This Row],[Chu Released]])</f>
        <v>0</v>
      </c>
    </row>
    <row r="62" spans="1:31" x14ac:dyDescent="0.3">
      <c r="A62" s="7">
        <v>45892</v>
      </c>
      <c r="B62">
        <v>1</v>
      </c>
      <c r="C62" t="s">
        <v>250</v>
      </c>
      <c r="D62" t="s">
        <v>26</v>
      </c>
      <c r="E62">
        <v>5</v>
      </c>
      <c r="F62">
        <v>2</v>
      </c>
      <c r="G62">
        <v>2</v>
      </c>
      <c r="H62" t="s">
        <v>241</v>
      </c>
      <c r="I62">
        <v>1</v>
      </c>
      <c r="J62" s="10">
        <v>0.27083333333333331</v>
      </c>
      <c r="K62" s="10">
        <v>0.33680555555555558</v>
      </c>
      <c r="L62" s="10">
        <f t="shared" si="1"/>
        <v>6.5972222222222265E-2</v>
      </c>
      <c r="M62" s="12">
        <f t="shared" si="0"/>
        <v>1.5833333333333344</v>
      </c>
      <c r="N62" s="12">
        <f>Table1[[#This Row],[Trip Hours]]*Table1[[#This Row],['#Angler]]</f>
        <v>1.5833333333333344</v>
      </c>
      <c r="O62" t="s">
        <v>349</v>
      </c>
      <c r="P62" t="s">
        <v>29</v>
      </c>
      <c r="Q62" t="s">
        <v>343</v>
      </c>
      <c r="R62" s="11">
        <v>0</v>
      </c>
      <c r="S62">
        <v>0</v>
      </c>
      <c r="T62">
        <v>1</v>
      </c>
      <c r="U62">
        <v>0</v>
      </c>
      <c r="V62" s="11">
        <v>0</v>
      </c>
      <c r="W62">
        <v>0</v>
      </c>
      <c r="X62">
        <v>0</v>
      </c>
      <c r="Y62">
        <v>0</v>
      </c>
      <c r="Z62" s="11">
        <f>SUM(Table1[[#This Row],[Chi Kept]],Table1[[#This Row],[Chi Released]])</f>
        <v>0</v>
      </c>
      <c r="AA62">
        <f>SUM(Table1[[#This Row],[Co Kept]],Table1[[#This Row],[Co Released ]])</f>
        <v>0</v>
      </c>
      <c r="AB62">
        <f>SUM(Table1[[#This Row],[Pink Kept]],Table1[[#This Row],[Pink Released]])</f>
        <v>1</v>
      </c>
      <c r="AC62">
        <f>SUM(Table1[[#This Row],[Chu Kept]],Table1[[#This Row],[Chu Released]])</f>
        <v>0</v>
      </c>
    </row>
    <row r="63" spans="1:31" x14ac:dyDescent="0.3">
      <c r="A63" s="7">
        <v>45892</v>
      </c>
      <c r="B63">
        <v>1</v>
      </c>
      <c r="C63" t="s">
        <v>250</v>
      </c>
      <c r="D63" t="s">
        <v>26</v>
      </c>
      <c r="E63">
        <v>6</v>
      </c>
      <c r="F63">
        <v>2</v>
      </c>
      <c r="G63">
        <v>2</v>
      </c>
      <c r="H63" t="s">
        <v>241</v>
      </c>
      <c r="I63">
        <v>1</v>
      </c>
      <c r="J63" s="10">
        <v>0.3298611111111111</v>
      </c>
      <c r="K63" s="10">
        <v>0.33819444444444446</v>
      </c>
      <c r="L63" s="10">
        <f t="shared" si="1"/>
        <v>8.3333333333333592E-3</v>
      </c>
      <c r="M63" s="12">
        <f t="shared" si="0"/>
        <v>0.20000000000000062</v>
      </c>
      <c r="N63" s="12">
        <f>Table1[[#This Row],[Trip Hours]]*Table1[[#This Row],['#Angler]]</f>
        <v>0.20000000000000062</v>
      </c>
      <c r="O63" t="s">
        <v>349</v>
      </c>
      <c r="P63" t="s">
        <v>29</v>
      </c>
      <c r="Q63" t="s">
        <v>343</v>
      </c>
      <c r="R63" s="11">
        <v>0</v>
      </c>
      <c r="S63">
        <v>0</v>
      </c>
      <c r="T63">
        <v>0</v>
      </c>
      <c r="U63">
        <v>0</v>
      </c>
      <c r="V63" s="11">
        <v>0</v>
      </c>
      <c r="W63">
        <v>0</v>
      </c>
      <c r="X63">
        <v>0</v>
      </c>
      <c r="Y63">
        <v>0</v>
      </c>
      <c r="Z63" s="11">
        <f>SUM(Table1[[#This Row],[Chi Kept]],Table1[[#This Row],[Chi Released]])</f>
        <v>0</v>
      </c>
      <c r="AA63">
        <f>SUM(Table1[[#This Row],[Co Kept]],Table1[[#This Row],[Co Released ]])</f>
        <v>0</v>
      </c>
      <c r="AB63">
        <f>SUM(Table1[[#This Row],[Pink Kept]],Table1[[#This Row],[Pink Released]])</f>
        <v>0</v>
      </c>
      <c r="AC63">
        <f>SUM(Table1[[#This Row],[Chu Kept]],Table1[[#This Row],[Chu Released]])</f>
        <v>0</v>
      </c>
    </row>
    <row r="64" spans="1:31" x14ac:dyDescent="0.3">
      <c r="A64" s="7">
        <v>45892</v>
      </c>
      <c r="B64">
        <v>1</v>
      </c>
      <c r="C64" t="s">
        <v>250</v>
      </c>
      <c r="D64" t="s">
        <v>26</v>
      </c>
      <c r="E64">
        <v>7</v>
      </c>
      <c r="F64">
        <v>2</v>
      </c>
      <c r="G64">
        <v>2</v>
      </c>
      <c r="H64" t="s">
        <v>241</v>
      </c>
      <c r="I64">
        <v>3</v>
      </c>
      <c r="J64" s="10">
        <v>0.3125</v>
      </c>
      <c r="K64" s="10">
        <v>0.35208333333333336</v>
      </c>
      <c r="L64" s="10">
        <f t="shared" si="1"/>
        <v>3.9583333333333359E-2</v>
      </c>
      <c r="M64" s="12">
        <f t="shared" si="0"/>
        <v>0.95000000000000062</v>
      </c>
      <c r="N64" s="12">
        <f>Table1[[#This Row],[Trip Hours]]*Table1[[#This Row],['#Angler]]</f>
        <v>2.8500000000000019</v>
      </c>
      <c r="O64" t="s">
        <v>349</v>
      </c>
      <c r="P64" t="s">
        <v>350</v>
      </c>
      <c r="Q64" t="s">
        <v>343</v>
      </c>
      <c r="R64" s="11">
        <v>0</v>
      </c>
      <c r="S64">
        <v>0</v>
      </c>
      <c r="T64">
        <v>0</v>
      </c>
      <c r="U64">
        <v>0</v>
      </c>
      <c r="V64" s="11">
        <v>0</v>
      </c>
      <c r="W64">
        <v>0</v>
      </c>
      <c r="X64">
        <v>0</v>
      </c>
      <c r="Y64">
        <v>0</v>
      </c>
      <c r="Z64" s="11">
        <f>SUM(Table1[[#This Row],[Chi Kept]],Table1[[#This Row],[Chi Released]])</f>
        <v>0</v>
      </c>
      <c r="AA64">
        <f>SUM(Table1[[#This Row],[Co Kept]],Table1[[#This Row],[Co Released ]])</f>
        <v>0</v>
      </c>
      <c r="AB64">
        <f>SUM(Table1[[#This Row],[Pink Kept]],Table1[[#This Row],[Pink Released]])</f>
        <v>0</v>
      </c>
      <c r="AC64">
        <f>SUM(Table1[[#This Row],[Chu Kept]],Table1[[#This Row],[Chu Released]])</f>
        <v>0</v>
      </c>
    </row>
    <row r="65" spans="1:29" x14ac:dyDescent="0.3">
      <c r="A65" s="7">
        <v>45892</v>
      </c>
      <c r="B65">
        <v>1</v>
      </c>
      <c r="C65" t="s">
        <v>250</v>
      </c>
      <c r="D65" t="s">
        <v>26</v>
      </c>
      <c r="E65">
        <v>8</v>
      </c>
      <c r="F65">
        <v>2</v>
      </c>
      <c r="G65">
        <v>2</v>
      </c>
      <c r="H65" t="s">
        <v>241</v>
      </c>
      <c r="I65">
        <v>2</v>
      </c>
      <c r="J65" s="10">
        <v>0.375</v>
      </c>
      <c r="K65" s="10">
        <v>0.40625</v>
      </c>
      <c r="L65" s="10">
        <f t="shared" si="1"/>
        <v>3.125E-2</v>
      </c>
      <c r="M65" s="12">
        <f t="shared" si="0"/>
        <v>0.75</v>
      </c>
      <c r="N65" s="12">
        <f>Table1[[#This Row],[Trip Hours]]*Table1[[#This Row],['#Angler]]</f>
        <v>1.5</v>
      </c>
      <c r="O65" t="s">
        <v>349</v>
      </c>
      <c r="P65" t="s">
        <v>29</v>
      </c>
      <c r="Q65" t="s">
        <v>241</v>
      </c>
      <c r="R65" s="11">
        <v>0</v>
      </c>
      <c r="S65">
        <v>0</v>
      </c>
      <c r="T65">
        <v>0</v>
      </c>
      <c r="U65">
        <v>0</v>
      </c>
      <c r="V65" s="11">
        <v>0</v>
      </c>
      <c r="W65">
        <v>0</v>
      </c>
      <c r="X65">
        <v>0</v>
      </c>
      <c r="Y65">
        <v>0</v>
      </c>
      <c r="Z65" s="11">
        <f>SUM(Table1[[#This Row],[Chi Kept]],Table1[[#This Row],[Chi Released]])</f>
        <v>0</v>
      </c>
      <c r="AA65">
        <f>SUM(Table1[[#This Row],[Co Kept]],Table1[[#This Row],[Co Released ]])</f>
        <v>0</v>
      </c>
      <c r="AB65">
        <f>SUM(Table1[[#This Row],[Pink Kept]],Table1[[#This Row],[Pink Released]])</f>
        <v>0</v>
      </c>
      <c r="AC65">
        <f>SUM(Table1[[#This Row],[Chu Kept]],Table1[[#This Row],[Chu Released]])</f>
        <v>0</v>
      </c>
    </row>
    <row r="66" spans="1:29" x14ac:dyDescent="0.3">
      <c r="A66" s="7">
        <v>45892</v>
      </c>
      <c r="B66">
        <v>1</v>
      </c>
      <c r="C66" t="s">
        <v>250</v>
      </c>
      <c r="D66" t="s">
        <v>26</v>
      </c>
      <c r="E66">
        <v>9</v>
      </c>
      <c r="F66">
        <v>2</v>
      </c>
      <c r="G66">
        <v>2</v>
      </c>
      <c r="H66" t="s">
        <v>241</v>
      </c>
      <c r="I66">
        <v>2</v>
      </c>
      <c r="J66" s="10">
        <v>0.375</v>
      </c>
      <c r="K66" s="10">
        <v>0.41944444444444445</v>
      </c>
      <c r="L66" s="10">
        <f t="shared" si="1"/>
        <v>4.4444444444444453E-2</v>
      </c>
      <c r="M66" s="12">
        <f t="shared" ref="M66:M129" si="2">L66*24</f>
        <v>1.0666666666666669</v>
      </c>
      <c r="N66" s="12">
        <f>Table1[[#This Row],[Trip Hours]]*Table1[[#This Row],['#Angler]]</f>
        <v>2.1333333333333337</v>
      </c>
      <c r="O66" t="s">
        <v>342</v>
      </c>
      <c r="P66" t="s">
        <v>347</v>
      </c>
      <c r="Q66" t="s">
        <v>343</v>
      </c>
      <c r="R66" s="11">
        <v>0</v>
      </c>
      <c r="S66">
        <v>0</v>
      </c>
      <c r="T66">
        <v>0</v>
      </c>
      <c r="U66">
        <v>0</v>
      </c>
      <c r="V66" s="11">
        <v>0</v>
      </c>
      <c r="W66">
        <v>0</v>
      </c>
      <c r="X66">
        <v>0</v>
      </c>
      <c r="Y66">
        <v>0</v>
      </c>
      <c r="Z66" s="11">
        <f>SUM(Table1[[#This Row],[Chi Kept]],Table1[[#This Row],[Chi Released]])</f>
        <v>0</v>
      </c>
      <c r="AA66">
        <f>SUM(Table1[[#This Row],[Co Kept]],Table1[[#This Row],[Co Released ]])</f>
        <v>0</v>
      </c>
      <c r="AB66">
        <f>SUM(Table1[[#This Row],[Pink Kept]],Table1[[#This Row],[Pink Released]])</f>
        <v>0</v>
      </c>
      <c r="AC66">
        <f>SUM(Table1[[#This Row],[Chu Kept]],Table1[[#This Row],[Chu Released]])</f>
        <v>0</v>
      </c>
    </row>
    <row r="67" spans="1:29" x14ac:dyDescent="0.3">
      <c r="A67" s="7">
        <v>45892</v>
      </c>
      <c r="B67">
        <v>1</v>
      </c>
      <c r="C67" t="s">
        <v>250</v>
      </c>
      <c r="D67" t="s">
        <v>26</v>
      </c>
      <c r="E67">
        <v>10</v>
      </c>
      <c r="F67">
        <v>2</v>
      </c>
      <c r="G67">
        <v>2</v>
      </c>
      <c r="H67" t="s">
        <v>241</v>
      </c>
      <c r="I67">
        <v>2</v>
      </c>
      <c r="J67" s="10">
        <v>0.25</v>
      </c>
      <c r="K67" s="10">
        <v>0.41666666666666669</v>
      </c>
      <c r="L67" s="10">
        <f t="shared" ref="L67:L130" si="3">K67-J67</f>
        <v>0.16666666666666669</v>
      </c>
      <c r="M67" s="12">
        <f t="shared" si="2"/>
        <v>4</v>
      </c>
      <c r="N67" s="12">
        <f>Table1[[#This Row],[Trip Hours]]*Table1[[#This Row],['#Angler]]</f>
        <v>8</v>
      </c>
      <c r="O67" t="s">
        <v>349</v>
      </c>
      <c r="P67" t="s">
        <v>29</v>
      </c>
      <c r="Q67" t="s">
        <v>241</v>
      </c>
      <c r="R67" s="11">
        <v>0</v>
      </c>
      <c r="S67">
        <v>0</v>
      </c>
      <c r="T67">
        <v>0</v>
      </c>
      <c r="U67">
        <v>0</v>
      </c>
      <c r="V67" s="11">
        <v>0</v>
      </c>
      <c r="W67">
        <v>0</v>
      </c>
      <c r="X67">
        <v>0</v>
      </c>
      <c r="Y67">
        <v>0</v>
      </c>
      <c r="Z67" s="11">
        <f>SUM(Table1[[#This Row],[Chi Kept]],Table1[[#This Row],[Chi Released]])</f>
        <v>0</v>
      </c>
      <c r="AA67">
        <f>SUM(Table1[[#This Row],[Co Kept]],Table1[[#This Row],[Co Released ]])</f>
        <v>0</v>
      </c>
      <c r="AB67">
        <f>SUM(Table1[[#This Row],[Pink Kept]],Table1[[#This Row],[Pink Released]])</f>
        <v>0</v>
      </c>
      <c r="AC67">
        <f>SUM(Table1[[#This Row],[Chu Kept]],Table1[[#This Row],[Chu Released]])</f>
        <v>0</v>
      </c>
    </row>
    <row r="68" spans="1:29" x14ac:dyDescent="0.3">
      <c r="A68" s="7">
        <v>45892</v>
      </c>
      <c r="B68">
        <v>1</v>
      </c>
      <c r="C68" t="s">
        <v>250</v>
      </c>
      <c r="D68" t="s">
        <v>42</v>
      </c>
      <c r="E68">
        <v>11</v>
      </c>
      <c r="F68">
        <v>1</v>
      </c>
      <c r="G68">
        <v>1</v>
      </c>
      <c r="H68" t="s">
        <v>344</v>
      </c>
      <c r="I68">
        <v>2</v>
      </c>
      <c r="J68" s="10">
        <v>0.27083333333333331</v>
      </c>
      <c r="K68" s="10">
        <v>0.66666666666666663</v>
      </c>
      <c r="L68" s="10">
        <f t="shared" si="3"/>
        <v>0.39583333333333331</v>
      </c>
      <c r="M68" s="12">
        <f t="shared" si="2"/>
        <v>9.5</v>
      </c>
      <c r="N68" s="12">
        <f>Table1[[#This Row],[Trip Hours]]*Table1[[#This Row],['#Angler]]</f>
        <v>19</v>
      </c>
      <c r="O68" t="s">
        <v>342</v>
      </c>
      <c r="P68" t="s">
        <v>112</v>
      </c>
      <c r="Q68" t="s">
        <v>345</v>
      </c>
      <c r="R68" s="11">
        <v>0</v>
      </c>
      <c r="S68">
        <v>0</v>
      </c>
      <c r="T68">
        <v>6</v>
      </c>
      <c r="U68">
        <v>0</v>
      </c>
      <c r="V68" s="11">
        <v>0</v>
      </c>
      <c r="W68">
        <v>0</v>
      </c>
      <c r="X68">
        <v>50</v>
      </c>
      <c r="Y68">
        <v>0</v>
      </c>
      <c r="Z68" s="11">
        <f>SUM(Table1[[#This Row],[Chi Kept]],Table1[[#This Row],[Chi Released]])</f>
        <v>0</v>
      </c>
      <c r="AA68">
        <f>SUM(Table1[[#This Row],[Co Kept]],Table1[[#This Row],[Co Released ]])</f>
        <v>0</v>
      </c>
      <c r="AB68">
        <f>SUM(Table1[[#This Row],[Pink Kept]],Table1[[#This Row],[Pink Released]])</f>
        <v>56</v>
      </c>
      <c r="AC68">
        <f>SUM(Table1[[#This Row],[Chu Kept]],Table1[[#This Row],[Chu Released]])</f>
        <v>0</v>
      </c>
    </row>
    <row r="69" spans="1:29" x14ac:dyDescent="0.3">
      <c r="A69" s="7">
        <v>45892</v>
      </c>
      <c r="B69">
        <v>1</v>
      </c>
      <c r="C69" t="s">
        <v>250</v>
      </c>
      <c r="D69" t="s">
        <v>42</v>
      </c>
      <c r="E69">
        <v>12</v>
      </c>
      <c r="F69">
        <v>1</v>
      </c>
      <c r="G69">
        <v>2</v>
      </c>
      <c r="H69" t="s">
        <v>344</v>
      </c>
      <c r="I69">
        <v>6</v>
      </c>
      <c r="J69" s="10">
        <v>0.27083333333333331</v>
      </c>
      <c r="K69" s="10">
        <v>0.66666666666666663</v>
      </c>
      <c r="L69" s="10">
        <f t="shared" si="3"/>
        <v>0.39583333333333331</v>
      </c>
      <c r="M69" s="12">
        <f t="shared" si="2"/>
        <v>9.5</v>
      </c>
      <c r="N69" s="12">
        <f>Table1[[#This Row],[Trip Hours]]*Table1[[#This Row],['#Angler]]</f>
        <v>57</v>
      </c>
      <c r="O69" t="s">
        <v>342</v>
      </c>
      <c r="P69" t="s">
        <v>331</v>
      </c>
      <c r="Q69" t="s">
        <v>343</v>
      </c>
      <c r="R69" s="11">
        <v>0</v>
      </c>
      <c r="S69">
        <v>0</v>
      </c>
      <c r="T69">
        <v>0</v>
      </c>
      <c r="U69">
        <v>0</v>
      </c>
      <c r="V69" s="11">
        <v>0</v>
      </c>
      <c r="W69">
        <v>0</v>
      </c>
      <c r="X69">
        <v>0</v>
      </c>
      <c r="Y69">
        <v>0</v>
      </c>
      <c r="Z69" s="11">
        <f>SUM(Table1[[#This Row],[Chi Kept]],Table1[[#This Row],[Chi Released]])</f>
        <v>0</v>
      </c>
      <c r="AA69">
        <f>SUM(Table1[[#This Row],[Co Kept]],Table1[[#This Row],[Co Released ]])</f>
        <v>0</v>
      </c>
      <c r="AB69">
        <f>SUM(Table1[[#This Row],[Pink Kept]],Table1[[#This Row],[Pink Released]])</f>
        <v>0</v>
      </c>
      <c r="AC69">
        <f>SUM(Table1[[#This Row],[Chu Kept]],Table1[[#This Row],[Chu Released]])</f>
        <v>0</v>
      </c>
    </row>
    <row r="70" spans="1:29" x14ac:dyDescent="0.3">
      <c r="A70" s="7">
        <v>45896</v>
      </c>
      <c r="B70">
        <v>2</v>
      </c>
      <c r="C70" t="s">
        <v>236</v>
      </c>
      <c r="D70" t="s">
        <v>26</v>
      </c>
      <c r="E70">
        <v>1</v>
      </c>
      <c r="F70">
        <v>1</v>
      </c>
      <c r="G70">
        <v>1</v>
      </c>
      <c r="H70" t="s">
        <v>344</v>
      </c>
      <c r="I70">
        <v>1</v>
      </c>
      <c r="J70" s="10">
        <v>0.27083333333333331</v>
      </c>
      <c r="K70" s="10">
        <v>0.34375</v>
      </c>
      <c r="L70" s="10">
        <f t="shared" si="3"/>
        <v>7.2916666666666685E-2</v>
      </c>
      <c r="M70" s="12">
        <f t="shared" si="2"/>
        <v>1.7500000000000004</v>
      </c>
      <c r="N70" s="12">
        <f>Table1[[#This Row],[Trip Hours]]*Table1[[#This Row],['#Angler]]</f>
        <v>1.7500000000000004</v>
      </c>
      <c r="O70" t="s">
        <v>342</v>
      </c>
      <c r="Q70" t="s">
        <v>345</v>
      </c>
      <c r="R70" s="11">
        <v>0</v>
      </c>
      <c r="S70">
        <v>0</v>
      </c>
      <c r="T70">
        <v>0</v>
      </c>
      <c r="U70">
        <v>0</v>
      </c>
      <c r="V70" s="11">
        <v>0</v>
      </c>
      <c r="W70">
        <v>0</v>
      </c>
      <c r="X70">
        <v>0</v>
      </c>
      <c r="Y70">
        <v>0</v>
      </c>
      <c r="Z70" s="11">
        <f>SUM(Table1[[#This Row],[Chi Kept]],Table1[[#This Row],[Chi Released]])</f>
        <v>0</v>
      </c>
      <c r="AA70">
        <f>SUM(Table1[[#This Row],[Co Kept]],Table1[[#This Row],[Co Released ]])</f>
        <v>0</v>
      </c>
      <c r="AB70">
        <f>SUM(Table1[[#This Row],[Pink Kept]],Table1[[#This Row],[Pink Released]])</f>
        <v>0</v>
      </c>
      <c r="AC70">
        <f>SUM(Table1[[#This Row],[Chu Kept]],Table1[[#This Row],[Chu Released]])</f>
        <v>0</v>
      </c>
    </row>
    <row r="71" spans="1:29" x14ac:dyDescent="0.3">
      <c r="A71" s="7">
        <v>45896</v>
      </c>
      <c r="B71">
        <v>2</v>
      </c>
      <c r="C71" t="s">
        <v>236</v>
      </c>
      <c r="D71" t="s">
        <v>26</v>
      </c>
      <c r="E71">
        <v>2</v>
      </c>
      <c r="F71">
        <v>1</v>
      </c>
      <c r="G71">
        <v>1</v>
      </c>
      <c r="H71" t="s">
        <v>344</v>
      </c>
      <c r="I71">
        <v>4</v>
      </c>
      <c r="J71" s="10">
        <v>0.25</v>
      </c>
      <c r="K71" s="10">
        <v>0.3888888888888889</v>
      </c>
      <c r="L71" s="10">
        <f t="shared" si="3"/>
        <v>0.1388888888888889</v>
      </c>
      <c r="M71" s="12">
        <f t="shared" si="2"/>
        <v>3.3333333333333335</v>
      </c>
      <c r="N71" s="12">
        <f>Table1[[#This Row],[Trip Hours]]*Table1[[#This Row],['#Angler]]</f>
        <v>13.333333333333334</v>
      </c>
      <c r="O71" t="s">
        <v>342</v>
      </c>
      <c r="P71" t="s">
        <v>29</v>
      </c>
      <c r="Q71" t="s">
        <v>343</v>
      </c>
      <c r="R71" s="11">
        <v>0</v>
      </c>
      <c r="S71">
        <v>0</v>
      </c>
      <c r="T71">
        <v>24</v>
      </c>
      <c r="U71">
        <v>0</v>
      </c>
      <c r="V71" s="11">
        <v>0</v>
      </c>
      <c r="W71">
        <v>0</v>
      </c>
      <c r="X71">
        <v>6</v>
      </c>
      <c r="Y71">
        <v>0</v>
      </c>
      <c r="Z71" s="11">
        <f>SUM(Table1[[#This Row],[Chi Kept]],Table1[[#This Row],[Chi Released]])</f>
        <v>0</v>
      </c>
      <c r="AA71">
        <f>SUM(Table1[[#This Row],[Co Kept]],Table1[[#This Row],[Co Released ]])</f>
        <v>0</v>
      </c>
      <c r="AB71">
        <f>SUM(Table1[[#This Row],[Pink Kept]],Table1[[#This Row],[Pink Released]])</f>
        <v>30</v>
      </c>
      <c r="AC71">
        <f>SUM(Table1[[#This Row],[Chu Kept]],Table1[[#This Row],[Chu Released]])</f>
        <v>0</v>
      </c>
    </row>
    <row r="72" spans="1:29" x14ac:dyDescent="0.3">
      <c r="A72" s="7">
        <v>45896</v>
      </c>
      <c r="B72">
        <v>2</v>
      </c>
      <c r="C72" t="s">
        <v>236</v>
      </c>
      <c r="D72" t="s">
        <v>26</v>
      </c>
      <c r="E72">
        <v>3</v>
      </c>
      <c r="F72">
        <v>1</v>
      </c>
      <c r="G72">
        <v>1</v>
      </c>
      <c r="H72" t="s">
        <v>344</v>
      </c>
      <c r="I72">
        <v>3</v>
      </c>
      <c r="J72" s="10">
        <v>0.25</v>
      </c>
      <c r="K72" s="10">
        <v>0.44444444444444442</v>
      </c>
      <c r="L72" s="10">
        <f t="shared" si="3"/>
        <v>0.19444444444444442</v>
      </c>
      <c r="M72" s="12">
        <f t="shared" si="2"/>
        <v>4.6666666666666661</v>
      </c>
      <c r="N72" s="12">
        <f>Table1[[#This Row],[Trip Hours]]*Table1[[#This Row],['#Angler]]</f>
        <v>13.999999999999998</v>
      </c>
      <c r="O72" t="s">
        <v>342</v>
      </c>
      <c r="P72" t="s">
        <v>307</v>
      </c>
      <c r="Q72" t="s">
        <v>247</v>
      </c>
      <c r="R72" s="11">
        <v>0</v>
      </c>
      <c r="S72">
        <v>6</v>
      </c>
      <c r="T72">
        <v>0</v>
      </c>
      <c r="U72">
        <v>0</v>
      </c>
      <c r="V72" s="11">
        <v>0</v>
      </c>
      <c r="W72">
        <v>0</v>
      </c>
      <c r="X72">
        <v>3</v>
      </c>
      <c r="Y72">
        <v>0</v>
      </c>
      <c r="Z72" s="11">
        <f>SUM(Table1[[#This Row],[Chi Kept]],Table1[[#This Row],[Chi Released]])</f>
        <v>0</v>
      </c>
      <c r="AA72">
        <f>SUM(Table1[[#This Row],[Co Kept]],Table1[[#This Row],[Co Released ]])</f>
        <v>6</v>
      </c>
      <c r="AB72">
        <f>SUM(Table1[[#This Row],[Pink Kept]],Table1[[#This Row],[Pink Released]])</f>
        <v>3</v>
      </c>
      <c r="AC72">
        <f>SUM(Table1[[#This Row],[Chu Kept]],Table1[[#This Row],[Chu Released]])</f>
        <v>0</v>
      </c>
    </row>
    <row r="73" spans="1:29" x14ac:dyDescent="0.3">
      <c r="A73" s="7">
        <v>45896</v>
      </c>
      <c r="B73">
        <v>2</v>
      </c>
      <c r="C73" t="s">
        <v>236</v>
      </c>
      <c r="D73" t="s">
        <v>26</v>
      </c>
      <c r="E73">
        <v>4</v>
      </c>
      <c r="F73">
        <v>1</v>
      </c>
      <c r="G73">
        <v>1</v>
      </c>
      <c r="H73" t="s">
        <v>344</v>
      </c>
      <c r="I73">
        <v>2</v>
      </c>
      <c r="J73" s="10">
        <v>0.28125</v>
      </c>
      <c r="K73" s="10">
        <v>0.44722222222222224</v>
      </c>
      <c r="L73" s="10">
        <f t="shared" si="3"/>
        <v>0.16597222222222224</v>
      </c>
      <c r="M73" s="12">
        <f t="shared" si="2"/>
        <v>3.9833333333333338</v>
      </c>
      <c r="N73" s="12">
        <f>Table1[[#This Row],[Trip Hours]]*Table1[[#This Row],['#Angler]]</f>
        <v>7.9666666666666677</v>
      </c>
      <c r="O73" t="s">
        <v>342</v>
      </c>
      <c r="Q73" t="s">
        <v>247</v>
      </c>
      <c r="R73" s="11">
        <v>0</v>
      </c>
      <c r="S73">
        <v>0</v>
      </c>
      <c r="T73">
        <v>0</v>
      </c>
      <c r="U73">
        <v>0</v>
      </c>
      <c r="V73" s="11">
        <v>0</v>
      </c>
      <c r="W73">
        <v>0</v>
      </c>
      <c r="X73">
        <v>4</v>
      </c>
      <c r="Y73">
        <v>0</v>
      </c>
      <c r="Z73" s="11">
        <f>SUM(Table1[[#This Row],[Chi Kept]],Table1[[#This Row],[Chi Released]])</f>
        <v>0</v>
      </c>
      <c r="AA73">
        <f>SUM(Table1[[#This Row],[Co Kept]],Table1[[#This Row],[Co Released ]])</f>
        <v>0</v>
      </c>
      <c r="AB73">
        <f>SUM(Table1[[#This Row],[Pink Kept]],Table1[[#This Row],[Pink Released]])</f>
        <v>4</v>
      </c>
      <c r="AC73">
        <f>SUM(Table1[[#This Row],[Chu Kept]],Table1[[#This Row],[Chu Released]])</f>
        <v>0</v>
      </c>
    </row>
    <row r="74" spans="1:29" x14ac:dyDescent="0.3">
      <c r="A74" s="7">
        <v>45896</v>
      </c>
      <c r="B74">
        <v>2</v>
      </c>
      <c r="C74" t="s">
        <v>236</v>
      </c>
      <c r="D74" t="s">
        <v>26</v>
      </c>
      <c r="E74">
        <v>5</v>
      </c>
      <c r="F74">
        <v>1</v>
      </c>
      <c r="G74">
        <v>1</v>
      </c>
      <c r="H74" t="s">
        <v>344</v>
      </c>
      <c r="I74">
        <v>1</v>
      </c>
      <c r="J74" s="10">
        <v>0.27083333333333331</v>
      </c>
      <c r="K74" s="10">
        <v>0.45</v>
      </c>
      <c r="L74" s="10">
        <f t="shared" si="3"/>
        <v>0.1791666666666667</v>
      </c>
      <c r="M74" s="12">
        <f t="shared" si="2"/>
        <v>4.3000000000000007</v>
      </c>
      <c r="N74" s="12">
        <f>Table1[[#This Row],[Trip Hours]]*Table1[[#This Row],['#Angler]]</f>
        <v>4.3000000000000007</v>
      </c>
      <c r="O74" t="s">
        <v>342</v>
      </c>
      <c r="P74" t="s">
        <v>112</v>
      </c>
      <c r="R74" s="11">
        <v>0</v>
      </c>
      <c r="S74">
        <v>0</v>
      </c>
      <c r="T74">
        <v>1</v>
      </c>
      <c r="U74">
        <v>0</v>
      </c>
      <c r="V74" s="11">
        <v>0</v>
      </c>
      <c r="W74">
        <v>0</v>
      </c>
      <c r="X74">
        <v>10</v>
      </c>
      <c r="Y74">
        <v>0</v>
      </c>
      <c r="Z74" s="11">
        <f>SUM(Table1[[#This Row],[Chi Kept]],Table1[[#This Row],[Chi Released]])</f>
        <v>0</v>
      </c>
      <c r="AA74">
        <f>SUM(Table1[[#This Row],[Co Kept]],Table1[[#This Row],[Co Released ]])</f>
        <v>0</v>
      </c>
      <c r="AB74">
        <f>SUM(Table1[[#This Row],[Pink Kept]],Table1[[#This Row],[Pink Released]])</f>
        <v>11</v>
      </c>
      <c r="AC74">
        <f>SUM(Table1[[#This Row],[Chu Kept]],Table1[[#This Row],[Chu Released]])</f>
        <v>0</v>
      </c>
    </row>
    <row r="75" spans="1:29" x14ac:dyDescent="0.3">
      <c r="A75" s="7">
        <v>45896</v>
      </c>
      <c r="B75">
        <v>2</v>
      </c>
      <c r="C75" t="s">
        <v>236</v>
      </c>
      <c r="D75" t="s">
        <v>26</v>
      </c>
      <c r="E75">
        <v>6</v>
      </c>
      <c r="F75">
        <v>1</v>
      </c>
      <c r="G75">
        <v>1</v>
      </c>
      <c r="H75" t="s">
        <v>344</v>
      </c>
      <c r="I75">
        <v>3</v>
      </c>
      <c r="J75" s="10">
        <v>0.35416666666666669</v>
      </c>
      <c r="K75" s="10">
        <v>0.45833333333333331</v>
      </c>
      <c r="L75" s="10">
        <f t="shared" si="3"/>
        <v>0.10416666666666663</v>
      </c>
      <c r="M75" s="12">
        <f t="shared" si="2"/>
        <v>2.4999999999999991</v>
      </c>
      <c r="N75" s="12">
        <f>Table1[[#This Row],[Trip Hours]]*Table1[[#This Row],['#Angler]]</f>
        <v>7.4999999999999973</v>
      </c>
      <c r="O75" t="s">
        <v>342</v>
      </c>
      <c r="P75" t="s">
        <v>29</v>
      </c>
      <c r="Q75" t="s">
        <v>345</v>
      </c>
      <c r="R75" s="11">
        <v>0</v>
      </c>
      <c r="S75">
        <v>0</v>
      </c>
      <c r="T75">
        <v>18</v>
      </c>
      <c r="U75">
        <v>0</v>
      </c>
      <c r="V75" s="11">
        <v>0</v>
      </c>
      <c r="W75">
        <v>0</v>
      </c>
      <c r="X75">
        <v>3</v>
      </c>
      <c r="Y75">
        <v>0</v>
      </c>
      <c r="Z75" s="11">
        <f>SUM(Table1[[#This Row],[Chi Kept]],Table1[[#This Row],[Chi Released]])</f>
        <v>0</v>
      </c>
      <c r="AA75">
        <f>SUM(Table1[[#This Row],[Co Kept]],Table1[[#This Row],[Co Released ]])</f>
        <v>0</v>
      </c>
      <c r="AB75">
        <f>SUM(Table1[[#This Row],[Pink Kept]],Table1[[#This Row],[Pink Released]])</f>
        <v>21</v>
      </c>
      <c r="AC75">
        <f>SUM(Table1[[#This Row],[Chu Kept]],Table1[[#This Row],[Chu Released]])</f>
        <v>0</v>
      </c>
    </row>
    <row r="76" spans="1:29" x14ac:dyDescent="0.3">
      <c r="A76" s="7">
        <v>45896</v>
      </c>
      <c r="B76">
        <v>2</v>
      </c>
      <c r="C76" t="s">
        <v>236</v>
      </c>
      <c r="D76" t="s">
        <v>26</v>
      </c>
      <c r="E76">
        <v>7</v>
      </c>
      <c r="F76">
        <v>1</v>
      </c>
      <c r="G76">
        <v>1</v>
      </c>
      <c r="H76" t="s">
        <v>344</v>
      </c>
      <c r="I76">
        <v>3</v>
      </c>
      <c r="J76" s="10">
        <v>0.33333333333333331</v>
      </c>
      <c r="K76" s="10">
        <v>0.45833333333333331</v>
      </c>
      <c r="L76" s="10">
        <f t="shared" si="3"/>
        <v>0.125</v>
      </c>
      <c r="M76" s="12">
        <f t="shared" si="2"/>
        <v>3</v>
      </c>
      <c r="N76" s="12">
        <f>Table1[[#This Row],[Trip Hours]]*Table1[[#This Row],['#Angler]]</f>
        <v>9</v>
      </c>
      <c r="O76" t="s">
        <v>349</v>
      </c>
      <c r="P76" t="s">
        <v>29</v>
      </c>
      <c r="Q76" t="s">
        <v>343</v>
      </c>
      <c r="R76" s="11">
        <v>0</v>
      </c>
      <c r="S76">
        <v>0</v>
      </c>
      <c r="T76">
        <v>12</v>
      </c>
      <c r="U76">
        <v>0</v>
      </c>
      <c r="V76" s="11">
        <v>0</v>
      </c>
      <c r="W76">
        <v>0</v>
      </c>
      <c r="X76">
        <v>0</v>
      </c>
      <c r="Y76">
        <v>0</v>
      </c>
      <c r="Z76" s="11">
        <f>SUM(Table1[[#This Row],[Chi Kept]],Table1[[#This Row],[Chi Released]])</f>
        <v>0</v>
      </c>
      <c r="AA76">
        <f>SUM(Table1[[#This Row],[Co Kept]],Table1[[#This Row],[Co Released ]])</f>
        <v>0</v>
      </c>
      <c r="AB76">
        <f>SUM(Table1[[#This Row],[Pink Kept]],Table1[[#This Row],[Pink Released]])</f>
        <v>12</v>
      </c>
      <c r="AC76">
        <f>SUM(Table1[[#This Row],[Chu Kept]],Table1[[#This Row],[Chu Released]])</f>
        <v>0</v>
      </c>
    </row>
    <row r="77" spans="1:29" x14ac:dyDescent="0.3">
      <c r="A77" s="7">
        <v>45896</v>
      </c>
      <c r="B77">
        <v>2</v>
      </c>
      <c r="C77" t="s">
        <v>236</v>
      </c>
      <c r="D77" t="s">
        <v>26</v>
      </c>
      <c r="E77">
        <v>8</v>
      </c>
      <c r="F77">
        <v>1</v>
      </c>
      <c r="G77">
        <v>1</v>
      </c>
      <c r="H77" t="s">
        <v>344</v>
      </c>
      <c r="I77">
        <v>2</v>
      </c>
      <c r="J77" s="10">
        <v>0.2673611111111111</v>
      </c>
      <c r="K77" s="10">
        <v>0.46180555555555558</v>
      </c>
      <c r="L77" s="10">
        <f t="shared" si="3"/>
        <v>0.19444444444444448</v>
      </c>
      <c r="M77" s="12">
        <f t="shared" si="2"/>
        <v>4.6666666666666679</v>
      </c>
      <c r="N77" s="12">
        <f>Table1[[#This Row],[Trip Hours]]*Table1[[#This Row],['#Angler]]</f>
        <v>9.3333333333333357</v>
      </c>
      <c r="O77" t="s">
        <v>342</v>
      </c>
      <c r="P77" t="s">
        <v>29</v>
      </c>
      <c r="Q77" t="s">
        <v>343</v>
      </c>
      <c r="R77" s="11">
        <v>0</v>
      </c>
      <c r="S77">
        <v>0</v>
      </c>
      <c r="T77">
        <v>10</v>
      </c>
      <c r="U77">
        <v>0</v>
      </c>
      <c r="V77" s="11">
        <v>0</v>
      </c>
      <c r="W77">
        <v>0</v>
      </c>
      <c r="X77">
        <v>8</v>
      </c>
      <c r="Y77">
        <v>0</v>
      </c>
      <c r="Z77" s="11">
        <f>SUM(Table1[[#This Row],[Chi Kept]],Table1[[#This Row],[Chi Released]])</f>
        <v>0</v>
      </c>
      <c r="AA77">
        <f>SUM(Table1[[#This Row],[Co Kept]],Table1[[#This Row],[Co Released ]])</f>
        <v>0</v>
      </c>
      <c r="AB77">
        <f>SUM(Table1[[#This Row],[Pink Kept]],Table1[[#This Row],[Pink Released]])</f>
        <v>18</v>
      </c>
      <c r="AC77">
        <f>SUM(Table1[[#This Row],[Chu Kept]],Table1[[#This Row],[Chu Released]])</f>
        <v>0</v>
      </c>
    </row>
    <row r="78" spans="1:29" x14ac:dyDescent="0.3">
      <c r="A78" s="7">
        <v>45896</v>
      </c>
      <c r="B78">
        <v>2</v>
      </c>
      <c r="C78" t="s">
        <v>236</v>
      </c>
      <c r="D78" t="s">
        <v>42</v>
      </c>
      <c r="E78">
        <v>9</v>
      </c>
      <c r="F78">
        <v>2</v>
      </c>
      <c r="G78">
        <v>4</v>
      </c>
      <c r="H78" t="s">
        <v>241</v>
      </c>
      <c r="I78">
        <v>1</v>
      </c>
      <c r="J78" s="10">
        <v>0.65625</v>
      </c>
      <c r="K78" s="10">
        <v>0.67708333333333337</v>
      </c>
      <c r="L78" s="10">
        <f t="shared" si="3"/>
        <v>2.083333333333337E-2</v>
      </c>
      <c r="M78" s="12">
        <f t="shared" si="2"/>
        <v>0.50000000000000089</v>
      </c>
      <c r="N78" s="12">
        <f>Table1[[#This Row],[Trip Hours]]*Table1[[#This Row],['#Angler]]</f>
        <v>0.50000000000000089</v>
      </c>
      <c r="O78" t="s">
        <v>342</v>
      </c>
      <c r="Q78" t="s">
        <v>352</v>
      </c>
      <c r="R78" s="11">
        <v>0</v>
      </c>
      <c r="S78">
        <v>0</v>
      </c>
      <c r="T78">
        <v>0</v>
      </c>
      <c r="U78">
        <v>0</v>
      </c>
      <c r="V78" s="11">
        <v>0</v>
      </c>
      <c r="W78">
        <v>0</v>
      </c>
      <c r="X78">
        <v>0</v>
      </c>
      <c r="Y78">
        <v>0</v>
      </c>
      <c r="Z78" s="11">
        <f>SUM(Table1[[#This Row],[Chi Kept]],Table1[[#This Row],[Chi Released]])</f>
        <v>0</v>
      </c>
      <c r="AA78">
        <f>SUM(Table1[[#This Row],[Co Kept]],Table1[[#This Row],[Co Released ]])</f>
        <v>0</v>
      </c>
      <c r="AB78">
        <f>SUM(Table1[[#This Row],[Pink Kept]],Table1[[#This Row],[Pink Released]])</f>
        <v>0</v>
      </c>
      <c r="AC78">
        <f>SUM(Table1[[#This Row],[Chu Kept]],Table1[[#This Row],[Chu Released]])</f>
        <v>0</v>
      </c>
    </row>
    <row r="79" spans="1:29" x14ac:dyDescent="0.3">
      <c r="A79" s="7">
        <v>45896</v>
      </c>
      <c r="B79">
        <v>2</v>
      </c>
      <c r="C79" t="s">
        <v>236</v>
      </c>
      <c r="D79" t="s">
        <v>42</v>
      </c>
      <c r="E79">
        <v>10</v>
      </c>
      <c r="F79">
        <v>1</v>
      </c>
      <c r="G79">
        <v>2</v>
      </c>
      <c r="H79" t="s">
        <v>241</v>
      </c>
      <c r="I79">
        <v>2</v>
      </c>
      <c r="J79" s="10">
        <v>0.73958333333333337</v>
      </c>
      <c r="K79" s="10">
        <v>0.78055555555555556</v>
      </c>
      <c r="L79" s="10">
        <f t="shared" si="3"/>
        <v>4.0972222222222188E-2</v>
      </c>
      <c r="M79" s="12">
        <f t="shared" si="2"/>
        <v>0.9833333333333325</v>
      </c>
      <c r="N79" s="12">
        <f>Table1[[#This Row],[Trip Hours]]*Table1[[#This Row],['#Angler]]</f>
        <v>1.966666666666665</v>
      </c>
      <c r="O79" t="s">
        <v>342</v>
      </c>
      <c r="P79" t="s">
        <v>29</v>
      </c>
      <c r="R79" s="11">
        <v>0</v>
      </c>
      <c r="S79">
        <v>0</v>
      </c>
      <c r="T79">
        <v>0</v>
      </c>
      <c r="U79">
        <v>0</v>
      </c>
      <c r="V79" s="11">
        <v>0</v>
      </c>
      <c r="W79">
        <v>0</v>
      </c>
      <c r="X79">
        <v>0</v>
      </c>
      <c r="Y79">
        <v>0</v>
      </c>
      <c r="Z79" s="11">
        <f>SUM(Table1[[#This Row],[Chi Kept]],Table1[[#This Row],[Chi Released]])</f>
        <v>0</v>
      </c>
      <c r="AA79">
        <f>SUM(Table1[[#This Row],[Co Kept]],Table1[[#This Row],[Co Released ]])</f>
        <v>0</v>
      </c>
      <c r="AB79">
        <f>SUM(Table1[[#This Row],[Pink Kept]],Table1[[#This Row],[Pink Released]])</f>
        <v>0</v>
      </c>
      <c r="AC79">
        <f>SUM(Table1[[#This Row],[Chu Kept]],Table1[[#This Row],[Chu Released]])</f>
        <v>0</v>
      </c>
    </row>
    <row r="80" spans="1:29" x14ac:dyDescent="0.3">
      <c r="A80" s="7">
        <v>45896</v>
      </c>
      <c r="B80">
        <v>2</v>
      </c>
      <c r="C80" t="s">
        <v>236</v>
      </c>
      <c r="D80" t="s">
        <v>42</v>
      </c>
      <c r="E80">
        <v>11</v>
      </c>
      <c r="F80">
        <v>1</v>
      </c>
      <c r="G80">
        <v>2</v>
      </c>
      <c r="H80" t="s">
        <v>241</v>
      </c>
      <c r="I80">
        <v>1</v>
      </c>
      <c r="J80" s="10">
        <v>0.6875</v>
      </c>
      <c r="K80" s="10">
        <v>0.79166666666666663</v>
      </c>
      <c r="L80" s="10">
        <f t="shared" si="3"/>
        <v>0.10416666666666663</v>
      </c>
      <c r="M80" s="12">
        <f t="shared" si="2"/>
        <v>2.4999999999999991</v>
      </c>
      <c r="N80" s="12">
        <f>Table1[[#This Row],[Trip Hours]]*Table1[[#This Row],['#Angler]]</f>
        <v>2.4999999999999991</v>
      </c>
      <c r="O80" t="s">
        <v>342</v>
      </c>
      <c r="P80" t="s">
        <v>29</v>
      </c>
      <c r="Q80" t="s">
        <v>343</v>
      </c>
      <c r="R80" s="11">
        <v>0</v>
      </c>
      <c r="S80">
        <v>0</v>
      </c>
      <c r="T80">
        <v>1</v>
      </c>
      <c r="U80">
        <v>0</v>
      </c>
      <c r="V80" s="11">
        <v>0</v>
      </c>
      <c r="W80">
        <v>0</v>
      </c>
      <c r="X80">
        <v>0</v>
      </c>
      <c r="Y80">
        <v>0</v>
      </c>
      <c r="Z80" s="11">
        <f>SUM(Table1[[#This Row],[Chi Kept]],Table1[[#This Row],[Chi Released]])</f>
        <v>0</v>
      </c>
      <c r="AA80">
        <f>SUM(Table1[[#This Row],[Co Kept]],Table1[[#This Row],[Co Released ]])</f>
        <v>0</v>
      </c>
      <c r="AB80">
        <f>SUM(Table1[[#This Row],[Pink Kept]],Table1[[#This Row],[Pink Released]])</f>
        <v>1</v>
      </c>
      <c r="AC80">
        <f>SUM(Table1[[#This Row],[Chu Kept]],Table1[[#This Row],[Chu Released]])</f>
        <v>0</v>
      </c>
    </row>
    <row r="81" spans="1:29" x14ac:dyDescent="0.3">
      <c r="A81" s="7">
        <v>45896</v>
      </c>
      <c r="B81">
        <v>2</v>
      </c>
      <c r="C81" t="s">
        <v>236</v>
      </c>
      <c r="D81" t="s">
        <v>42</v>
      </c>
      <c r="E81">
        <v>12</v>
      </c>
      <c r="F81">
        <v>1</v>
      </c>
      <c r="G81">
        <v>2</v>
      </c>
      <c r="H81" t="s">
        <v>344</v>
      </c>
      <c r="I81">
        <v>1</v>
      </c>
      <c r="J81" s="10">
        <v>0.71875</v>
      </c>
      <c r="K81" s="10">
        <v>0.80208333333333337</v>
      </c>
      <c r="L81" s="10">
        <f t="shared" si="3"/>
        <v>8.333333333333337E-2</v>
      </c>
      <c r="M81" s="12">
        <f t="shared" si="2"/>
        <v>2.0000000000000009</v>
      </c>
      <c r="N81" s="12">
        <f>Table1[[#This Row],[Trip Hours]]*Table1[[#This Row],['#Angler]]</f>
        <v>2.0000000000000009</v>
      </c>
      <c r="O81" t="s">
        <v>342</v>
      </c>
      <c r="P81" t="s">
        <v>29</v>
      </c>
      <c r="Q81" t="s">
        <v>343</v>
      </c>
      <c r="R81" s="11">
        <v>0</v>
      </c>
      <c r="S81">
        <v>0</v>
      </c>
      <c r="T81">
        <v>5</v>
      </c>
      <c r="U81">
        <v>0</v>
      </c>
      <c r="V81" s="11">
        <v>0</v>
      </c>
      <c r="W81">
        <v>0</v>
      </c>
      <c r="X81">
        <v>3</v>
      </c>
      <c r="Y81">
        <v>0</v>
      </c>
      <c r="Z81" s="11">
        <f>SUM(Table1[[#This Row],[Chi Kept]],Table1[[#This Row],[Chi Released]])</f>
        <v>0</v>
      </c>
      <c r="AA81">
        <f>SUM(Table1[[#This Row],[Co Kept]],Table1[[#This Row],[Co Released ]])</f>
        <v>0</v>
      </c>
      <c r="AB81">
        <f>SUM(Table1[[#This Row],[Pink Kept]],Table1[[#This Row],[Pink Released]])</f>
        <v>8</v>
      </c>
      <c r="AC81">
        <f>SUM(Table1[[#This Row],[Chu Kept]],Table1[[#This Row],[Chu Released]])</f>
        <v>0</v>
      </c>
    </row>
    <row r="82" spans="1:29" x14ac:dyDescent="0.3">
      <c r="A82" s="7">
        <v>45896</v>
      </c>
      <c r="B82">
        <v>2</v>
      </c>
      <c r="C82" t="s">
        <v>236</v>
      </c>
      <c r="D82" t="s">
        <v>42</v>
      </c>
      <c r="E82">
        <v>13</v>
      </c>
      <c r="F82">
        <v>1</v>
      </c>
      <c r="G82">
        <v>2</v>
      </c>
      <c r="H82" t="s">
        <v>344</v>
      </c>
      <c r="I82">
        <v>1</v>
      </c>
      <c r="J82" s="10">
        <v>0.71875</v>
      </c>
      <c r="K82" s="10">
        <v>0.80208333333333337</v>
      </c>
      <c r="L82" s="10">
        <f t="shared" si="3"/>
        <v>8.333333333333337E-2</v>
      </c>
      <c r="M82" s="12">
        <f t="shared" si="2"/>
        <v>2.0000000000000009</v>
      </c>
      <c r="N82" s="12">
        <f>Table1[[#This Row],[Trip Hours]]*Table1[[#This Row],['#Angler]]</f>
        <v>2.0000000000000009</v>
      </c>
      <c r="O82" t="s">
        <v>342</v>
      </c>
      <c r="P82" t="s">
        <v>29</v>
      </c>
      <c r="Q82" t="s">
        <v>343</v>
      </c>
      <c r="R82" s="11">
        <v>0</v>
      </c>
      <c r="S82">
        <v>0</v>
      </c>
      <c r="T82">
        <v>6</v>
      </c>
      <c r="U82">
        <v>0</v>
      </c>
      <c r="V82" s="11">
        <v>0</v>
      </c>
      <c r="W82">
        <v>0</v>
      </c>
      <c r="X82">
        <v>0</v>
      </c>
      <c r="Y82">
        <v>0</v>
      </c>
      <c r="Z82" s="11">
        <f>SUM(Table1[[#This Row],[Chi Kept]],Table1[[#This Row],[Chi Released]])</f>
        <v>0</v>
      </c>
      <c r="AA82">
        <f>SUM(Table1[[#This Row],[Co Kept]],Table1[[#This Row],[Co Released ]])</f>
        <v>0</v>
      </c>
      <c r="AB82">
        <f>SUM(Table1[[#This Row],[Pink Kept]],Table1[[#This Row],[Pink Released]])</f>
        <v>6</v>
      </c>
      <c r="AC82">
        <f>SUM(Table1[[#This Row],[Chu Kept]],Table1[[#This Row],[Chu Released]])</f>
        <v>0</v>
      </c>
    </row>
    <row r="83" spans="1:29" x14ac:dyDescent="0.3">
      <c r="A83" s="7">
        <v>45896</v>
      </c>
      <c r="B83">
        <v>2</v>
      </c>
      <c r="C83" t="s">
        <v>236</v>
      </c>
      <c r="D83" t="s">
        <v>42</v>
      </c>
      <c r="E83">
        <v>14</v>
      </c>
      <c r="F83">
        <v>1</v>
      </c>
      <c r="G83">
        <v>2</v>
      </c>
      <c r="H83" t="s">
        <v>344</v>
      </c>
      <c r="I83">
        <v>1</v>
      </c>
      <c r="J83" s="10">
        <v>0.69791666666666663</v>
      </c>
      <c r="K83" s="10">
        <v>0.80277777777777781</v>
      </c>
      <c r="L83" s="10">
        <f t="shared" si="3"/>
        <v>0.10486111111111118</v>
      </c>
      <c r="M83" s="12">
        <f t="shared" si="2"/>
        <v>2.5166666666666684</v>
      </c>
      <c r="N83" s="12">
        <f>Table1[[#This Row],[Trip Hours]]*Table1[[#This Row],['#Angler]]</f>
        <v>2.5166666666666684</v>
      </c>
      <c r="O83" t="s">
        <v>342</v>
      </c>
      <c r="P83" t="s">
        <v>29</v>
      </c>
      <c r="Q83" t="s">
        <v>343</v>
      </c>
      <c r="R83" s="11">
        <v>0</v>
      </c>
      <c r="S83">
        <v>0</v>
      </c>
      <c r="T83">
        <v>5</v>
      </c>
      <c r="U83">
        <v>0</v>
      </c>
      <c r="V83" s="11">
        <v>0</v>
      </c>
      <c r="W83">
        <v>0</v>
      </c>
      <c r="X83">
        <v>30</v>
      </c>
      <c r="Y83">
        <v>0</v>
      </c>
      <c r="Z83" s="11">
        <f>SUM(Table1[[#This Row],[Chi Kept]],Table1[[#This Row],[Chi Released]])</f>
        <v>0</v>
      </c>
      <c r="AA83">
        <f>SUM(Table1[[#This Row],[Co Kept]],Table1[[#This Row],[Co Released ]])</f>
        <v>0</v>
      </c>
      <c r="AB83">
        <f>SUM(Table1[[#This Row],[Pink Kept]],Table1[[#This Row],[Pink Released]])</f>
        <v>35</v>
      </c>
      <c r="AC83">
        <f>SUM(Table1[[#This Row],[Chu Kept]],Table1[[#This Row],[Chu Released]])</f>
        <v>0</v>
      </c>
    </row>
    <row r="84" spans="1:29" x14ac:dyDescent="0.3">
      <c r="A84" s="7">
        <v>45896</v>
      </c>
      <c r="B84">
        <v>2</v>
      </c>
      <c r="C84" t="s">
        <v>236</v>
      </c>
      <c r="D84" t="s">
        <v>42</v>
      </c>
      <c r="E84">
        <v>15</v>
      </c>
      <c r="F84">
        <v>1</v>
      </c>
      <c r="G84">
        <v>1</v>
      </c>
      <c r="H84" t="s">
        <v>344</v>
      </c>
      <c r="I84">
        <v>2</v>
      </c>
      <c r="J84" s="10">
        <v>0.58333333333333337</v>
      </c>
      <c r="K84" s="10">
        <v>0.81944444444444442</v>
      </c>
      <c r="L84" s="10">
        <f t="shared" si="3"/>
        <v>0.23611111111111105</v>
      </c>
      <c r="M84" s="12">
        <f t="shared" si="2"/>
        <v>5.6666666666666652</v>
      </c>
      <c r="N84" s="12">
        <f>Table1[[#This Row],[Trip Hours]]*Table1[[#This Row],['#Angler]]</f>
        <v>11.33333333333333</v>
      </c>
      <c r="O84" t="s">
        <v>342</v>
      </c>
      <c r="P84" t="s">
        <v>347</v>
      </c>
      <c r="Q84" t="s">
        <v>343</v>
      </c>
      <c r="R84" s="11">
        <v>0</v>
      </c>
      <c r="S84">
        <v>0</v>
      </c>
      <c r="T84">
        <v>12</v>
      </c>
      <c r="U84">
        <v>0</v>
      </c>
      <c r="V84" s="11">
        <v>0</v>
      </c>
      <c r="W84">
        <v>0</v>
      </c>
      <c r="X84">
        <v>2</v>
      </c>
      <c r="Y84">
        <v>0</v>
      </c>
      <c r="Z84" s="11">
        <f>SUM(Table1[[#This Row],[Chi Kept]],Table1[[#This Row],[Chi Released]])</f>
        <v>0</v>
      </c>
      <c r="AA84">
        <f>SUM(Table1[[#This Row],[Co Kept]],Table1[[#This Row],[Co Released ]])</f>
        <v>0</v>
      </c>
      <c r="AB84">
        <f>SUM(Table1[[#This Row],[Pink Kept]],Table1[[#This Row],[Pink Released]])</f>
        <v>14</v>
      </c>
      <c r="AC84">
        <f>SUM(Table1[[#This Row],[Chu Kept]],Table1[[#This Row],[Chu Released]])</f>
        <v>0</v>
      </c>
    </row>
    <row r="85" spans="1:29" x14ac:dyDescent="0.3">
      <c r="A85" s="7">
        <v>45897</v>
      </c>
      <c r="B85">
        <v>2</v>
      </c>
      <c r="C85" t="s">
        <v>236</v>
      </c>
      <c r="D85" t="s">
        <v>26</v>
      </c>
      <c r="E85">
        <v>1</v>
      </c>
      <c r="F85">
        <v>2</v>
      </c>
      <c r="G85">
        <v>1</v>
      </c>
      <c r="H85" t="s">
        <v>241</v>
      </c>
      <c r="I85">
        <v>1</v>
      </c>
      <c r="J85" s="10">
        <v>0.25</v>
      </c>
      <c r="K85" s="10">
        <v>0.375</v>
      </c>
      <c r="L85" s="10">
        <f t="shared" si="3"/>
        <v>0.125</v>
      </c>
      <c r="M85" s="12">
        <f t="shared" si="2"/>
        <v>3</v>
      </c>
      <c r="N85" s="12">
        <f>Table1[[#This Row],[Trip Hours]]*Table1[[#This Row],['#Angler]]</f>
        <v>3</v>
      </c>
      <c r="O85" t="s">
        <v>349</v>
      </c>
      <c r="P85" t="s">
        <v>73</v>
      </c>
      <c r="Q85" t="s">
        <v>345</v>
      </c>
      <c r="R85" s="11">
        <v>0</v>
      </c>
      <c r="S85">
        <v>0</v>
      </c>
      <c r="T85">
        <v>0</v>
      </c>
      <c r="U85">
        <v>0</v>
      </c>
      <c r="V85" s="11">
        <v>0</v>
      </c>
      <c r="W85">
        <v>0</v>
      </c>
      <c r="X85">
        <v>0</v>
      </c>
      <c r="Y85">
        <v>0</v>
      </c>
      <c r="Z85" s="11">
        <f>SUM(Table1[[#This Row],[Chi Kept]],Table1[[#This Row],[Chi Released]])</f>
        <v>0</v>
      </c>
      <c r="AA85">
        <f>SUM(Table1[[#This Row],[Co Kept]],Table1[[#This Row],[Co Released ]])</f>
        <v>0</v>
      </c>
      <c r="AB85">
        <f>SUM(Table1[[#This Row],[Pink Kept]],Table1[[#This Row],[Pink Released]])</f>
        <v>0</v>
      </c>
      <c r="AC85">
        <f>SUM(Table1[[#This Row],[Chu Kept]],Table1[[#This Row],[Chu Released]])</f>
        <v>0</v>
      </c>
    </row>
    <row r="86" spans="1:29" x14ac:dyDescent="0.3">
      <c r="A86" s="7">
        <v>45897</v>
      </c>
      <c r="B86">
        <v>2</v>
      </c>
      <c r="C86" t="s">
        <v>236</v>
      </c>
      <c r="D86" t="s">
        <v>26</v>
      </c>
      <c r="E86">
        <v>2</v>
      </c>
      <c r="F86">
        <v>1</v>
      </c>
      <c r="G86">
        <v>2</v>
      </c>
      <c r="H86" t="s">
        <v>241</v>
      </c>
      <c r="I86">
        <v>1</v>
      </c>
      <c r="J86" s="10">
        <v>0.33333333333333331</v>
      </c>
      <c r="K86" s="10">
        <v>0.40069444444444446</v>
      </c>
      <c r="L86" s="10">
        <f t="shared" si="3"/>
        <v>6.7361111111111149E-2</v>
      </c>
      <c r="M86" s="12">
        <f t="shared" si="2"/>
        <v>1.6166666666666676</v>
      </c>
      <c r="N86" s="12">
        <f>Table1[[#This Row],[Trip Hours]]*Table1[[#This Row],['#Angler]]</f>
        <v>1.6166666666666676</v>
      </c>
      <c r="O86" t="s">
        <v>342</v>
      </c>
      <c r="Q86" t="s">
        <v>345</v>
      </c>
      <c r="R86" s="11">
        <v>0</v>
      </c>
      <c r="S86">
        <v>0</v>
      </c>
      <c r="T86">
        <v>0</v>
      </c>
      <c r="U86">
        <v>0</v>
      </c>
      <c r="V86" s="11">
        <v>0</v>
      </c>
      <c r="W86">
        <v>0</v>
      </c>
      <c r="X86">
        <v>0</v>
      </c>
      <c r="Y86">
        <v>0</v>
      </c>
      <c r="Z86" s="11">
        <f>SUM(Table1[[#This Row],[Chi Kept]],Table1[[#This Row],[Chi Released]])</f>
        <v>0</v>
      </c>
      <c r="AA86">
        <f>SUM(Table1[[#This Row],[Co Kept]],Table1[[#This Row],[Co Released ]])</f>
        <v>0</v>
      </c>
      <c r="AB86">
        <f>SUM(Table1[[#This Row],[Pink Kept]],Table1[[#This Row],[Pink Released]])</f>
        <v>0</v>
      </c>
      <c r="AC86">
        <f>SUM(Table1[[#This Row],[Chu Kept]],Table1[[#This Row],[Chu Released]])</f>
        <v>0</v>
      </c>
    </row>
    <row r="87" spans="1:29" x14ac:dyDescent="0.3">
      <c r="A87" s="7">
        <v>45897</v>
      </c>
      <c r="B87">
        <v>2</v>
      </c>
      <c r="C87" t="s">
        <v>236</v>
      </c>
      <c r="D87" t="s">
        <v>26</v>
      </c>
      <c r="E87">
        <v>3</v>
      </c>
      <c r="F87">
        <v>1</v>
      </c>
      <c r="G87">
        <v>2</v>
      </c>
      <c r="H87" t="s">
        <v>241</v>
      </c>
      <c r="I87">
        <v>1</v>
      </c>
      <c r="J87" s="10">
        <v>0.25</v>
      </c>
      <c r="K87" s="10">
        <v>0.40277777777777779</v>
      </c>
      <c r="L87" s="10">
        <f t="shared" si="3"/>
        <v>0.15277777777777779</v>
      </c>
      <c r="M87" s="12">
        <f t="shared" si="2"/>
        <v>3.666666666666667</v>
      </c>
      <c r="N87" s="12">
        <f>Table1[[#This Row],[Trip Hours]]*Table1[[#This Row],['#Angler]]</f>
        <v>3.666666666666667</v>
      </c>
      <c r="O87" t="s">
        <v>342</v>
      </c>
      <c r="P87" t="s">
        <v>347</v>
      </c>
      <c r="Q87" t="s">
        <v>345</v>
      </c>
      <c r="R87" s="11">
        <v>0</v>
      </c>
      <c r="S87">
        <v>0</v>
      </c>
      <c r="T87">
        <v>0</v>
      </c>
      <c r="U87">
        <v>0</v>
      </c>
      <c r="V87" s="11">
        <v>0</v>
      </c>
      <c r="W87">
        <v>0</v>
      </c>
      <c r="X87">
        <v>0</v>
      </c>
      <c r="Y87">
        <v>0</v>
      </c>
      <c r="Z87" s="11">
        <f>SUM(Table1[[#This Row],[Chi Kept]],Table1[[#This Row],[Chi Released]])</f>
        <v>0</v>
      </c>
      <c r="AA87">
        <f>SUM(Table1[[#This Row],[Co Kept]],Table1[[#This Row],[Co Released ]])</f>
        <v>0</v>
      </c>
      <c r="AB87">
        <f>SUM(Table1[[#This Row],[Pink Kept]],Table1[[#This Row],[Pink Released]])</f>
        <v>0</v>
      </c>
      <c r="AC87">
        <f>SUM(Table1[[#This Row],[Chu Kept]],Table1[[#This Row],[Chu Released]])</f>
        <v>0</v>
      </c>
    </row>
    <row r="88" spans="1:29" x14ac:dyDescent="0.3">
      <c r="A88" s="7">
        <v>45897</v>
      </c>
      <c r="B88">
        <v>2</v>
      </c>
      <c r="C88" t="s">
        <v>236</v>
      </c>
      <c r="D88" t="s">
        <v>26</v>
      </c>
      <c r="E88">
        <v>4</v>
      </c>
      <c r="F88">
        <v>1</v>
      </c>
      <c r="G88">
        <v>2</v>
      </c>
      <c r="H88" t="s">
        <v>241</v>
      </c>
      <c r="I88">
        <v>2</v>
      </c>
      <c r="J88" s="10">
        <v>0.27083333333333331</v>
      </c>
      <c r="K88" s="10">
        <v>0.41319444444444442</v>
      </c>
      <c r="L88" s="10">
        <f t="shared" si="3"/>
        <v>0.1423611111111111</v>
      </c>
      <c r="M88" s="12">
        <f t="shared" si="2"/>
        <v>3.4166666666666665</v>
      </c>
      <c r="N88" s="12">
        <f>Table1[[#This Row],[Trip Hours]]*Table1[[#This Row],['#Angler]]</f>
        <v>6.833333333333333</v>
      </c>
      <c r="O88" t="s">
        <v>342</v>
      </c>
      <c r="P88" t="s">
        <v>347</v>
      </c>
      <c r="Q88" t="s">
        <v>241</v>
      </c>
      <c r="R88" s="11">
        <v>0</v>
      </c>
      <c r="S88">
        <v>0</v>
      </c>
      <c r="T88">
        <v>0</v>
      </c>
      <c r="U88">
        <v>0</v>
      </c>
      <c r="V88" s="11">
        <v>0</v>
      </c>
      <c r="W88">
        <v>0</v>
      </c>
      <c r="X88">
        <v>0</v>
      </c>
      <c r="Y88">
        <v>0</v>
      </c>
      <c r="Z88" s="11">
        <f>SUM(Table1[[#This Row],[Chi Kept]],Table1[[#This Row],[Chi Released]])</f>
        <v>0</v>
      </c>
      <c r="AA88">
        <f>SUM(Table1[[#This Row],[Co Kept]],Table1[[#This Row],[Co Released ]])</f>
        <v>0</v>
      </c>
      <c r="AB88">
        <f>SUM(Table1[[#This Row],[Pink Kept]],Table1[[#This Row],[Pink Released]])</f>
        <v>0</v>
      </c>
      <c r="AC88">
        <f>SUM(Table1[[#This Row],[Chu Kept]],Table1[[#This Row],[Chu Released]])</f>
        <v>0</v>
      </c>
    </row>
    <row r="89" spans="1:29" x14ac:dyDescent="0.3">
      <c r="A89" s="7">
        <v>45897</v>
      </c>
      <c r="B89">
        <v>2</v>
      </c>
      <c r="C89" t="s">
        <v>236</v>
      </c>
      <c r="D89" t="s">
        <v>42</v>
      </c>
      <c r="E89">
        <v>5</v>
      </c>
      <c r="F89">
        <v>1</v>
      </c>
      <c r="G89">
        <v>2</v>
      </c>
      <c r="H89" t="s">
        <v>344</v>
      </c>
      <c r="I89">
        <v>2</v>
      </c>
      <c r="J89" s="10">
        <v>0.5</v>
      </c>
      <c r="K89" s="10">
        <v>0.69097222222222221</v>
      </c>
      <c r="L89" s="10">
        <f t="shared" si="3"/>
        <v>0.19097222222222221</v>
      </c>
      <c r="M89" s="12">
        <f t="shared" si="2"/>
        <v>4.583333333333333</v>
      </c>
      <c r="N89" s="12">
        <f>Table1[[#This Row],[Trip Hours]]*Table1[[#This Row],['#Angler]]</f>
        <v>9.1666666666666661</v>
      </c>
      <c r="O89" t="s">
        <v>342</v>
      </c>
      <c r="P89" t="s">
        <v>347</v>
      </c>
      <c r="Q89" t="s">
        <v>241</v>
      </c>
      <c r="R89" s="11">
        <v>0</v>
      </c>
      <c r="S89">
        <v>0</v>
      </c>
      <c r="T89">
        <v>5</v>
      </c>
      <c r="U89">
        <v>0</v>
      </c>
      <c r="V89" s="11">
        <v>0</v>
      </c>
      <c r="W89">
        <v>0</v>
      </c>
      <c r="X89">
        <v>0</v>
      </c>
      <c r="Y89">
        <v>0</v>
      </c>
      <c r="Z89" s="11">
        <f>SUM(Table1[[#This Row],[Chi Kept]],Table1[[#This Row],[Chi Released]])</f>
        <v>0</v>
      </c>
      <c r="AA89">
        <f>SUM(Table1[[#This Row],[Co Kept]],Table1[[#This Row],[Co Released ]])</f>
        <v>0</v>
      </c>
      <c r="AB89">
        <f>SUM(Table1[[#This Row],[Pink Kept]],Table1[[#This Row],[Pink Released]])</f>
        <v>5</v>
      </c>
      <c r="AC89">
        <f>SUM(Table1[[#This Row],[Chu Kept]],Table1[[#This Row],[Chu Released]])</f>
        <v>0</v>
      </c>
    </row>
    <row r="90" spans="1:29" x14ac:dyDescent="0.3">
      <c r="A90" s="7">
        <v>45897</v>
      </c>
      <c r="B90">
        <v>2</v>
      </c>
      <c r="C90" t="s">
        <v>236</v>
      </c>
      <c r="D90" t="s">
        <v>42</v>
      </c>
      <c r="E90">
        <v>6</v>
      </c>
      <c r="F90">
        <v>1</v>
      </c>
      <c r="G90">
        <v>2</v>
      </c>
      <c r="H90" t="s">
        <v>241</v>
      </c>
      <c r="I90">
        <v>1</v>
      </c>
      <c r="J90" s="10">
        <v>0.70138888888888884</v>
      </c>
      <c r="K90" s="10">
        <v>0.70763888888888893</v>
      </c>
      <c r="L90" s="10">
        <f t="shared" si="3"/>
        <v>6.2500000000000888E-3</v>
      </c>
      <c r="M90" s="12">
        <f t="shared" si="2"/>
        <v>0.15000000000000213</v>
      </c>
      <c r="N90" s="12">
        <f>Table1[[#This Row],[Trip Hours]]*Table1[[#This Row],['#Angler]]</f>
        <v>0.15000000000000213</v>
      </c>
      <c r="O90" t="s">
        <v>349</v>
      </c>
      <c r="P90" t="s">
        <v>73</v>
      </c>
      <c r="R90" s="11">
        <v>0</v>
      </c>
      <c r="S90">
        <v>0</v>
      </c>
      <c r="T90">
        <v>0</v>
      </c>
      <c r="U90">
        <v>0</v>
      </c>
      <c r="V90" s="11">
        <v>0</v>
      </c>
      <c r="W90">
        <v>0</v>
      </c>
      <c r="X90">
        <v>0</v>
      </c>
      <c r="Y90">
        <v>0</v>
      </c>
      <c r="Z90" s="11">
        <f>SUM(Table1[[#This Row],[Chi Kept]],Table1[[#This Row],[Chi Released]])</f>
        <v>0</v>
      </c>
      <c r="AA90">
        <f>SUM(Table1[[#This Row],[Co Kept]],Table1[[#This Row],[Co Released ]])</f>
        <v>0</v>
      </c>
      <c r="AB90">
        <f>SUM(Table1[[#This Row],[Pink Kept]],Table1[[#This Row],[Pink Released]])</f>
        <v>0</v>
      </c>
      <c r="AC90">
        <f>SUM(Table1[[#This Row],[Chu Kept]],Table1[[#This Row],[Chu Released]])</f>
        <v>0</v>
      </c>
    </row>
    <row r="91" spans="1:29" x14ac:dyDescent="0.3">
      <c r="A91" s="7">
        <v>45897</v>
      </c>
      <c r="B91">
        <v>2</v>
      </c>
      <c r="C91" t="s">
        <v>236</v>
      </c>
      <c r="D91" t="s">
        <v>42</v>
      </c>
      <c r="E91">
        <v>7</v>
      </c>
      <c r="F91">
        <v>2</v>
      </c>
      <c r="G91">
        <v>5</v>
      </c>
      <c r="H91" t="s">
        <v>241</v>
      </c>
      <c r="I91">
        <v>1</v>
      </c>
      <c r="J91" s="10">
        <v>0.78125</v>
      </c>
      <c r="K91" s="10">
        <v>0.80902777777777779</v>
      </c>
      <c r="L91" s="10">
        <f t="shared" si="3"/>
        <v>2.777777777777779E-2</v>
      </c>
      <c r="M91" s="12">
        <f t="shared" si="2"/>
        <v>0.66666666666666696</v>
      </c>
      <c r="N91" s="12">
        <f>Table1[[#This Row],[Trip Hours]]*Table1[[#This Row],['#Angler]]</f>
        <v>0.66666666666666696</v>
      </c>
      <c r="O91" t="s">
        <v>342</v>
      </c>
      <c r="Q91" t="s">
        <v>345</v>
      </c>
      <c r="R91" s="11">
        <v>0</v>
      </c>
      <c r="S91">
        <v>0</v>
      </c>
      <c r="T91">
        <v>0</v>
      </c>
      <c r="U91">
        <v>0</v>
      </c>
      <c r="V91" s="11">
        <v>0</v>
      </c>
      <c r="W91">
        <v>0</v>
      </c>
      <c r="X91">
        <v>0</v>
      </c>
      <c r="Y91">
        <v>0</v>
      </c>
      <c r="Z91" s="11">
        <f>SUM(Table1[[#This Row],[Chi Kept]],Table1[[#This Row],[Chi Released]])</f>
        <v>0</v>
      </c>
      <c r="AA91">
        <f>SUM(Table1[[#This Row],[Co Kept]],Table1[[#This Row],[Co Released ]])</f>
        <v>0</v>
      </c>
      <c r="AB91">
        <f>SUM(Table1[[#This Row],[Pink Kept]],Table1[[#This Row],[Pink Released]])</f>
        <v>0</v>
      </c>
      <c r="AC91">
        <f>SUM(Table1[[#This Row],[Chu Kept]],Table1[[#This Row],[Chu Released]])</f>
        <v>0</v>
      </c>
    </row>
    <row r="92" spans="1:29" x14ac:dyDescent="0.3">
      <c r="A92" s="7">
        <v>45898</v>
      </c>
      <c r="B92">
        <v>2</v>
      </c>
      <c r="C92" t="s">
        <v>236</v>
      </c>
      <c r="D92" t="s">
        <v>42</v>
      </c>
      <c r="E92">
        <v>1</v>
      </c>
      <c r="F92">
        <v>1</v>
      </c>
      <c r="G92">
        <v>1</v>
      </c>
      <c r="H92" t="s">
        <v>344</v>
      </c>
      <c r="I92">
        <v>3</v>
      </c>
      <c r="J92" s="10">
        <v>0.375</v>
      </c>
      <c r="K92" s="10">
        <v>0.66736111111111107</v>
      </c>
      <c r="L92" s="10">
        <f t="shared" si="3"/>
        <v>0.29236111111111107</v>
      </c>
      <c r="M92" s="12">
        <f t="shared" si="2"/>
        <v>7.0166666666666657</v>
      </c>
      <c r="N92" s="12">
        <f>Table1[[#This Row],[Trip Hours]]*Table1[[#This Row],['#Angler]]</f>
        <v>21.049999999999997</v>
      </c>
      <c r="O92" t="s">
        <v>342</v>
      </c>
      <c r="P92" t="s">
        <v>347</v>
      </c>
      <c r="Q92" t="s">
        <v>343</v>
      </c>
      <c r="R92" s="11">
        <v>0</v>
      </c>
      <c r="S92">
        <v>0</v>
      </c>
      <c r="T92">
        <v>18</v>
      </c>
      <c r="U92">
        <v>0</v>
      </c>
      <c r="V92" s="11">
        <v>0</v>
      </c>
      <c r="W92">
        <v>0</v>
      </c>
      <c r="X92">
        <v>3</v>
      </c>
      <c r="Y92">
        <v>0</v>
      </c>
      <c r="Z92" s="11">
        <f>SUM(Table1[[#This Row],[Chi Kept]],Table1[[#This Row],[Chi Released]])</f>
        <v>0</v>
      </c>
      <c r="AA92">
        <f>SUM(Table1[[#This Row],[Co Kept]],Table1[[#This Row],[Co Released ]])</f>
        <v>0</v>
      </c>
      <c r="AB92">
        <f>SUM(Table1[[#This Row],[Pink Kept]],Table1[[#This Row],[Pink Released]])</f>
        <v>21</v>
      </c>
      <c r="AC92">
        <f>SUM(Table1[[#This Row],[Chu Kept]],Table1[[#This Row],[Chu Released]])</f>
        <v>0</v>
      </c>
    </row>
    <row r="93" spans="1:29" x14ac:dyDescent="0.3">
      <c r="A93" s="7">
        <v>45898</v>
      </c>
      <c r="B93">
        <v>2</v>
      </c>
      <c r="C93" t="s">
        <v>236</v>
      </c>
      <c r="D93" t="s">
        <v>42</v>
      </c>
      <c r="E93">
        <v>2</v>
      </c>
      <c r="F93">
        <v>1</v>
      </c>
      <c r="G93">
        <v>1</v>
      </c>
      <c r="H93" t="s">
        <v>344</v>
      </c>
      <c r="I93">
        <v>2</v>
      </c>
      <c r="J93" s="10">
        <v>0.58333333333333337</v>
      </c>
      <c r="K93" s="10">
        <v>0.72152777777777777</v>
      </c>
      <c r="L93" s="10">
        <f t="shared" si="3"/>
        <v>0.1381944444444444</v>
      </c>
      <c r="M93" s="12">
        <f t="shared" si="2"/>
        <v>3.3166666666666655</v>
      </c>
      <c r="N93" s="12">
        <f>Table1[[#This Row],[Trip Hours]]*Table1[[#This Row],['#Angler]]</f>
        <v>6.6333333333333311</v>
      </c>
      <c r="O93" t="s">
        <v>342</v>
      </c>
      <c r="P93" t="s">
        <v>347</v>
      </c>
      <c r="Q93" t="s">
        <v>343</v>
      </c>
      <c r="R93" s="11">
        <v>0</v>
      </c>
      <c r="S93">
        <v>0</v>
      </c>
      <c r="T93">
        <v>2</v>
      </c>
      <c r="U93">
        <v>0</v>
      </c>
      <c r="V93" s="11">
        <v>0</v>
      </c>
      <c r="W93">
        <v>0</v>
      </c>
      <c r="X93">
        <v>7</v>
      </c>
      <c r="Y93">
        <v>0</v>
      </c>
      <c r="Z93" s="11">
        <f>SUM(Table1[[#This Row],[Chi Kept]],Table1[[#This Row],[Chi Released]])</f>
        <v>0</v>
      </c>
      <c r="AA93">
        <f>SUM(Table1[[#This Row],[Co Kept]],Table1[[#This Row],[Co Released ]])</f>
        <v>0</v>
      </c>
      <c r="AB93">
        <f>SUM(Table1[[#This Row],[Pink Kept]],Table1[[#This Row],[Pink Released]])</f>
        <v>9</v>
      </c>
      <c r="AC93">
        <f>SUM(Table1[[#This Row],[Chu Kept]],Table1[[#This Row],[Chu Released]])</f>
        <v>0</v>
      </c>
    </row>
    <row r="94" spans="1:29" x14ac:dyDescent="0.3">
      <c r="A94" s="7">
        <v>45898</v>
      </c>
      <c r="B94">
        <v>2</v>
      </c>
      <c r="C94" t="s">
        <v>236</v>
      </c>
      <c r="D94" t="s">
        <v>42</v>
      </c>
      <c r="E94">
        <v>3</v>
      </c>
      <c r="F94">
        <v>1</v>
      </c>
      <c r="G94">
        <v>1</v>
      </c>
      <c r="H94" t="s">
        <v>344</v>
      </c>
      <c r="I94">
        <v>1</v>
      </c>
      <c r="J94" s="10">
        <v>0.6875</v>
      </c>
      <c r="K94" s="10">
        <v>0.7583333333333333</v>
      </c>
      <c r="L94" s="10">
        <f t="shared" si="3"/>
        <v>7.0833333333333304E-2</v>
      </c>
      <c r="M94" s="12">
        <f t="shared" si="2"/>
        <v>1.6999999999999993</v>
      </c>
      <c r="N94" s="12">
        <f>Table1[[#This Row],[Trip Hours]]*Table1[[#This Row],['#Angler]]</f>
        <v>1.6999999999999993</v>
      </c>
      <c r="O94" t="s">
        <v>342</v>
      </c>
      <c r="P94" t="s">
        <v>91</v>
      </c>
      <c r="Q94" t="s">
        <v>241</v>
      </c>
      <c r="R94" s="11">
        <v>0</v>
      </c>
      <c r="S94">
        <v>0</v>
      </c>
      <c r="T94">
        <v>0</v>
      </c>
      <c r="U94">
        <v>0</v>
      </c>
      <c r="V94" s="11">
        <v>0</v>
      </c>
      <c r="W94">
        <v>0</v>
      </c>
      <c r="X94">
        <v>0</v>
      </c>
      <c r="Y94">
        <v>0</v>
      </c>
      <c r="Z94" s="11">
        <f>SUM(Table1[[#This Row],[Chi Kept]],Table1[[#This Row],[Chi Released]])</f>
        <v>0</v>
      </c>
      <c r="AA94">
        <f>SUM(Table1[[#This Row],[Co Kept]],Table1[[#This Row],[Co Released ]])</f>
        <v>0</v>
      </c>
      <c r="AB94">
        <f>SUM(Table1[[#This Row],[Pink Kept]],Table1[[#This Row],[Pink Released]])</f>
        <v>0</v>
      </c>
      <c r="AC94">
        <f>SUM(Table1[[#This Row],[Chu Kept]],Table1[[#This Row],[Chu Released]])</f>
        <v>0</v>
      </c>
    </row>
    <row r="95" spans="1:29" x14ac:dyDescent="0.3">
      <c r="A95" s="7">
        <v>45898</v>
      </c>
      <c r="B95">
        <v>2</v>
      </c>
      <c r="C95" t="s">
        <v>236</v>
      </c>
      <c r="D95" t="s">
        <v>42</v>
      </c>
      <c r="E95">
        <v>4</v>
      </c>
      <c r="F95">
        <v>1</v>
      </c>
      <c r="G95">
        <v>1</v>
      </c>
      <c r="H95" t="s">
        <v>344</v>
      </c>
      <c r="I95">
        <v>1</v>
      </c>
      <c r="J95" s="10">
        <v>0.58333333333333337</v>
      </c>
      <c r="K95" s="10">
        <v>0.7583333333333333</v>
      </c>
      <c r="L95" s="10">
        <f t="shared" si="3"/>
        <v>0.17499999999999993</v>
      </c>
      <c r="M95" s="12">
        <f t="shared" si="2"/>
        <v>4.1999999999999984</v>
      </c>
      <c r="N95" s="12">
        <f>Table1[[#This Row],[Trip Hours]]*Table1[[#This Row],['#Angler]]</f>
        <v>4.1999999999999984</v>
      </c>
      <c r="O95" t="s">
        <v>342</v>
      </c>
      <c r="P95" t="s">
        <v>347</v>
      </c>
      <c r="Q95" t="s">
        <v>343</v>
      </c>
      <c r="R95" s="11">
        <v>0</v>
      </c>
      <c r="S95">
        <v>0</v>
      </c>
      <c r="T95">
        <v>0</v>
      </c>
      <c r="U95">
        <v>0</v>
      </c>
      <c r="V95" s="11">
        <v>0</v>
      </c>
      <c r="W95">
        <v>0</v>
      </c>
      <c r="X95">
        <v>20</v>
      </c>
      <c r="Y95">
        <v>0</v>
      </c>
      <c r="Z95" s="11">
        <f>SUM(Table1[[#This Row],[Chi Kept]],Table1[[#This Row],[Chi Released]])</f>
        <v>0</v>
      </c>
      <c r="AA95">
        <f>SUM(Table1[[#This Row],[Co Kept]],Table1[[#This Row],[Co Released ]])</f>
        <v>0</v>
      </c>
      <c r="AB95">
        <f>SUM(Table1[[#This Row],[Pink Kept]],Table1[[#This Row],[Pink Released]])</f>
        <v>20</v>
      </c>
      <c r="AC95">
        <f>SUM(Table1[[#This Row],[Chu Kept]],Table1[[#This Row],[Chu Released]])</f>
        <v>0</v>
      </c>
    </row>
    <row r="96" spans="1:29" x14ac:dyDescent="0.3">
      <c r="A96" s="7">
        <v>45898</v>
      </c>
      <c r="B96">
        <v>2</v>
      </c>
      <c r="C96" t="s">
        <v>236</v>
      </c>
      <c r="D96" t="s">
        <v>42</v>
      </c>
      <c r="E96">
        <v>5</v>
      </c>
      <c r="F96">
        <v>1</v>
      </c>
      <c r="G96">
        <v>1</v>
      </c>
      <c r="H96" t="s">
        <v>344</v>
      </c>
      <c r="I96">
        <v>3</v>
      </c>
      <c r="J96" s="10">
        <v>0.625</v>
      </c>
      <c r="K96" s="10">
        <v>0.76458333333333328</v>
      </c>
      <c r="L96" s="10">
        <f t="shared" si="3"/>
        <v>0.13958333333333328</v>
      </c>
      <c r="M96" s="12">
        <f t="shared" si="2"/>
        <v>3.3499999999999988</v>
      </c>
      <c r="N96" s="12">
        <f>Table1[[#This Row],[Trip Hours]]*Table1[[#This Row],['#Angler]]</f>
        <v>10.049999999999997</v>
      </c>
      <c r="O96" t="s">
        <v>342</v>
      </c>
      <c r="P96" t="s">
        <v>347</v>
      </c>
      <c r="Q96" t="s">
        <v>343</v>
      </c>
      <c r="R96" s="11">
        <v>0</v>
      </c>
      <c r="S96">
        <v>0</v>
      </c>
      <c r="T96">
        <v>0</v>
      </c>
      <c r="U96">
        <v>0</v>
      </c>
      <c r="V96" s="11">
        <v>0</v>
      </c>
      <c r="W96">
        <v>0</v>
      </c>
      <c r="X96">
        <v>0</v>
      </c>
      <c r="Y96">
        <v>0</v>
      </c>
      <c r="Z96" s="11">
        <f>SUM(Table1[[#This Row],[Chi Kept]],Table1[[#This Row],[Chi Released]])</f>
        <v>0</v>
      </c>
      <c r="AA96">
        <f>SUM(Table1[[#This Row],[Co Kept]],Table1[[#This Row],[Co Released ]])</f>
        <v>0</v>
      </c>
      <c r="AB96">
        <f>SUM(Table1[[#This Row],[Pink Kept]],Table1[[#This Row],[Pink Released]])</f>
        <v>0</v>
      </c>
      <c r="AC96">
        <f>SUM(Table1[[#This Row],[Chu Kept]],Table1[[#This Row],[Chu Released]])</f>
        <v>0</v>
      </c>
    </row>
    <row r="97" spans="1:29" x14ac:dyDescent="0.3">
      <c r="A97" s="7">
        <v>45898</v>
      </c>
      <c r="B97">
        <v>2</v>
      </c>
      <c r="C97" t="s">
        <v>236</v>
      </c>
      <c r="D97" t="s">
        <v>42</v>
      </c>
      <c r="E97">
        <v>6</v>
      </c>
      <c r="F97">
        <v>1</v>
      </c>
      <c r="G97">
        <v>1</v>
      </c>
      <c r="H97" t="s">
        <v>344</v>
      </c>
      <c r="I97">
        <v>2</v>
      </c>
      <c r="J97" s="10">
        <v>0.64583333333333337</v>
      </c>
      <c r="K97" s="10">
        <v>0.76458333333333328</v>
      </c>
      <c r="L97" s="10">
        <f t="shared" si="3"/>
        <v>0.11874999999999991</v>
      </c>
      <c r="M97" s="12">
        <f t="shared" si="2"/>
        <v>2.8499999999999979</v>
      </c>
      <c r="N97" s="12">
        <f>Table1[[#This Row],[Trip Hours]]*Table1[[#This Row],['#Angler]]</f>
        <v>5.6999999999999957</v>
      </c>
      <c r="O97" t="s">
        <v>342</v>
      </c>
      <c r="Q97" t="s">
        <v>353</v>
      </c>
      <c r="R97" s="11">
        <v>0</v>
      </c>
      <c r="S97">
        <v>0</v>
      </c>
      <c r="T97">
        <v>0</v>
      </c>
      <c r="U97">
        <v>0</v>
      </c>
      <c r="V97" s="11">
        <v>0</v>
      </c>
      <c r="W97">
        <v>0</v>
      </c>
      <c r="X97">
        <v>4</v>
      </c>
      <c r="Y97">
        <v>0</v>
      </c>
      <c r="Z97" s="11">
        <f>SUM(Table1[[#This Row],[Chi Kept]],Table1[[#This Row],[Chi Released]])</f>
        <v>0</v>
      </c>
      <c r="AA97">
        <f>SUM(Table1[[#This Row],[Co Kept]],Table1[[#This Row],[Co Released ]])</f>
        <v>0</v>
      </c>
      <c r="AB97">
        <f>SUM(Table1[[#This Row],[Pink Kept]],Table1[[#This Row],[Pink Released]])</f>
        <v>4</v>
      </c>
      <c r="AC97">
        <f>SUM(Table1[[#This Row],[Chu Kept]],Table1[[#This Row],[Chu Released]])</f>
        <v>0</v>
      </c>
    </row>
    <row r="98" spans="1:29" x14ac:dyDescent="0.3">
      <c r="A98" s="7">
        <v>45898</v>
      </c>
      <c r="B98">
        <v>2</v>
      </c>
      <c r="C98" t="s">
        <v>236</v>
      </c>
      <c r="D98" t="s">
        <v>42</v>
      </c>
      <c r="E98">
        <v>7</v>
      </c>
      <c r="F98">
        <v>1</v>
      </c>
      <c r="G98">
        <v>1</v>
      </c>
      <c r="H98" t="s">
        <v>344</v>
      </c>
      <c r="I98">
        <v>2</v>
      </c>
      <c r="J98" s="10">
        <v>0.64583333333333337</v>
      </c>
      <c r="K98" s="10">
        <v>0.79861111111111116</v>
      </c>
      <c r="L98" s="10">
        <f t="shared" si="3"/>
        <v>0.15277777777777779</v>
      </c>
      <c r="M98" s="12">
        <f t="shared" si="2"/>
        <v>3.666666666666667</v>
      </c>
      <c r="N98" s="12">
        <f>Table1[[#This Row],[Trip Hours]]*Table1[[#This Row],['#Angler]]</f>
        <v>7.3333333333333339</v>
      </c>
      <c r="O98" t="s">
        <v>342</v>
      </c>
      <c r="P98" t="s">
        <v>347</v>
      </c>
      <c r="Q98" t="s">
        <v>343</v>
      </c>
      <c r="R98" s="11">
        <v>0</v>
      </c>
      <c r="S98">
        <v>3</v>
      </c>
      <c r="T98">
        <v>9</v>
      </c>
      <c r="U98">
        <v>0</v>
      </c>
      <c r="V98" s="11">
        <v>0</v>
      </c>
      <c r="W98">
        <v>0</v>
      </c>
      <c r="X98">
        <v>0</v>
      </c>
      <c r="Y98">
        <v>0</v>
      </c>
      <c r="Z98" s="11">
        <f>SUM(Table1[[#This Row],[Chi Kept]],Table1[[#This Row],[Chi Released]])</f>
        <v>0</v>
      </c>
      <c r="AA98">
        <f>SUM(Table1[[#This Row],[Co Kept]],Table1[[#This Row],[Co Released ]])</f>
        <v>3</v>
      </c>
      <c r="AB98">
        <f>SUM(Table1[[#This Row],[Pink Kept]],Table1[[#This Row],[Pink Released]])</f>
        <v>9</v>
      </c>
      <c r="AC98">
        <f>SUM(Table1[[#This Row],[Chu Kept]],Table1[[#This Row],[Chu Released]])</f>
        <v>0</v>
      </c>
    </row>
    <row r="99" spans="1:29" x14ac:dyDescent="0.3">
      <c r="A99" s="7">
        <v>45898</v>
      </c>
      <c r="B99">
        <v>2</v>
      </c>
      <c r="C99" t="s">
        <v>236</v>
      </c>
      <c r="D99" t="s">
        <v>42</v>
      </c>
      <c r="E99">
        <v>8</v>
      </c>
      <c r="F99">
        <v>1</v>
      </c>
      <c r="G99">
        <v>1</v>
      </c>
      <c r="H99" t="s">
        <v>344</v>
      </c>
      <c r="I99">
        <v>2</v>
      </c>
      <c r="J99" s="10">
        <v>0.6875</v>
      </c>
      <c r="K99" s="10">
        <v>0.80694444444444446</v>
      </c>
      <c r="L99" s="10">
        <f t="shared" si="3"/>
        <v>0.11944444444444446</v>
      </c>
      <c r="M99" s="12">
        <f t="shared" si="2"/>
        <v>2.8666666666666671</v>
      </c>
      <c r="N99" s="12">
        <f>Table1[[#This Row],[Trip Hours]]*Table1[[#This Row],['#Angler]]</f>
        <v>5.7333333333333343</v>
      </c>
      <c r="O99" t="s">
        <v>342</v>
      </c>
      <c r="P99" t="s">
        <v>347</v>
      </c>
      <c r="Q99" t="s">
        <v>343</v>
      </c>
      <c r="R99" s="11">
        <v>0</v>
      </c>
      <c r="S99">
        <v>0</v>
      </c>
      <c r="T99">
        <v>6</v>
      </c>
      <c r="U99">
        <v>0</v>
      </c>
      <c r="V99" s="11">
        <v>0</v>
      </c>
      <c r="W99">
        <v>0</v>
      </c>
      <c r="X99">
        <v>5</v>
      </c>
      <c r="Y99">
        <v>0</v>
      </c>
      <c r="Z99" s="11">
        <f>SUM(Table1[[#This Row],[Chi Kept]],Table1[[#This Row],[Chi Released]])</f>
        <v>0</v>
      </c>
      <c r="AA99">
        <f>SUM(Table1[[#This Row],[Co Kept]],Table1[[#This Row],[Co Released ]])</f>
        <v>0</v>
      </c>
      <c r="AB99">
        <f>SUM(Table1[[#This Row],[Pink Kept]],Table1[[#This Row],[Pink Released]])</f>
        <v>11</v>
      </c>
      <c r="AC99">
        <f>SUM(Table1[[#This Row],[Chu Kept]],Table1[[#This Row],[Chu Released]])</f>
        <v>0</v>
      </c>
    </row>
    <row r="100" spans="1:29" x14ac:dyDescent="0.3">
      <c r="A100" s="7">
        <v>45898</v>
      </c>
      <c r="B100">
        <v>2</v>
      </c>
      <c r="C100" t="s">
        <v>236</v>
      </c>
      <c r="D100" t="s">
        <v>42</v>
      </c>
      <c r="E100">
        <v>9</v>
      </c>
      <c r="F100">
        <v>1</v>
      </c>
      <c r="G100">
        <v>1</v>
      </c>
      <c r="H100" t="s">
        <v>344</v>
      </c>
      <c r="I100">
        <v>4</v>
      </c>
      <c r="J100" s="10">
        <v>0.72916666666666663</v>
      </c>
      <c r="K100" s="10">
        <v>0.81736111111111109</v>
      </c>
      <c r="L100" s="10">
        <f t="shared" si="3"/>
        <v>8.8194444444444464E-2</v>
      </c>
      <c r="M100" s="12">
        <f t="shared" si="2"/>
        <v>2.1166666666666671</v>
      </c>
      <c r="N100" s="12">
        <f>Table1[[#This Row],[Trip Hours]]*Table1[[#This Row],['#Angler]]</f>
        <v>8.4666666666666686</v>
      </c>
      <c r="O100" t="s">
        <v>342</v>
      </c>
      <c r="P100" t="s">
        <v>347</v>
      </c>
      <c r="Q100" t="s">
        <v>343</v>
      </c>
      <c r="R100" s="11">
        <v>0</v>
      </c>
      <c r="S100">
        <v>0</v>
      </c>
      <c r="T100">
        <v>16</v>
      </c>
      <c r="U100">
        <v>0</v>
      </c>
      <c r="V100" s="11">
        <v>0</v>
      </c>
      <c r="W100">
        <v>0</v>
      </c>
      <c r="X100">
        <v>0</v>
      </c>
      <c r="Y100">
        <v>0</v>
      </c>
      <c r="Z100" s="11">
        <f>SUM(Table1[[#This Row],[Chi Kept]],Table1[[#This Row],[Chi Released]])</f>
        <v>0</v>
      </c>
      <c r="AA100">
        <f>SUM(Table1[[#This Row],[Co Kept]],Table1[[#This Row],[Co Released ]])</f>
        <v>0</v>
      </c>
      <c r="AB100">
        <f>SUM(Table1[[#This Row],[Pink Kept]],Table1[[#This Row],[Pink Released]])</f>
        <v>16</v>
      </c>
      <c r="AC100">
        <f>SUM(Table1[[#This Row],[Chu Kept]],Table1[[#This Row],[Chu Released]])</f>
        <v>0</v>
      </c>
    </row>
    <row r="101" spans="1:29" x14ac:dyDescent="0.3">
      <c r="A101" s="7">
        <v>45899</v>
      </c>
      <c r="B101">
        <v>2</v>
      </c>
      <c r="C101" t="s">
        <v>250</v>
      </c>
      <c r="D101" t="s">
        <v>26</v>
      </c>
      <c r="E101">
        <v>1</v>
      </c>
      <c r="F101">
        <v>1</v>
      </c>
      <c r="G101">
        <v>2</v>
      </c>
      <c r="H101" t="s">
        <v>344</v>
      </c>
      <c r="I101">
        <v>1</v>
      </c>
      <c r="J101" s="10">
        <v>0.29166666666666669</v>
      </c>
      <c r="K101" s="10">
        <v>0.38541666666666669</v>
      </c>
      <c r="L101" s="10">
        <f t="shared" si="3"/>
        <v>9.375E-2</v>
      </c>
      <c r="M101" s="12">
        <f t="shared" si="2"/>
        <v>2.25</v>
      </c>
      <c r="N101" s="12">
        <f>Table1[[#This Row],[Trip Hours]]*Table1[[#This Row],['#Angler]]</f>
        <v>2.25</v>
      </c>
      <c r="O101" t="s">
        <v>342</v>
      </c>
      <c r="P101" t="s">
        <v>347</v>
      </c>
      <c r="Q101" t="s">
        <v>241</v>
      </c>
      <c r="R101" s="11">
        <v>0</v>
      </c>
      <c r="S101">
        <v>0</v>
      </c>
      <c r="T101">
        <v>0</v>
      </c>
      <c r="U101">
        <v>0</v>
      </c>
      <c r="V101" s="11">
        <v>0</v>
      </c>
      <c r="W101">
        <v>0</v>
      </c>
      <c r="X101">
        <v>3</v>
      </c>
      <c r="Y101">
        <v>0</v>
      </c>
      <c r="Z101" s="11">
        <f>SUM(Table1[[#This Row],[Chi Kept]],Table1[[#This Row],[Chi Released]])</f>
        <v>0</v>
      </c>
      <c r="AA101">
        <f>SUM(Table1[[#This Row],[Co Kept]],Table1[[#This Row],[Co Released ]])</f>
        <v>0</v>
      </c>
      <c r="AB101">
        <f>SUM(Table1[[#This Row],[Pink Kept]],Table1[[#This Row],[Pink Released]])</f>
        <v>3</v>
      </c>
      <c r="AC101">
        <f>SUM(Table1[[#This Row],[Chu Kept]],Table1[[#This Row],[Chu Released]])</f>
        <v>0</v>
      </c>
    </row>
    <row r="102" spans="1:29" x14ac:dyDescent="0.3">
      <c r="A102" s="7">
        <v>45899</v>
      </c>
      <c r="B102">
        <v>2</v>
      </c>
      <c r="C102" t="s">
        <v>250</v>
      </c>
      <c r="D102" t="s">
        <v>26</v>
      </c>
      <c r="E102">
        <v>2</v>
      </c>
      <c r="F102">
        <v>1</v>
      </c>
      <c r="G102">
        <v>2</v>
      </c>
      <c r="H102" t="s">
        <v>241</v>
      </c>
      <c r="I102">
        <v>1</v>
      </c>
      <c r="J102" s="10">
        <v>0.35416666666666669</v>
      </c>
      <c r="K102" s="10">
        <v>0.40625</v>
      </c>
      <c r="L102" s="10">
        <f t="shared" si="3"/>
        <v>5.2083333333333315E-2</v>
      </c>
      <c r="M102" s="12">
        <f t="shared" si="2"/>
        <v>1.2499999999999996</v>
      </c>
      <c r="N102" s="12">
        <f>Table1[[#This Row],[Trip Hours]]*Table1[[#This Row],['#Angler]]</f>
        <v>1.2499999999999996</v>
      </c>
      <c r="O102" t="s">
        <v>342</v>
      </c>
      <c r="P102" t="s">
        <v>347</v>
      </c>
      <c r="Q102" t="s">
        <v>343</v>
      </c>
      <c r="R102" s="11">
        <v>0</v>
      </c>
      <c r="S102">
        <v>0</v>
      </c>
      <c r="T102">
        <v>0</v>
      </c>
      <c r="U102">
        <v>0</v>
      </c>
      <c r="V102" s="11">
        <v>0</v>
      </c>
      <c r="W102">
        <v>0</v>
      </c>
      <c r="X102">
        <v>0</v>
      </c>
      <c r="Y102">
        <v>0</v>
      </c>
      <c r="Z102" s="11">
        <f>SUM(Table1[[#This Row],[Chi Kept]],Table1[[#This Row],[Chi Released]])</f>
        <v>0</v>
      </c>
      <c r="AA102">
        <f>SUM(Table1[[#This Row],[Co Kept]],Table1[[#This Row],[Co Released ]])</f>
        <v>0</v>
      </c>
      <c r="AB102">
        <f>SUM(Table1[[#This Row],[Pink Kept]],Table1[[#This Row],[Pink Released]])</f>
        <v>0</v>
      </c>
      <c r="AC102">
        <f>SUM(Table1[[#This Row],[Chu Kept]],Table1[[#This Row],[Chu Released]])</f>
        <v>0</v>
      </c>
    </row>
    <row r="103" spans="1:29" x14ac:dyDescent="0.3">
      <c r="A103" s="7">
        <v>45899</v>
      </c>
      <c r="B103">
        <v>2</v>
      </c>
      <c r="C103" t="s">
        <v>250</v>
      </c>
      <c r="D103" t="s">
        <v>26</v>
      </c>
      <c r="E103">
        <v>3</v>
      </c>
      <c r="F103">
        <v>1</v>
      </c>
      <c r="G103">
        <v>2</v>
      </c>
      <c r="H103" t="s">
        <v>241</v>
      </c>
      <c r="I103">
        <v>1</v>
      </c>
      <c r="J103" s="10">
        <v>0.26041666666666669</v>
      </c>
      <c r="K103" s="10">
        <v>0.4236111111111111</v>
      </c>
      <c r="L103" s="10">
        <f t="shared" si="3"/>
        <v>0.16319444444444442</v>
      </c>
      <c r="M103" s="12">
        <f t="shared" si="2"/>
        <v>3.9166666666666661</v>
      </c>
      <c r="N103" s="12">
        <f>Table1[[#This Row],[Trip Hours]]*Table1[[#This Row],['#Angler]]</f>
        <v>3.9166666666666661</v>
      </c>
      <c r="O103" t="s">
        <v>342</v>
      </c>
      <c r="P103" t="s">
        <v>347</v>
      </c>
      <c r="Q103" t="s">
        <v>343</v>
      </c>
      <c r="R103" s="11">
        <v>0</v>
      </c>
      <c r="S103">
        <v>0</v>
      </c>
      <c r="T103">
        <v>6</v>
      </c>
      <c r="U103">
        <v>0</v>
      </c>
      <c r="V103" s="11">
        <v>0</v>
      </c>
      <c r="W103">
        <v>0</v>
      </c>
      <c r="X103">
        <v>0</v>
      </c>
      <c r="Y103">
        <v>0</v>
      </c>
      <c r="Z103" s="11">
        <f>SUM(Table1[[#This Row],[Chi Kept]],Table1[[#This Row],[Chi Released]])</f>
        <v>0</v>
      </c>
      <c r="AA103">
        <f>SUM(Table1[[#This Row],[Co Kept]],Table1[[#This Row],[Co Released ]])</f>
        <v>0</v>
      </c>
      <c r="AB103">
        <f>SUM(Table1[[#This Row],[Pink Kept]],Table1[[#This Row],[Pink Released]])</f>
        <v>6</v>
      </c>
      <c r="AC103">
        <f>SUM(Table1[[#This Row],[Chu Kept]],Table1[[#This Row],[Chu Released]])</f>
        <v>0</v>
      </c>
    </row>
    <row r="104" spans="1:29" x14ac:dyDescent="0.3">
      <c r="A104" s="7">
        <v>45899</v>
      </c>
      <c r="B104">
        <v>2</v>
      </c>
      <c r="C104" t="s">
        <v>250</v>
      </c>
      <c r="D104" t="s">
        <v>26</v>
      </c>
      <c r="E104">
        <v>4</v>
      </c>
      <c r="F104">
        <v>1</v>
      </c>
      <c r="G104">
        <v>1</v>
      </c>
      <c r="H104" t="s">
        <v>344</v>
      </c>
      <c r="I104">
        <v>1</v>
      </c>
      <c r="J104" s="10">
        <v>0.25</v>
      </c>
      <c r="K104" s="10">
        <v>0.4375</v>
      </c>
      <c r="L104" s="10">
        <f t="shared" si="3"/>
        <v>0.1875</v>
      </c>
      <c r="M104" s="12">
        <f t="shared" si="2"/>
        <v>4.5</v>
      </c>
      <c r="N104" s="12">
        <f>Table1[[#This Row],[Trip Hours]]*Table1[[#This Row],['#Angler]]</f>
        <v>4.5</v>
      </c>
      <c r="O104" t="s">
        <v>342</v>
      </c>
      <c r="Q104" t="s">
        <v>247</v>
      </c>
      <c r="R104" s="11">
        <v>0</v>
      </c>
      <c r="S104">
        <v>3</v>
      </c>
      <c r="T104">
        <v>0</v>
      </c>
      <c r="U104">
        <v>0</v>
      </c>
      <c r="V104" s="11">
        <v>0</v>
      </c>
      <c r="W104">
        <v>2</v>
      </c>
      <c r="X104">
        <v>0</v>
      </c>
      <c r="Y104">
        <v>0</v>
      </c>
      <c r="Z104" s="11">
        <f>SUM(Table1[[#This Row],[Chi Kept]],Table1[[#This Row],[Chi Released]])</f>
        <v>0</v>
      </c>
      <c r="AA104">
        <f>SUM(Table1[[#This Row],[Co Kept]],Table1[[#This Row],[Co Released ]])</f>
        <v>5</v>
      </c>
      <c r="AB104">
        <f>SUM(Table1[[#This Row],[Pink Kept]],Table1[[#This Row],[Pink Released]])</f>
        <v>0</v>
      </c>
      <c r="AC104">
        <f>SUM(Table1[[#This Row],[Chu Kept]],Table1[[#This Row],[Chu Released]])</f>
        <v>0</v>
      </c>
    </row>
    <row r="105" spans="1:29" x14ac:dyDescent="0.3">
      <c r="A105" s="7">
        <v>45899</v>
      </c>
      <c r="B105">
        <v>2</v>
      </c>
      <c r="C105" t="s">
        <v>250</v>
      </c>
      <c r="D105" t="s">
        <v>26</v>
      </c>
      <c r="E105">
        <v>5</v>
      </c>
      <c r="F105">
        <v>1</v>
      </c>
      <c r="G105">
        <v>1</v>
      </c>
      <c r="H105" t="s">
        <v>344</v>
      </c>
      <c r="I105">
        <v>3</v>
      </c>
      <c r="J105" s="10">
        <v>0.22916666666666666</v>
      </c>
      <c r="K105" s="10">
        <v>0.43958333333333333</v>
      </c>
      <c r="L105" s="10">
        <f t="shared" si="3"/>
        <v>0.21041666666666667</v>
      </c>
      <c r="M105" s="12">
        <f t="shared" si="2"/>
        <v>5.05</v>
      </c>
      <c r="N105" s="12">
        <f>Table1[[#This Row],[Trip Hours]]*Table1[[#This Row],['#Angler]]</f>
        <v>15.149999999999999</v>
      </c>
      <c r="O105" t="s">
        <v>342</v>
      </c>
      <c r="Q105" t="s">
        <v>247</v>
      </c>
      <c r="R105" s="11">
        <v>0</v>
      </c>
      <c r="S105">
        <v>9</v>
      </c>
      <c r="T105">
        <v>0</v>
      </c>
      <c r="U105">
        <v>0</v>
      </c>
      <c r="V105" s="11">
        <v>0</v>
      </c>
      <c r="W105">
        <v>0</v>
      </c>
      <c r="X105">
        <v>20</v>
      </c>
      <c r="Y105">
        <v>0</v>
      </c>
      <c r="Z105" s="11">
        <f>SUM(Table1[[#This Row],[Chi Kept]],Table1[[#This Row],[Chi Released]])</f>
        <v>0</v>
      </c>
      <c r="AA105">
        <f>SUM(Table1[[#This Row],[Co Kept]],Table1[[#This Row],[Co Released ]])</f>
        <v>9</v>
      </c>
      <c r="AB105">
        <f>SUM(Table1[[#This Row],[Pink Kept]],Table1[[#This Row],[Pink Released]])</f>
        <v>20</v>
      </c>
      <c r="AC105">
        <f>SUM(Table1[[#This Row],[Chu Kept]],Table1[[#This Row],[Chu Released]])</f>
        <v>0</v>
      </c>
    </row>
    <row r="106" spans="1:29" x14ac:dyDescent="0.3">
      <c r="A106" s="7">
        <v>45899</v>
      </c>
      <c r="B106">
        <v>2</v>
      </c>
      <c r="C106" t="s">
        <v>250</v>
      </c>
      <c r="D106" t="s">
        <v>26</v>
      </c>
      <c r="E106">
        <v>6</v>
      </c>
      <c r="F106">
        <v>1</v>
      </c>
      <c r="G106">
        <v>1</v>
      </c>
      <c r="H106" t="s">
        <v>344</v>
      </c>
      <c r="I106">
        <v>3</v>
      </c>
      <c r="J106" s="10">
        <v>0.27083333333333331</v>
      </c>
      <c r="K106" s="10">
        <v>0.43958333333333333</v>
      </c>
      <c r="L106" s="10">
        <f t="shared" si="3"/>
        <v>0.16875000000000001</v>
      </c>
      <c r="M106" s="12">
        <f t="shared" si="2"/>
        <v>4.0500000000000007</v>
      </c>
      <c r="N106" s="12">
        <f>Table1[[#This Row],[Trip Hours]]*Table1[[#This Row],['#Angler]]</f>
        <v>12.150000000000002</v>
      </c>
      <c r="O106" t="s">
        <v>342</v>
      </c>
      <c r="P106" t="s">
        <v>354</v>
      </c>
      <c r="Q106" t="s">
        <v>247</v>
      </c>
      <c r="R106" s="11">
        <v>0</v>
      </c>
      <c r="S106">
        <v>2</v>
      </c>
      <c r="T106">
        <v>0</v>
      </c>
      <c r="U106">
        <v>0</v>
      </c>
      <c r="V106" s="11">
        <v>0</v>
      </c>
      <c r="W106">
        <v>0</v>
      </c>
      <c r="X106">
        <v>8</v>
      </c>
      <c r="Y106">
        <v>0</v>
      </c>
      <c r="Z106" s="11">
        <f>SUM(Table1[[#This Row],[Chi Kept]],Table1[[#This Row],[Chi Released]])</f>
        <v>0</v>
      </c>
      <c r="AA106">
        <f>SUM(Table1[[#This Row],[Co Kept]],Table1[[#This Row],[Co Released ]])</f>
        <v>2</v>
      </c>
      <c r="AB106">
        <f>SUM(Table1[[#This Row],[Pink Kept]],Table1[[#This Row],[Pink Released]])</f>
        <v>8</v>
      </c>
      <c r="AC106">
        <f>SUM(Table1[[#This Row],[Chu Kept]],Table1[[#This Row],[Chu Released]])</f>
        <v>0</v>
      </c>
    </row>
    <row r="107" spans="1:29" x14ac:dyDescent="0.3">
      <c r="A107" s="7">
        <v>45899</v>
      </c>
      <c r="B107">
        <v>2</v>
      </c>
      <c r="C107" t="s">
        <v>250</v>
      </c>
      <c r="D107" t="s">
        <v>26</v>
      </c>
      <c r="E107">
        <v>7</v>
      </c>
      <c r="F107">
        <v>1</v>
      </c>
      <c r="G107">
        <v>1</v>
      </c>
      <c r="H107" t="s">
        <v>344</v>
      </c>
      <c r="I107">
        <v>2</v>
      </c>
      <c r="J107" s="10">
        <v>0.23958333333333334</v>
      </c>
      <c r="K107" s="10">
        <v>0.43958333333333333</v>
      </c>
      <c r="L107" s="10">
        <f t="shared" si="3"/>
        <v>0.19999999999999998</v>
      </c>
      <c r="M107" s="12">
        <f t="shared" si="2"/>
        <v>4.8</v>
      </c>
      <c r="N107" s="12">
        <f>Table1[[#This Row],[Trip Hours]]*Table1[[#This Row],['#Angler]]</f>
        <v>9.6</v>
      </c>
      <c r="O107" t="s">
        <v>342</v>
      </c>
      <c r="P107" t="s">
        <v>347</v>
      </c>
      <c r="Q107" t="s">
        <v>343</v>
      </c>
      <c r="R107" s="11">
        <v>0</v>
      </c>
      <c r="S107">
        <v>0</v>
      </c>
      <c r="T107">
        <v>9</v>
      </c>
      <c r="U107">
        <v>0</v>
      </c>
      <c r="V107" s="11">
        <v>0</v>
      </c>
      <c r="W107">
        <v>0</v>
      </c>
      <c r="X107">
        <v>0</v>
      </c>
      <c r="Y107">
        <v>0</v>
      </c>
      <c r="Z107" s="11">
        <f>SUM(Table1[[#This Row],[Chi Kept]],Table1[[#This Row],[Chi Released]])</f>
        <v>0</v>
      </c>
      <c r="AA107">
        <f>SUM(Table1[[#This Row],[Co Kept]],Table1[[#This Row],[Co Released ]])</f>
        <v>0</v>
      </c>
      <c r="AB107">
        <f>SUM(Table1[[#This Row],[Pink Kept]],Table1[[#This Row],[Pink Released]])</f>
        <v>9</v>
      </c>
      <c r="AC107">
        <f>SUM(Table1[[#This Row],[Chu Kept]],Table1[[#This Row],[Chu Released]])</f>
        <v>0</v>
      </c>
    </row>
    <row r="108" spans="1:29" x14ac:dyDescent="0.3">
      <c r="A108" s="7">
        <v>45899</v>
      </c>
      <c r="B108">
        <v>2</v>
      </c>
      <c r="C108" t="s">
        <v>250</v>
      </c>
      <c r="D108" t="s">
        <v>26</v>
      </c>
      <c r="E108">
        <v>8</v>
      </c>
      <c r="F108">
        <v>1</v>
      </c>
      <c r="G108">
        <v>1</v>
      </c>
      <c r="H108" t="s">
        <v>344</v>
      </c>
      <c r="I108">
        <v>2</v>
      </c>
      <c r="J108" s="10">
        <v>0.22916666666666666</v>
      </c>
      <c r="K108" s="10">
        <v>0.44097222222222221</v>
      </c>
      <c r="L108" s="10">
        <f t="shared" si="3"/>
        <v>0.21180555555555555</v>
      </c>
      <c r="M108" s="12">
        <f t="shared" si="2"/>
        <v>5.083333333333333</v>
      </c>
      <c r="N108" s="12">
        <f>Table1[[#This Row],[Trip Hours]]*Table1[[#This Row],['#Angler]]</f>
        <v>10.166666666666666</v>
      </c>
      <c r="O108" t="s">
        <v>342</v>
      </c>
      <c r="P108" t="s">
        <v>347</v>
      </c>
      <c r="Q108" t="s">
        <v>343</v>
      </c>
      <c r="R108" s="11">
        <v>0</v>
      </c>
      <c r="S108">
        <v>0</v>
      </c>
      <c r="T108">
        <v>1</v>
      </c>
      <c r="U108">
        <v>0</v>
      </c>
      <c r="V108" s="11">
        <v>0</v>
      </c>
      <c r="W108">
        <v>0</v>
      </c>
      <c r="X108">
        <v>0</v>
      </c>
      <c r="Y108">
        <v>0</v>
      </c>
      <c r="Z108" s="11">
        <f>SUM(Table1[[#This Row],[Chi Kept]],Table1[[#This Row],[Chi Released]])</f>
        <v>0</v>
      </c>
      <c r="AA108">
        <f>SUM(Table1[[#This Row],[Co Kept]],Table1[[#This Row],[Co Released ]])</f>
        <v>0</v>
      </c>
      <c r="AB108">
        <f>SUM(Table1[[#This Row],[Pink Kept]],Table1[[#This Row],[Pink Released]])</f>
        <v>1</v>
      </c>
      <c r="AC108">
        <f>SUM(Table1[[#This Row],[Chu Kept]],Table1[[#This Row],[Chu Released]])</f>
        <v>0</v>
      </c>
    </row>
    <row r="109" spans="1:29" x14ac:dyDescent="0.3">
      <c r="A109" s="7">
        <v>45899</v>
      </c>
      <c r="B109">
        <v>2</v>
      </c>
      <c r="C109" t="s">
        <v>250</v>
      </c>
      <c r="D109" t="s">
        <v>42</v>
      </c>
      <c r="E109">
        <v>9</v>
      </c>
      <c r="F109">
        <v>1</v>
      </c>
      <c r="G109">
        <v>2</v>
      </c>
      <c r="H109" t="s">
        <v>344</v>
      </c>
      <c r="I109">
        <v>1</v>
      </c>
      <c r="J109" s="10">
        <v>0.29166666666666669</v>
      </c>
      <c r="K109" s="10">
        <v>0.59375</v>
      </c>
      <c r="L109" s="10">
        <f t="shared" si="3"/>
        <v>0.30208333333333331</v>
      </c>
      <c r="M109" s="12">
        <f t="shared" si="2"/>
        <v>7.25</v>
      </c>
      <c r="N109" s="12">
        <f>Table1[[#This Row],[Trip Hours]]*Table1[[#This Row],['#Angler]]</f>
        <v>7.25</v>
      </c>
      <c r="O109" t="s">
        <v>342</v>
      </c>
      <c r="Q109" t="s">
        <v>343</v>
      </c>
      <c r="R109" s="11">
        <v>0</v>
      </c>
      <c r="S109">
        <v>0</v>
      </c>
      <c r="T109">
        <v>6</v>
      </c>
      <c r="U109">
        <v>0</v>
      </c>
      <c r="V109" s="11">
        <v>0</v>
      </c>
      <c r="W109">
        <v>0</v>
      </c>
      <c r="X109">
        <v>0</v>
      </c>
      <c r="Y109">
        <v>0</v>
      </c>
      <c r="Z109" s="11">
        <f>SUM(Table1[[#This Row],[Chi Kept]],Table1[[#This Row],[Chi Released]])</f>
        <v>0</v>
      </c>
      <c r="AA109">
        <f>SUM(Table1[[#This Row],[Co Kept]],Table1[[#This Row],[Co Released ]])</f>
        <v>0</v>
      </c>
      <c r="AB109">
        <f>SUM(Table1[[#This Row],[Pink Kept]],Table1[[#This Row],[Pink Released]])</f>
        <v>6</v>
      </c>
      <c r="AC109">
        <f>SUM(Table1[[#This Row],[Chu Kept]],Table1[[#This Row],[Chu Released]])</f>
        <v>0</v>
      </c>
    </row>
    <row r="110" spans="1:29" x14ac:dyDescent="0.3">
      <c r="A110" s="7">
        <v>45899</v>
      </c>
      <c r="B110">
        <v>2</v>
      </c>
      <c r="C110" t="s">
        <v>250</v>
      </c>
      <c r="D110" t="s">
        <v>42</v>
      </c>
      <c r="E110">
        <v>10</v>
      </c>
      <c r="F110">
        <v>1</v>
      </c>
      <c r="G110">
        <v>2</v>
      </c>
      <c r="H110" t="s">
        <v>241</v>
      </c>
      <c r="I110">
        <v>3</v>
      </c>
      <c r="J110" s="10">
        <v>0.625</v>
      </c>
      <c r="K110" s="10">
        <v>0.68472222222222223</v>
      </c>
      <c r="L110" s="10">
        <f t="shared" si="3"/>
        <v>5.9722222222222232E-2</v>
      </c>
      <c r="M110" s="12">
        <f t="shared" si="2"/>
        <v>1.4333333333333336</v>
      </c>
      <c r="N110" s="12">
        <f>Table1[[#This Row],[Trip Hours]]*Table1[[#This Row],['#Angler]]</f>
        <v>4.3000000000000007</v>
      </c>
      <c r="O110" t="s">
        <v>342</v>
      </c>
      <c r="Q110" t="s">
        <v>241</v>
      </c>
      <c r="R110" s="11">
        <v>0</v>
      </c>
      <c r="S110">
        <v>0</v>
      </c>
      <c r="T110">
        <v>3</v>
      </c>
      <c r="U110">
        <v>0</v>
      </c>
      <c r="V110" s="11">
        <v>0</v>
      </c>
      <c r="W110">
        <v>0</v>
      </c>
      <c r="X110">
        <v>0</v>
      </c>
      <c r="Y110">
        <v>0</v>
      </c>
      <c r="Z110" s="11">
        <f>SUM(Table1[[#This Row],[Chi Kept]],Table1[[#This Row],[Chi Released]])</f>
        <v>0</v>
      </c>
      <c r="AA110">
        <f>SUM(Table1[[#This Row],[Co Kept]],Table1[[#This Row],[Co Released ]])</f>
        <v>0</v>
      </c>
      <c r="AB110">
        <f>SUM(Table1[[#This Row],[Pink Kept]],Table1[[#This Row],[Pink Released]])</f>
        <v>3</v>
      </c>
      <c r="AC110">
        <f>SUM(Table1[[#This Row],[Chu Kept]],Table1[[#This Row],[Chu Released]])</f>
        <v>0</v>
      </c>
    </row>
    <row r="111" spans="1:29" x14ac:dyDescent="0.3">
      <c r="A111" s="7">
        <v>45899</v>
      </c>
      <c r="B111">
        <v>2</v>
      </c>
      <c r="C111" t="s">
        <v>250</v>
      </c>
      <c r="D111" t="s">
        <v>42</v>
      </c>
      <c r="E111">
        <v>11</v>
      </c>
      <c r="F111">
        <v>1</v>
      </c>
      <c r="G111">
        <v>2</v>
      </c>
      <c r="H111" t="s">
        <v>344</v>
      </c>
      <c r="I111">
        <v>2</v>
      </c>
      <c r="J111" s="10">
        <v>0.64583333333333337</v>
      </c>
      <c r="K111" s="10">
        <v>0.69444444444444442</v>
      </c>
      <c r="L111" s="10">
        <f t="shared" si="3"/>
        <v>4.8611111111111049E-2</v>
      </c>
      <c r="M111" s="12">
        <f t="shared" si="2"/>
        <v>1.1666666666666652</v>
      </c>
      <c r="N111" s="12">
        <f>Table1[[#This Row],[Trip Hours]]*Table1[[#This Row],['#Angler]]</f>
        <v>2.3333333333333304</v>
      </c>
      <c r="O111" t="s">
        <v>342</v>
      </c>
      <c r="Q111" t="s">
        <v>345</v>
      </c>
      <c r="R111" s="11">
        <v>0</v>
      </c>
      <c r="S111">
        <v>0</v>
      </c>
      <c r="T111">
        <v>0</v>
      </c>
      <c r="U111">
        <v>0</v>
      </c>
      <c r="V111" s="11">
        <v>0</v>
      </c>
      <c r="W111">
        <v>0</v>
      </c>
      <c r="X111">
        <v>6</v>
      </c>
      <c r="Y111">
        <v>0</v>
      </c>
      <c r="Z111" s="11">
        <f>SUM(Table1[[#This Row],[Chi Kept]],Table1[[#This Row],[Chi Released]])</f>
        <v>0</v>
      </c>
      <c r="AA111">
        <f>SUM(Table1[[#This Row],[Co Kept]],Table1[[#This Row],[Co Released ]])</f>
        <v>0</v>
      </c>
      <c r="AB111">
        <f>SUM(Table1[[#This Row],[Pink Kept]],Table1[[#This Row],[Pink Released]])</f>
        <v>6</v>
      </c>
      <c r="AC111">
        <f>SUM(Table1[[#This Row],[Chu Kept]],Table1[[#This Row],[Chu Released]])</f>
        <v>0</v>
      </c>
    </row>
    <row r="112" spans="1:29" x14ac:dyDescent="0.3">
      <c r="A112" s="7">
        <v>45899</v>
      </c>
      <c r="B112">
        <v>2</v>
      </c>
      <c r="C112" t="s">
        <v>250</v>
      </c>
      <c r="D112" t="s">
        <v>42</v>
      </c>
      <c r="E112">
        <v>12</v>
      </c>
      <c r="F112">
        <v>1</v>
      </c>
      <c r="G112">
        <v>2</v>
      </c>
      <c r="H112" t="s">
        <v>344</v>
      </c>
      <c r="I112">
        <v>2</v>
      </c>
      <c r="J112" s="10">
        <v>0.5</v>
      </c>
      <c r="K112" s="10">
        <v>0.70138888888888884</v>
      </c>
      <c r="L112" s="10">
        <f t="shared" si="3"/>
        <v>0.20138888888888884</v>
      </c>
      <c r="M112" s="12">
        <f t="shared" si="2"/>
        <v>4.8333333333333321</v>
      </c>
      <c r="N112" s="12">
        <f>Table1[[#This Row],[Trip Hours]]*Table1[[#This Row],['#Angler]]</f>
        <v>9.6666666666666643</v>
      </c>
      <c r="O112" t="s">
        <v>342</v>
      </c>
      <c r="P112" t="s">
        <v>347</v>
      </c>
      <c r="Q112" t="s">
        <v>343</v>
      </c>
      <c r="R112" s="11">
        <v>0</v>
      </c>
      <c r="S112">
        <v>0</v>
      </c>
      <c r="T112">
        <v>5</v>
      </c>
      <c r="U112">
        <v>0</v>
      </c>
      <c r="V112" s="11">
        <v>0</v>
      </c>
      <c r="W112">
        <v>0</v>
      </c>
      <c r="X112">
        <v>2</v>
      </c>
      <c r="Y112">
        <v>0</v>
      </c>
      <c r="Z112" s="11">
        <f>SUM(Table1[[#This Row],[Chi Kept]],Table1[[#This Row],[Chi Released]])</f>
        <v>0</v>
      </c>
      <c r="AA112">
        <f>SUM(Table1[[#This Row],[Co Kept]],Table1[[#This Row],[Co Released ]])</f>
        <v>0</v>
      </c>
      <c r="AB112">
        <f>SUM(Table1[[#This Row],[Pink Kept]],Table1[[#This Row],[Pink Released]])</f>
        <v>7</v>
      </c>
      <c r="AC112">
        <f>SUM(Table1[[#This Row],[Chu Kept]],Table1[[#This Row],[Chu Released]])</f>
        <v>0</v>
      </c>
    </row>
    <row r="113" spans="1:29" x14ac:dyDescent="0.3">
      <c r="A113" s="7">
        <v>45899</v>
      </c>
      <c r="B113">
        <v>2</v>
      </c>
      <c r="C113" t="s">
        <v>250</v>
      </c>
      <c r="D113" t="s">
        <v>42</v>
      </c>
      <c r="E113">
        <v>13</v>
      </c>
      <c r="F113">
        <v>1</v>
      </c>
      <c r="G113">
        <v>2</v>
      </c>
      <c r="H113" t="s">
        <v>241</v>
      </c>
      <c r="I113">
        <v>4</v>
      </c>
      <c r="J113" s="10">
        <v>0.70138888888888884</v>
      </c>
      <c r="K113" s="10">
        <v>0.70833333333333337</v>
      </c>
      <c r="L113" s="10">
        <f t="shared" si="3"/>
        <v>6.9444444444445308E-3</v>
      </c>
      <c r="M113" s="12">
        <f t="shared" si="2"/>
        <v>0.16666666666666874</v>
      </c>
      <c r="N113" s="12">
        <f>Table1[[#This Row],[Trip Hours]]*Table1[[#This Row],['#Angler]]</f>
        <v>0.66666666666667496</v>
      </c>
      <c r="O113" t="s">
        <v>342</v>
      </c>
      <c r="R113" s="11">
        <v>0</v>
      </c>
      <c r="S113">
        <v>0</v>
      </c>
      <c r="T113">
        <v>0</v>
      </c>
      <c r="U113">
        <v>0</v>
      </c>
      <c r="V113" s="11">
        <v>0</v>
      </c>
      <c r="W113">
        <v>0</v>
      </c>
      <c r="X113">
        <v>0</v>
      </c>
      <c r="Y113">
        <v>0</v>
      </c>
      <c r="Z113" s="11">
        <f>SUM(Table1[[#This Row],[Chi Kept]],Table1[[#This Row],[Chi Released]])</f>
        <v>0</v>
      </c>
      <c r="AA113">
        <f>SUM(Table1[[#This Row],[Co Kept]],Table1[[#This Row],[Co Released ]])</f>
        <v>0</v>
      </c>
      <c r="AB113">
        <f>SUM(Table1[[#This Row],[Pink Kept]],Table1[[#This Row],[Pink Released]])</f>
        <v>0</v>
      </c>
      <c r="AC113">
        <f>SUM(Table1[[#This Row],[Chu Kept]],Table1[[#This Row],[Chu Released]])</f>
        <v>0</v>
      </c>
    </row>
    <row r="114" spans="1:29" x14ac:dyDescent="0.3">
      <c r="A114" s="7">
        <v>45899</v>
      </c>
      <c r="B114">
        <v>2</v>
      </c>
      <c r="C114" t="s">
        <v>250</v>
      </c>
      <c r="D114" t="s">
        <v>42</v>
      </c>
      <c r="E114">
        <v>14</v>
      </c>
      <c r="F114">
        <v>1</v>
      </c>
      <c r="G114">
        <v>2</v>
      </c>
      <c r="H114" t="s">
        <v>241</v>
      </c>
      <c r="I114">
        <v>5</v>
      </c>
      <c r="J114" s="10">
        <v>0.6875</v>
      </c>
      <c r="K114" s="10">
        <v>0.70833333333333337</v>
      </c>
      <c r="L114" s="10">
        <f t="shared" si="3"/>
        <v>2.083333333333337E-2</v>
      </c>
      <c r="M114" s="12">
        <f t="shared" si="2"/>
        <v>0.50000000000000089</v>
      </c>
      <c r="N114" s="12">
        <f>Table1[[#This Row],[Trip Hours]]*Table1[[#This Row],['#Angler]]</f>
        <v>2.5000000000000044</v>
      </c>
      <c r="O114" t="s">
        <v>342</v>
      </c>
      <c r="P114" t="s">
        <v>347</v>
      </c>
      <c r="R114" s="11">
        <v>0</v>
      </c>
      <c r="S114">
        <v>0</v>
      </c>
      <c r="T114">
        <v>0</v>
      </c>
      <c r="U114">
        <v>0</v>
      </c>
      <c r="V114" s="11">
        <v>0</v>
      </c>
      <c r="W114">
        <v>0</v>
      </c>
      <c r="X114">
        <v>0</v>
      </c>
      <c r="Y114">
        <v>0</v>
      </c>
      <c r="Z114" s="11">
        <f>SUM(Table1[[#This Row],[Chi Kept]],Table1[[#This Row],[Chi Released]])</f>
        <v>0</v>
      </c>
      <c r="AA114">
        <f>SUM(Table1[[#This Row],[Co Kept]],Table1[[#This Row],[Co Released ]])</f>
        <v>0</v>
      </c>
      <c r="AB114">
        <f>SUM(Table1[[#This Row],[Pink Kept]],Table1[[#This Row],[Pink Released]])</f>
        <v>0</v>
      </c>
      <c r="AC114">
        <f>SUM(Table1[[#This Row],[Chu Kept]],Table1[[#This Row],[Chu Released]])</f>
        <v>0</v>
      </c>
    </row>
    <row r="115" spans="1:29" x14ac:dyDescent="0.3">
      <c r="A115" s="7">
        <v>45899</v>
      </c>
      <c r="B115">
        <v>2</v>
      </c>
      <c r="C115" t="s">
        <v>250</v>
      </c>
      <c r="D115" t="s">
        <v>42</v>
      </c>
      <c r="E115">
        <v>15</v>
      </c>
      <c r="F115">
        <v>1</v>
      </c>
      <c r="G115">
        <v>2</v>
      </c>
      <c r="H115" t="s">
        <v>241</v>
      </c>
      <c r="I115">
        <v>2</v>
      </c>
      <c r="J115" s="10">
        <v>0.64583333333333337</v>
      </c>
      <c r="K115" s="10">
        <v>0.80277777777777781</v>
      </c>
      <c r="L115" s="10">
        <f t="shared" si="3"/>
        <v>0.15694444444444444</v>
      </c>
      <c r="M115" s="12">
        <f t="shared" si="2"/>
        <v>3.7666666666666666</v>
      </c>
      <c r="N115" s="12">
        <f>Table1[[#This Row],[Trip Hours]]*Table1[[#This Row],['#Angler]]</f>
        <v>7.5333333333333332</v>
      </c>
      <c r="O115" t="s">
        <v>342</v>
      </c>
      <c r="P115" t="s">
        <v>347</v>
      </c>
      <c r="Q115" t="s">
        <v>343</v>
      </c>
      <c r="R115" s="11">
        <v>0</v>
      </c>
      <c r="S115">
        <v>0</v>
      </c>
      <c r="T115">
        <v>0</v>
      </c>
      <c r="U115">
        <v>0</v>
      </c>
      <c r="V115" s="11">
        <v>0</v>
      </c>
      <c r="W115">
        <v>0</v>
      </c>
      <c r="X115">
        <v>0</v>
      </c>
      <c r="Y115">
        <v>0</v>
      </c>
      <c r="Z115" s="11">
        <f>SUM(Table1[[#This Row],[Chi Kept]],Table1[[#This Row],[Chi Released]])</f>
        <v>0</v>
      </c>
      <c r="AA115">
        <f>SUM(Table1[[#This Row],[Co Kept]],Table1[[#This Row],[Co Released ]])</f>
        <v>0</v>
      </c>
      <c r="AB115">
        <f>SUM(Table1[[#This Row],[Pink Kept]],Table1[[#This Row],[Pink Released]])</f>
        <v>0</v>
      </c>
      <c r="AC115">
        <f>SUM(Table1[[#This Row],[Chu Kept]],Table1[[#This Row],[Chu Released]])</f>
        <v>0</v>
      </c>
    </row>
    <row r="116" spans="1:29" x14ac:dyDescent="0.3">
      <c r="A116" s="7">
        <v>45899</v>
      </c>
      <c r="B116">
        <v>2</v>
      </c>
      <c r="C116" t="s">
        <v>250</v>
      </c>
      <c r="D116" t="s">
        <v>42</v>
      </c>
      <c r="E116">
        <v>16</v>
      </c>
      <c r="F116">
        <v>1</v>
      </c>
      <c r="G116">
        <v>2</v>
      </c>
      <c r="H116" t="s">
        <v>241</v>
      </c>
      <c r="I116">
        <v>1</v>
      </c>
      <c r="J116" s="10">
        <v>0.5</v>
      </c>
      <c r="K116" s="10">
        <v>0.77986111111111112</v>
      </c>
      <c r="L116" s="10">
        <f t="shared" si="3"/>
        <v>0.27986111111111112</v>
      </c>
      <c r="M116" s="12">
        <f t="shared" si="2"/>
        <v>6.7166666666666668</v>
      </c>
      <c r="N116" s="12">
        <f>Table1[[#This Row],[Trip Hours]]*Table1[[#This Row],['#Angler]]</f>
        <v>6.7166666666666668</v>
      </c>
      <c r="O116" t="s">
        <v>342</v>
      </c>
      <c r="P116" t="s">
        <v>347</v>
      </c>
      <c r="Q116" t="s">
        <v>343</v>
      </c>
      <c r="R116" s="11">
        <v>0</v>
      </c>
      <c r="S116">
        <v>0</v>
      </c>
      <c r="T116">
        <v>5</v>
      </c>
      <c r="U116">
        <v>0</v>
      </c>
      <c r="V116" s="11">
        <v>0</v>
      </c>
      <c r="W116">
        <v>0</v>
      </c>
      <c r="X116">
        <v>0</v>
      </c>
      <c r="Y116">
        <v>0</v>
      </c>
      <c r="Z116" s="11">
        <f>SUM(Table1[[#This Row],[Chi Kept]],Table1[[#This Row],[Chi Released]])</f>
        <v>0</v>
      </c>
      <c r="AA116">
        <f>SUM(Table1[[#This Row],[Co Kept]],Table1[[#This Row],[Co Released ]])</f>
        <v>0</v>
      </c>
      <c r="AB116">
        <f>SUM(Table1[[#This Row],[Pink Kept]],Table1[[#This Row],[Pink Released]])</f>
        <v>5</v>
      </c>
      <c r="AC116">
        <f>SUM(Table1[[#This Row],[Chu Kept]],Table1[[#This Row],[Chu Released]])</f>
        <v>0</v>
      </c>
    </row>
    <row r="117" spans="1:29" x14ac:dyDescent="0.3">
      <c r="A117" s="7">
        <v>45899</v>
      </c>
      <c r="B117">
        <v>2</v>
      </c>
      <c r="C117" t="s">
        <v>250</v>
      </c>
      <c r="D117" t="s">
        <v>42</v>
      </c>
      <c r="E117">
        <v>17</v>
      </c>
      <c r="F117">
        <v>1</v>
      </c>
      <c r="G117">
        <v>2</v>
      </c>
      <c r="H117" t="s">
        <v>241</v>
      </c>
      <c r="I117">
        <v>1</v>
      </c>
      <c r="J117" s="10">
        <v>0.66666666666666663</v>
      </c>
      <c r="K117" s="10">
        <v>0.78125</v>
      </c>
      <c r="L117" s="10">
        <f t="shared" si="3"/>
        <v>0.11458333333333337</v>
      </c>
      <c r="M117" s="12">
        <f t="shared" si="2"/>
        <v>2.7500000000000009</v>
      </c>
      <c r="N117" s="12">
        <f>Table1[[#This Row],[Trip Hours]]*Table1[[#This Row],['#Angler]]</f>
        <v>2.7500000000000009</v>
      </c>
      <c r="O117" t="s">
        <v>342</v>
      </c>
      <c r="P117" t="s">
        <v>347</v>
      </c>
      <c r="Q117" t="s">
        <v>343</v>
      </c>
      <c r="R117" s="11">
        <v>0</v>
      </c>
      <c r="S117">
        <v>0</v>
      </c>
      <c r="T117">
        <v>0</v>
      </c>
      <c r="U117">
        <v>0</v>
      </c>
      <c r="V117" s="11">
        <v>0</v>
      </c>
      <c r="W117">
        <v>0</v>
      </c>
      <c r="X117">
        <v>0</v>
      </c>
      <c r="Y117">
        <v>0</v>
      </c>
      <c r="Z117" s="11">
        <f>SUM(Table1[[#This Row],[Chi Kept]],Table1[[#This Row],[Chi Released]])</f>
        <v>0</v>
      </c>
      <c r="AA117">
        <f>SUM(Table1[[#This Row],[Co Kept]],Table1[[#This Row],[Co Released ]])</f>
        <v>0</v>
      </c>
      <c r="AB117">
        <f>SUM(Table1[[#This Row],[Pink Kept]],Table1[[#This Row],[Pink Released]])</f>
        <v>0</v>
      </c>
      <c r="AC117">
        <f>SUM(Table1[[#This Row],[Chu Kept]],Table1[[#This Row],[Chu Released]])</f>
        <v>0</v>
      </c>
    </row>
    <row r="118" spans="1:29" x14ac:dyDescent="0.3">
      <c r="A118" s="7">
        <v>45899</v>
      </c>
      <c r="B118">
        <v>2</v>
      </c>
      <c r="C118" t="s">
        <v>250</v>
      </c>
      <c r="D118" t="s">
        <v>42</v>
      </c>
      <c r="E118">
        <v>18</v>
      </c>
      <c r="F118">
        <v>1</v>
      </c>
      <c r="G118">
        <v>2</v>
      </c>
      <c r="H118" t="s">
        <v>241</v>
      </c>
      <c r="I118">
        <v>2</v>
      </c>
      <c r="J118" s="10">
        <v>0.69791666666666663</v>
      </c>
      <c r="K118" s="10">
        <v>0.78125</v>
      </c>
      <c r="L118" s="10">
        <f t="shared" si="3"/>
        <v>8.333333333333337E-2</v>
      </c>
      <c r="M118" s="12">
        <f t="shared" si="2"/>
        <v>2.0000000000000009</v>
      </c>
      <c r="N118" s="12">
        <f>Table1[[#This Row],[Trip Hours]]*Table1[[#This Row],['#Angler]]</f>
        <v>4.0000000000000018</v>
      </c>
      <c r="O118" t="s">
        <v>342</v>
      </c>
      <c r="P118" t="s">
        <v>347</v>
      </c>
      <c r="Q118" t="s">
        <v>343</v>
      </c>
      <c r="R118" s="11">
        <v>0</v>
      </c>
      <c r="S118">
        <v>0</v>
      </c>
      <c r="T118">
        <v>2</v>
      </c>
      <c r="U118">
        <v>0</v>
      </c>
      <c r="V118" s="11">
        <v>0</v>
      </c>
      <c r="W118">
        <v>0</v>
      </c>
      <c r="X118">
        <v>0</v>
      </c>
      <c r="Y118">
        <v>0</v>
      </c>
      <c r="Z118" s="11">
        <f>SUM(Table1[[#This Row],[Chi Kept]],Table1[[#This Row],[Chi Released]])</f>
        <v>0</v>
      </c>
      <c r="AA118">
        <f>SUM(Table1[[#This Row],[Co Kept]],Table1[[#This Row],[Co Released ]])</f>
        <v>0</v>
      </c>
      <c r="AB118">
        <f>SUM(Table1[[#This Row],[Pink Kept]],Table1[[#This Row],[Pink Released]])</f>
        <v>2</v>
      </c>
      <c r="AC118">
        <f>SUM(Table1[[#This Row],[Chu Kept]],Table1[[#This Row],[Chu Released]])</f>
        <v>0</v>
      </c>
    </row>
    <row r="119" spans="1:29" x14ac:dyDescent="0.3">
      <c r="A119" s="7">
        <v>45899</v>
      </c>
      <c r="B119">
        <v>2</v>
      </c>
      <c r="C119" t="s">
        <v>250</v>
      </c>
      <c r="D119" t="s">
        <v>42</v>
      </c>
      <c r="E119">
        <v>19</v>
      </c>
      <c r="F119">
        <v>1</v>
      </c>
      <c r="G119">
        <v>2</v>
      </c>
      <c r="H119" t="s">
        <v>241</v>
      </c>
      <c r="I119">
        <v>3</v>
      </c>
      <c r="J119" s="10">
        <v>0.54166666666666663</v>
      </c>
      <c r="K119" s="10">
        <v>0.80902777777777779</v>
      </c>
      <c r="L119" s="10">
        <f t="shared" si="3"/>
        <v>0.26736111111111116</v>
      </c>
      <c r="M119" s="12">
        <f t="shared" si="2"/>
        <v>6.4166666666666679</v>
      </c>
      <c r="N119" s="12">
        <f>Table1[[#This Row],[Trip Hours]]*Table1[[#This Row],['#Angler]]</f>
        <v>19.250000000000004</v>
      </c>
      <c r="O119" t="s">
        <v>342</v>
      </c>
      <c r="P119" t="s">
        <v>347</v>
      </c>
      <c r="Q119" t="s">
        <v>241</v>
      </c>
      <c r="R119" s="11">
        <v>0</v>
      </c>
      <c r="S119">
        <v>0</v>
      </c>
      <c r="T119">
        <v>6</v>
      </c>
      <c r="U119">
        <v>0</v>
      </c>
      <c r="V119" s="11">
        <v>0</v>
      </c>
      <c r="W119">
        <v>0</v>
      </c>
      <c r="X119">
        <v>0</v>
      </c>
      <c r="Y119">
        <v>0</v>
      </c>
      <c r="Z119" s="11">
        <f>SUM(Table1[[#This Row],[Chi Kept]],Table1[[#This Row],[Chi Released]])</f>
        <v>0</v>
      </c>
      <c r="AA119">
        <f>SUM(Table1[[#This Row],[Co Kept]],Table1[[#This Row],[Co Released ]])</f>
        <v>0</v>
      </c>
      <c r="AB119">
        <f>SUM(Table1[[#This Row],[Pink Kept]],Table1[[#This Row],[Pink Released]])</f>
        <v>6</v>
      </c>
      <c r="AC119">
        <f>SUM(Table1[[#This Row],[Chu Kept]],Table1[[#This Row],[Chu Released]])</f>
        <v>0</v>
      </c>
    </row>
    <row r="120" spans="1:29" x14ac:dyDescent="0.3">
      <c r="A120" s="7">
        <v>45899</v>
      </c>
      <c r="B120">
        <v>2</v>
      </c>
      <c r="C120" t="s">
        <v>250</v>
      </c>
      <c r="D120" t="s">
        <v>42</v>
      </c>
      <c r="E120">
        <v>20</v>
      </c>
      <c r="F120">
        <v>1</v>
      </c>
      <c r="G120">
        <v>2</v>
      </c>
      <c r="H120" t="s">
        <v>241</v>
      </c>
      <c r="I120">
        <v>1</v>
      </c>
      <c r="J120" s="10">
        <v>0.75</v>
      </c>
      <c r="K120" s="10">
        <v>0.82152777777777775</v>
      </c>
      <c r="L120" s="10">
        <f t="shared" si="3"/>
        <v>7.1527777777777746E-2</v>
      </c>
      <c r="M120" s="12">
        <f t="shared" si="2"/>
        <v>1.7166666666666659</v>
      </c>
      <c r="N120" s="12">
        <f>Table1[[#This Row],[Trip Hours]]*Table1[[#This Row],['#Angler]]</f>
        <v>1.7166666666666659</v>
      </c>
      <c r="O120" t="s">
        <v>342</v>
      </c>
      <c r="P120" t="s">
        <v>347</v>
      </c>
      <c r="Q120" t="s">
        <v>343</v>
      </c>
      <c r="R120" s="11">
        <v>0</v>
      </c>
      <c r="S120">
        <v>0</v>
      </c>
      <c r="T120">
        <v>0</v>
      </c>
      <c r="U120">
        <v>0</v>
      </c>
      <c r="V120" s="11">
        <v>0</v>
      </c>
      <c r="W120">
        <v>0</v>
      </c>
      <c r="X120">
        <v>0</v>
      </c>
      <c r="Y120">
        <v>0</v>
      </c>
      <c r="Z120" s="11">
        <f>SUM(Table1[[#This Row],[Chi Kept]],Table1[[#This Row],[Chi Released]])</f>
        <v>0</v>
      </c>
      <c r="AA120">
        <f>SUM(Table1[[#This Row],[Co Kept]],Table1[[#This Row],[Co Released ]])</f>
        <v>0</v>
      </c>
      <c r="AB120">
        <f>SUM(Table1[[#This Row],[Pink Kept]],Table1[[#This Row],[Pink Released]])</f>
        <v>0</v>
      </c>
      <c r="AC120">
        <f>SUM(Table1[[#This Row],[Chu Kept]],Table1[[#This Row],[Chu Released]])</f>
        <v>0</v>
      </c>
    </row>
    <row r="121" spans="1:29" x14ac:dyDescent="0.3">
      <c r="A121" s="7">
        <v>45899</v>
      </c>
      <c r="B121">
        <v>2</v>
      </c>
      <c r="C121" t="s">
        <v>250</v>
      </c>
      <c r="D121" t="s">
        <v>42</v>
      </c>
      <c r="E121">
        <v>21</v>
      </c>
      <c r="F121">
        <v>1</v>
      </c>
      <c r="G121">
        <v>2</v>
      </c>
      <c r="H121" t="s">
        <v>241</v>
      </c>
      <c r="I121">
        <v>2</v>
      </c>
      <c r="J121" s="10">
        <v>0.79166666666666663</v>
      </c>
      <c r="K121" s="10">
        <v>0.82222222222222219</v>
      </c>
      <c r="L121" s="10">
        <f t="shared" si="3"/>
        <v>3.0555555555555558E-2</v>
      </c>
      <c r="M121" s="12">
        <f t="shared" si="2"/>
        <v>0.73333333333333339</v>
      </c>
      <c r="N121" s="12">
        <f>Table1[[#This Row],[Trip Hours]]*Table1[[#This Row],['#Angler]]</f>
        <v>1.4666666666666668</v>
      </c>
      <c r="O121" t="s">
        <v>342</v>
      </c>
      <c r="P121" t="s">
        <v>347</v>
      </c>
      <c r="Q121" t="s">
        <v>343</v>
      </c>
      <c r="R121" s="11">
        <v>0</v>
      </c>
      <c r="S121">
        <v>0</v>
      </c>
      <c r="T121">
        <v>0</v>
      </c>
      <c r="U121">
        <v>0</v>
      </c>
      <c r="V121" s="11">
        <v>0</v>
      </c>
      <c r="W121">
        <v>0</v>
      </c>
      <c r="X121">
        <v>0</v>
      </c>
      <c r="Y121">
        <v>0</v>
      </c>
      <c r="Z121" s="11">
        <f>SUM(Table1[[#This Row],[Chi Kept]],Table1[[#This Row],[Chi Released]])</f>
        <v>0</v>
      </c>
      <c r="AA121">
        <f>SUM(Table1[[#This Row],[Co Kept]],Table1[[#This Row],[Co Released ]])</f>
        <v>0</v>
      </c>
      <c r="AB121">
        <f>SUM(Table1[[#This Row],[Pink Kept]],Table1[[#This Row],[Pink Released]])</f>
        <v>0</v>
      </c>
      <c r="AC121">
        <f>SUM(Table1[[#This Row],[Chu Kept]],Table1[[#This Row],[Chu Released]])</f>
        <v>0</v>
      </c>
    </row>
    <row r="122" spans="1:29" x14ac:dyDescent="0.3">
      <c r="A122" s="7">
        <v>45899</v>
      </c>
      <c r="B122">
        <v>2</v>
      </c>
      <c r="C122" t="s">
        <v>250</v>
      </c>
      <c r="D122" t="s">
        <v>42</v>
      </c>
      <c r="E122">
        <v>22</v>
      </c>
      <c r="F122">
        <v>1</v>
      </c>
      <c r="G122">
        <v>2</v>
      </c>
      <c r="H122" t="s">
        <v>241</v>
      </c>
      <c r="I122">
        <v>5</v>
      </c>
      <c r="J122" s="10">
        <v>0.75347222222222221</v>
      </c>
      <c r="K122" s="10">
        <v>0.82708333333333328</v>
      </c>
      <c r="L122" s="10">
        <f t="shared" si="3"/>
        <v>7.3611111111111072E-2</v>
      </c>
      <c r="M122" s="12">
        <f t="shared" si="2"/>
        <v>1.7666666666666657</v>
      </c>
      <c r="N122" s="12">
        <f>Table1[[#This Row],[Trip Hours]]*Table1[[#This Row],['#Angler]]</f>
        <v>8.8333333333333286</v>
      </c>
      <c r="O122" t="s">
        <v>342</v>
      </c>
      <c r="P122" t="s">
        <v>347</v>
      </c>
      <c r="Q122" t="s">
        <v>241</v>
      </c>
      <c r="R122" s="11">
        <v>0</v>
      </c>
      <c r="S122">
        <v>0</v>
      </c>
      <c r="T122">
        <v>20</v>
      </c>
      <c r="U122">
        <v>0</v>
      </c>
      <c r="V122" s="11">
        <v>0</v>
      </c>
      <c r="W122">
        <v>0</v>
      </c>
      <c r="X122">
        <v>5</v>
      </c>
      <c r="Y122">
        <v>0</v>
      </c>
      <c r="Z122" s="11">
        <f>SUM(Table1[[#This Row],[Chi Kept]],Table1[[#This Row],[Chi Released]])</f>
        <v>0</v>
      </c>
      <c r="AA122">
        <f>SUM(Table1[[#This Row],[Co Kept]],Table1[[#This Row],[Co Released ]])</f>
        <v>0</v>
      </c>
      <c r="AB122">
        <f>SUM(Table1[[#This Row],[Pink Kept]],Table1[[#This Row],[Pink Released]])</f>
        <v>25</v>
      </c>
      <c r="AC122">
        <f>SUM(Table1[[#This Row],[Chu Kept]],Table1[[#This Row],[Chu Released]])</f>
        <v>0</v>
      </c>
    </row>
    <row r="123" spans="1:29" x14ac:dyDescent="0.3">
      <c r="A123" s="7">
        <v>45903</v>
      </c>
      <c r="B123">
        <v>3</v>
      </c>
      <c r="C123" t="s">
        <v>236</v>
      </c>
      <c r="D123" t="s">
        <v>26</v>
      </c>
      <c r="E123">
        <v>1</v>
      </c>
      <c r="F123">
        <v>2</v>
      </c>
      <c r="G123">
        <v>5</v>
      </c>
      <c r="H123" t="s">
        <v>241</v>
      </c>
      <c r="I123">
        <v>3</v>
      </c>
      <c r="J123" s="10">
        <v>0.27083333333333331</v>
      </c>
      <c r="K123" s="10">
        <v>0.30069444444444443</v>
      </c>
      <c r="L123" s="10">
        <f t="shared" si="3"/>
        <v>2.9861111111111116E-2</v>
      </c>
      <c r="M123" s="12">
        <f t="shared" si="2"/>
        <v>0.71666666666666679</v>
      </c>
      <c r="N123" s="12">
        <f>Table1[[#This Row],[Trip Hours]]*Table1[[#This Row],['#Angler]]</f>
        <v>2.1500000000000004</v>
      </c>
      <c r="O123" t="s">
        <v>349</v>
      </c>
      <c r="P123" t="s">
        <v>347</v>
      </c>
      <c r="Q123" t="s">
        <v>343</v>
      </c>
      <c r="R123" s="11">
        <v>0</v>
      </c>
      <c r="S123">
        <v>0</v>
      </c>
      <c r="T123">
        <v>2</v>
      </c>
      <c r="U123">
        <v>0</v>
      </c>
      <c r="V123" s="11">
        <v>0</v>
      </c>
      <c r="W123">
        <v>0</v>
      </c>
      <c r="X123">
        <v>4</v>
      </c>
      <c r="Y123">
        <v>0</v>
      </c>
      <c r="Z123" s="11">
        <f>SUM(Table1[[#This Row],[Chi Kept]],Table1[[#This Row],[Chi Released]])</f>
        <v>0</v>
      </c>
      <c r="AA123">
        <f>SUM(Table1[[#This Row],[Co Kept]],Table1[[#This Row],[Co Released ]])</f>
        <v>0</v>
      </c>
      <c r="AB123">
        <f>SUM(Table1[[#This Row],[Pink Kept]],Table1[[#This Row],[Pink Released]])</f>
        <v>6</v>
      </c>
      <c r="AC123">
        <f>SUM(Table1[[#This Row],[Chu Kept]],Table1[[#This Row],[Chu Released]])</f>
        <v>0</v>
      </c>
    </row>
    <row r="124" spans="1:29" x14ac:dyDescent="0.3">
      <c r="A124" s="7">
        <v>45903</v>
      </c>
      <c r="B124">
        <v>3</v>
      </c>
      <c r="C124" t="s">
        <v>236</v>
      </c>
      <c r="D124" t="s">
        <v>26</v>
      </c>
      <c r="E124">
        <v>2</v>
      </c>
      <c r="F124">
        <v>2</v>
      </c>
      <c r="G124">
        <v>4</v>
      </c>
      <c r="H124" t="s">
        <v>241</v>
      </c>
      <c r="I124">
        <v>2</v>
      </c>
      <c r="J124" s="10">
        <v>0.27083333333333331</v>
      </c>
      <c r="K124" s="10">
        <v>0.3125</v>
      </c>
      <c r="L124" s="10">
        <f t="shared" si="3"/>
        <v>4.1666666666666685E-2</v>
      </c>
      <c r="M124" s="12">
        <f t="shared" si="2"/>
        <v>1.0000000000000004</v>
      </c>
      <c r="N124" s="12">
        <f>Table1[[#This Row],[Trip Hours]]*Table1[[#This Row],['#Angler]]</f>
        <v>2.0000000000000009</v>
      </c>
      <c r="O124" t="s">
        <v>349</v>
      </c>
      <c r="P124" t="s">
        <v>347</v>
      </c>
      <c r="Q124" t="s">
        <v>343</v>
      </c>
      <c r="R124" s="11">
        <v>0</v>
      </c>
      <c r="S124">
        <v>0</v>
      </c>
      <c r="T124">
        <v>0</v>
      </c>
      <c r="U124">
        <v>0</v>
      </c>
      <c r="V124" s="11">
        <v>0</v>
      </c>
      <c r="W124">
        <v>0</v>
      </c>
      <c r="X124">
        <v>0</v>
      </c>
      <c r="Y124">
        <v>0</v>
      </c>
      <c r="Z124" s="11">
        <f>SUM(Table1[[#This Row],[Chi Kept]],Table1[[#This Row],[Chi Released]])</f>
        <v>0</v>
      </c>
      <c r="AA124">
        <f>SUM(Table1[[#This Row],[Co Kept]],Table1[[#This Row],[Co Released ]])</f>
        <v>0</v>
      </c>
      <c r="AB124">
        <f>SUM(Table1[[#This Row],[Pink Kept]],Table1[[#This Row],[Pink Released]])</f>
        <v>0</v>
      </c>
      <c r="AC124">
        <f>SUM(Table1[[#This Row],[Chu Kept]],Table1[[#This Row],[Chu Released]])</f>
        <v>0</v>
      </c>
    </row>
    <row r="125" spans="1:29" x14ac:dyDescent="0.3">
      <c r="A125" s="7">
        <v>45903</v>
      </c>
      <c r="B125">
        <v>3</v>
      </c>
      <c r="C125" t="s">
        <v>236</v>
      </c>
      <c r="D125" t="s">
        <v>26</v>
      </c>
      <c r="E125">
        <v>3</v>
      </c>
      <c r="F125">
        <v>2</v>
      </c>
      <c r="G125">
        <v>4</v>
      </c>
      <c r="H125" t="s">
        <v>241</v>
      </c>
      <c r="I125">
        <v>1</v>
      </c>
      <c r="J125" s="10">
        <v>0.25</v>
      </c>
      <c r="K125" s="10">
        <v>0.3125</v>
      </c>
      <c r="L125" s="10">
        <f t="shared" si="3"/>
        <v>6.25E-2</v>
      </c>
      <c r="M125" s="12">
        <f t="shared" si="2"/>
        <v>1.5</v>
      </c>
      <c r="N125" s="12">
        <f>Table1[[#This Row],[Trip Hours]]*Table1[[#This Row],['#Angler]]</f>
        <v>1.5</v>
      </c>
      <c r="O125" t="s">
        <v>349</v>
      </c>
      <c r="Q125" t="s">
        <v>241</v>
      </c>
      <c r="R125" s="11">
        <v>0</v>
      </c>
      <c r="S125">
        <v>0</v>
      </c>
      <c r="T125">
        <v>0</v>
      </c>
      <c r="U125">
        <v>0</v>
      </c>
      <c r="V125" s="11">
        <v>0</v>
      </c>
      <c r="W125">
        <v>0</v>
      </c>
      <c r="X125">
        <v>1</v>
      </c>
      <c r="Y125">
        <v>0</v>
      </c>
      <c r="Z125" s="11">
        <f>SUM(Table1[[#This Row],[Chi Kept]],Table1[[#This Row],[Chi Released]])</f>
        <v>0</v>
      </c>
      <c r="AA125">
        <f>SUM(Table1[[#This Row],[Co Kept]],Table1[[#This Row],[Co Released ]])</f>
        <v>0</v>
      </c>
      <c r="AB125">
        <f>SUM(Table1[[#This Row],[Pink Kept]],Table1[[#This Row],[Pink Released]])</f>
        <v>1</v>
      </c>
      <c r="AC125">
        <f>SUM(Table1[[#This Row],[Chu Kept]],Table1[[#This Row],[Chu Released]])</f>
        <v>0</v>
      </c>
    </row>
    <row r="126" spans="1:29" x14ac:dyDescent="0.3">
      <c r="A126" s="7">
        <v>45903</v>
      </c>
      <c r="B126">
        <v>3</v>
      </c>
      <c r="C126" t="s">
        <v>236</v>
      </c>
      <c r="D126" t="s">
        <v>26</v>
      </c>
      <c r="E126">
        <v>4</v>
      </c>
      <c r="F126">
        <v>2</v>
      </c>
      <c r="G126">
        <v>2</v>
      </c>
      <c r="H126" t="s">
        <v>241</v>
      </c>
      <c r="I126">
        <v>2</v>
      </c>
      <c r="J126" s="10">
        <v>0.29166666666666669</v>
      </c>
      <c r="K126" s="10">
        <v>0.35416666666666669</v>
      </c>
      <c r="L126" s="10">
        <f t="shared" si="3"/>
        <v>6.25E-2</v>
      </c>
      <c r="M126" s="12">
        <f t="shared" si="2"/>
        <v>1.5</v>
      </c>
      <c r="N126" s="12">
        <f>Table1[[#This Row],[Trip Hours]]*Table1[[#This Row],['#Angler]]</f>
        <v>3</v>
      </c>
      <c r="O126" t="s">
        <v>342</v>
      </c>
      <c r="Q126" t="s">
        <v>247</v>
      </c>
      <c r="R126" s="11">
        <v>0</v>
      </c>
      <c r="S126">
        <v>0</v>
      </c>
      <c r="T126">
        <v>0</v>
      </c>
      <c r="U126">
        <v>0</v>
      </c>
      <c r="V126" s="11">
        <v>0</v>
      </c>
      <c r="W126">
        <v>0</v>
      </c>
      <c r="X126">
        <v>0</v>
      </c>
      <c r="Y126">
        <v>0</v>
      </c>
      <c r="Z126" s="11">
        <f>SUM(Table1[[#This Row],[Chi Kept]],Table1[[#This Row],[Chi Released]])</f>
        <v>0</v>
      </c>
      <c r="AA126">
        <f>SUM(Table1[[#This Row],[Co Kept]],Table1[[#This Row],[Co Released ]])</f>
        <v>0</v>
      </c>
      <c r="AB126">
        <f>SUM(Table1[[#This Row],[Pink Kept]],Table1[[#This Row],[Pink Released]])</f>
        <v>0</v>
      </c>
      <c r="AC126">
        <f>SUM(Table1[[#This Row],[Chu Kept]],Table1[[#This Row],[Chu Released]])</f>
        <v>0</v>
      </c>
    </row>
    <row r="127" spans="1:29" x14ac:dyDescent="0.3">
      <c r="A127" s="7">
        <v>45903</v>
      </c>
      <c r="B127">
        <v>3</v>
      </c>
      <c r="C127" t="s">
        <v>236</v>
      </c>
      <c r="D127" t="s">
        <v>26</v>
      </c>
      <c r="E127">
        <v>5</v>
      </c>
      <c r="F127">
        <v>2</v>
      </c>
      <c r="G127">
        <v>2</v>
      </c>
      <c r="H127" t="s">
        <v>241</v>
      </c>
      <c r="I127">
        <v>2</v>
      </c>
      <c r="J127" s="10">
        <v>0.25</v>
      </c>
      <c r="K127" s="10">
        <v>0.37986111111111109</v>
      </c>
      <c r="L127" s="10">
        <f t="shared" si="3"/>
        <v>0.12986111111111109</v>
      </c>
      <c r="M127" s="12">
        <f t="shared" si="2"/>
        <v>3.1166666666666663</v>
      </c>
      <c r="N127" s="12">
        <f>Table1[[#This Row],[Trip Hours]]*Table1[[#This Row],['#Angler]]</f>
        <v>6.2333333333333325</v>
      </c>
      <c r="O127" t="s">
        <v>342</v>
      </c>
      <c r="Q127" t="s">
        <v>345</v>
      </c>
      <c r="R127" s="11">
        <v>0</v>
      </c>
      <c r="S127">
        <v>1</v>
      </c>
      <c r="T127">
        <v>0</v>
      </c>
      <c r="U127">
        <v>0</v>
      </c>
      <c r="V127" s="11">
        <v>0</v>
      </c>
      <c r="W127">
        <v>0</v>
      </c>
      <c r="X127">
        <v>0</v>
      </c>
      <c r="Y127">
        <v>0</v>
      </c>
      <c r="Z127" s="11">
        <f>SUM(Table1[[#This Row],[Chi Kept]],Table1[[#This Row],[Chi Released]])</f>
        <v>0</v>
      </c>
      <c r="AA127">
        <f>SUM(Table1[[#This Row],[Co Kept]],Table1[[#This Row],[Co Released ]])</f>
        <v>1</v>
      </c>
      <c r="AB127">
        <f>SUM(Table1[[#This Row],[Pink Kept]],Table1[[#This Row],[Pink Released]])</f>
        <v>0</v>
      </c>
      <c r="AC127">
        <f>SUM(Table1[[#This Row],[Chu Kept]],Table1[[#This Row],[Chu Released]])</f>
        <v>0</v>
      </c>
    </row>
    <row r="128" spans="1:29" x14ac:dyDescent="0.3">
      <c r="A128" s="7">
        <v>45903</v>
      </c>
      <c r="B128">
        <v>3</v>
      </c>
      <c r="C128" t="s">
        <v>236</v>
      </c>
      <c r="D128" t="s">
        <v>26</v>
      </c>
      <c r="E128">
        <v>6</v>
      </c>
      <c r="F128">
        <v>2</v>
      </c>
      <c r="G128">
        <v>2</v>
      </c>
      <c r="H128" t="s">
        <v>241</v>
      </c>
      <c r="I128">
        <v>2</v>
      </c>
      <c r="J128" s="10">
        <v>0.3125</v>
      </c>
      <c r="K128" s="10">
        <v>0.40833333333333333</v>
      </c>
      <c r="L128" s="10">
        <f t="shared" si="3"/>
        <v>9.5833333333333326E-2</v>
      </c>
      <c r="M128" s="12">
        <f t="shared" si="2"/>
        <v>2.2999999999999998</v>
      </c>
      <c r="N128" s="12">
        <f>Table1[[#This Row],[Trip Hours]]*Table1[[#This Row],['#Angler]]</f>
        <v>4.5999999999999996</v>
      </c>
      <c r="O128" t="s">
        <v>342</v>
      </c>
      <c r="Q128" t="s">
        <v>241</v>
      </c>
      <c r="R128" s="11">
        <v>0</v>
      </c>
      <c r="S128">
        <v>0</v>
      </c>
      <c r="T128">
        <v>0</v>
      </c>
      <c r="U128">
        <v>0</v>
      </c>
      <c r="V128" s="11">
        <v>0</v>
      </c>
      <c r="W128">
        <v>0</v>
      </c>
      <c r="X128">
        <v>0</v>
      </c>
      <c r="Y128">
        <v>0</v>
      </c>
      <c r="Z128" s="11">
        <f>SUM(Table1[[#This Row],[Chi Kept]],Table1[[#This Row],[Chi Released]])</f>
        <v>0</v>
      </c>
      <c r="AA128">
        <f>SUM(Table1[[#This Row],[Co Kept]],Table1[[#This Row],[Co Released ]])</f>
        <v>0</v>
      </c>
      <c r="AB128">
        <f>SUM(Table1[[#This Row],[Pink Kept]],Table1[[#This Row],[Pink Released]])</f>
        <v>0</v>
      </c>
      <c r="AC128">
        <f>SUM(Table1[[#This Row],[Chu Kept]],Table1[[#This Row],[Chu Released]])</f>
        <v>0</v>
      </c>
    </row>
    <row r="129" spans="1:31" x14ac:dyDescent="0.3">
      <c r="A129" s="7">
        <v>45903</v>
      </c>
      <c r="B129">
        <v>3</v>
      </c>
      <c r="C129" t="s">
        <v>236</v>
      </c>
      <c r="D129" t="s">
        <v>26</v>
      </c>
      <c r="E129">
        <v>7</v>
      </c>
      <c r="F129">
        <v>2</v>
      </c>
      <c r="G129">
        <v>2</v>
      </c>
      <c r="H129" t="s">
        <v>241</v>
      </c>
      <c r="I129">
        <v>3</v>
      </c>
      <c r="J129" s="10">
        <v>0.3125</v>
      </c>
      <c r="K129" s="10">
        <v>0.42569444444444443</v>
      </c>
      <c r="L129" s="10">
        <f t="shared" si="3"/>
        <v>0.11319444444444443</v>
      </c>
      <c r="M129" s="12">
        <f t="shared" si="2"/>
        <v>2.7166666666666663</v>
      </c>
      <c r="N129" s="12">
        <f>Table1[[#This Row],[Trip Hours]]*Table1[[#This Row],['#Angler]]</f>
        <v>8.1499999999999986</v>
      </c>
      <c r="O129" t="s">
        <v>342</v>
      </c>
      <c r="P129" t="s">
        <v>347</v>
      </c>
      <c r="Q129" t="s">
        <v>343</v>
      </c>
      <c r="R129" s="11">
        <v>0</v>
      </c>
      <c r="S129">
        <v>0</v>
      </c>
      <c r="T129">
        <v>6</v>
      </c>
      <c r="U129">
        <v>0</v>
      </c>
      <c r="V129" s="11">
        <v>0</v>
      </c>
      <c r="W129">
        <v>0</v>
      </c>
      <c r="X129">
        <v>2</v>
      </c>
      <c r="Y129">
        <v>0</v>
      </c>
      <c r="Z129" s="11">
        <f>SUM(Table1[[#This Row],[Chi Kept]],Table1[[#This Row],[Chi Released]])</f>
        <v>0</v>
      </c>
      <c r="AA129">
        <f>SUM(Table1[[#This Row],[Co Kept]],Table1[[#This Row],[Co Released ]])</f>
        <v>0</v>
      </c>
      <c r="AB129">
        <f>SUM(Table1[[#This Row],[Pink Kept]],Table1[[#This Row],[Pink Released]])</f>
        <v>8</v>
      </c>
      <c r="AC129">
        <f>SUM(Table1[[#This Row],[Chu Kept]],Table1[[#This Row],[Chu Released]])</f>
        <v>0</v>
      </c>
    </row>
    <row r="130" spans="1:31" x14ac:dyDescent="0.3">
      <c r="A130" s="7">
        <v>45903</v>
      </c>
      <c r="B130">
        <v>3</v>
      </c>
      <c r="C130" t="s">
        <v>236</v>
      </c>
      <c r="D130" t="s">
        <v>26</v>
      </c>
      <c r="E130">
        <v>8</v>
      </c>
      <c r="F130">
        <v>2</v>
      </c>
      <c r="G130">
        <v>2</v>
      </c>
      <c r="H130" t="s">
        <v>241</v>
      </c>
      <c r="I130">
        <v>1</v>
      </c>
      <c r="J130" s="10">
        <v>0.3125</v>
      </c>
      <c r="K130" s="10">
        <v>0.43611111111111112</v>
      </c>
      <c r="L130" s="10">
        <f t="shared" si="3"/>
        <v>0.12361111111111112</v>
      </c>
      <c r="M130" s="12">
        <f t="shared" ref="M130:M193" si="4">L130*24</f>
        <v>2.9666666666666668</v>
      </c>
      <c r="N130" s="12">
        <f>Table1[[#This Row],[Trip Hours]]*Table1[[#This Row],['#Angler]]</f>
        <v>2.9666666666666668</v>
      </c>
      <c r="O130" t="s">
        <v>349</v>
      </c>
      <c r="P130" t="s">
        <v>148</v>
      </c>
      <c r="Q130" t="s">
        <v>345</v>
      </c>
      <c r="R130" s="11">
        <v>0</v>
      </c>
      <c r="S130">
        <v>0</v>
      </c>
      <c r="T130">
        <v>0</v>
      </c>
      <c r="U130">
        <v>0</v>
      </c>
      <c r="V130" s="11">
        <v>1</v>
      </c>
      <c r="W130">
        <v>0</v>
      </c>
      <c r="X130">
        <v>0</v>
      </c>
      <c r="Y130">
        <v>0</v>
      </c>
      <c r="Z130" s="11">
        <f>SUM(Table1[[#This Row],[Chi Kept]],Table1[[#This Row],[Chi Released]])</f>
        <v>1</v>
      </c>
      <c r="AA130">
        <f>SUM(Table1[[#This Row],[Co Kept]],Table1[[#This Row],[Co Released ]])</f>
        <v>0</v>
      </c>
      <c r="AB130">
        <f>SUM(Table1[[#This Row],[Pink Kept]],Table1[[#This Row],[Pink Released]])</f>
        <v>0</v>
      </c>
      <c r="AC130">
        <f>SUM(Table1[[#This Row],[Chu Kept]],Table1[[#This Row],[Chu Released]])</f>
        <v>0</v>
      </c>
    </row>
    <row r="131" spans="1:31" x14ac:dyDescent="0.3">
      <c r="A131" s="7">
        <v>45903</v>
      </c>
      <c r="B131">
        <v>3</v>
      </c>
      <c r="C131" t="s">
        <v>236</v>
      </c>
      <c r="D131" t="s">
        <v>26</v>
      </c>
      <c r="E131">
        <v>9</v>
      </c>
      <c r="F131">
        <v>2</v>
      </c>
      <c r="G131">
        <v>2</v>
      </c>
      <c r="H131" t="s">
        <v>241</v>
      </c>
      <c r="I131">
        <v>6</v>
      </c>
      <c r="J131" s="10">
        <v>0.3125</v>
      </c>
      <c r="K131" s="10">
        <v>0.43680555555555556</v>
      </c>
      <c r="L131" s="10">
        <f t="shared" ref="L131:L194" si="5">K131-J131</f>
        <v>0.12430555555555556</v>
      </c>
      <c r="M131" s="12">
        <f t="shared" si="4"/>
        <v>2.9833333333333334</v>
      </c>
      <c r="N131" s="12">
        <f>Table1[[#This Row],[Trip Hours]]*Table1[[#This Row],['#Angler]]</f>
        <v>17.899999999999999</v>
      </c>
      <c r="O131" t="s">
        <v>349</v>
      </c>
      <c r="P131" t="s">
        <v>56</v>
      </c>
      <c r="Q131" t="s">
        <v>247</v>
      </c>
      <c r="R131" s="11">
        <v>0</v>
      </c>
      <c r="S131">
        <v>0</v>
      </c>
      <c r="T131">
        <v>0</v>
      </c>
      <c r="U131">
        <v>0</v>
      </c>
      <c r="V131" s="11">
        <v>3</v>
      </c>
      <c r="W131">
        <v>0</v>
      </c>
      <c r="X131">
        <v>2</v>
      </c>
      <c r="Y131">
        <v>0</v>
      </c>
      <c r="Z131" s="11">
        <f>SUM(Table1[[#This Row],[Chi Kept]],Table1[[#This Row],[Chi Released]])</f>
        <v>3</v>
      </c>
      <c r="AA131">
        <f>SUM(Table1[[#This Row],[Co Kept]],Table1[[#This Row],[Co Released ]])</f>
        <v>0</v>
      </c>
      <c r="AB131">
        <f>SUM(Table1[[#This Row],[Pink Kept]],Table1[[#This Row],[Pink Released]])</f>
        <v>2</v>
      </c>
      <c r="AC131">
        <f>SUM(Table1[[#This Row],[Chu Kept]],Table1[[#This Row],[Chu Released]])</f>
        <v>0</v>
      </c>
    </row>
    <row r="132" spans="1:31" x14ac:dyDescent="0.3">
      <c r="A132" s="7">
        <v>45903</v>
      </c>
      <c r="B132">
        <v>3</v>
      </c>
      <c r="C132" t="s">
        <v>236</v>
      </c>
      <c r="D132" t="s">
        <v>26</v>
      </c>
      <c r="E132">
        <v>10</v>
      </c>
      <c r="F132">
        <v>2</v>
      </c>
      <c r="G132">
        <v>2</v>
      </c>
      <c r="H132" t="s">
        <v>241</v>
      </c>
      <c r="I132">
        <v>1</v>
      </c>
      <c r="J132" s="10">
        <v>0.41666666666666669</v>
      </c>
      <c r="K132" s="10">
        <v>0.4375</v>
      </c>
      <c r="L132" s="10">
        <f t="shared" si="5"/>
        <v>2.0833333333333315E-2</v>
      </c>
      <c r="M132" s="12">
        <f t="shared" si="4"/>
        <v>0.49999999999999956</v>
      </c>
      <c r="N132" s="12">
        <f>Table1[[#This Row],[Trip Hours]]*Table1[[#This Row],['#Angler]]</f>
        <v>0.49999999999999956</v>
      </c>
      <c r="O132" t="s">
        <v>349</v>
      </c>
      <c r="P132" t="s">
        <v>347</v>
      </c>
      <c r="Q132" t="s">
        <v>247</v>
      </c>
      <c r="R132" s="11">
        <v>0</v>
      </c>
      <c r="S132">
        <v>0</v>
      </c>
      <c r="T132">
        <v>0</v>
      </c>
      <c r="U132">
        <v>0</v>
      </c>
      <c r="V132" s="11">
        <v>0</v>
      </c>
      <c r="W132">
        <v>0</v>
      </c>
      <c r="X132">
        <v>0</v>
      </c>
      <c r="Y132">
        <v>0</v>
      </c>
      <c r="Z132" s="11">
        <f>SUM(Table1[[#This Row],[Chi Kept]],Table1[[#This Row],[Chi Released]])</f>
        <v>0</v>
      </c>
      <c r="AA132">
        <f>SUM(Table1[[#This Row],[Co Kept]],Table1[[#This Row],[Co Released ]])</f>
        <v>0</v>
      </c>
      <c r="AB132">
        <f>SUM(Table1[[#This Row],[Pink Kept]],Table1[[#This Row],[Pink Released]])</f>
        <v>0</v>
      </c>
      <c r="AC132">
        <f>SUM(Table1[[#This Row],[Chu Kept]],Table1[[#This Row],[Chu Released]])</f>
        <v>0</v>
      </c>
    </row>
    <row r="133" spans="1:31" x14ac:dyDescent="0.3">
      <c r="A133" s="7">
        <v>45903</v>
      </c>
      <c r="B133">
        <v>3</v>
      </c>
      <c r="C133" t="s">
        <v>236</v>
      </c>
      <c r="D133" t="s">
        <v>42</v>
      </c>
      <c r="E133">
        <v>11</v>
      </c>
      <c r="F133">
        <v>1</v>
      </c>
      <c r="G133">
        <v>2</v>
      </c>
      <c r="H133" t="s">
        <v>344</v>
      </c>
      <c r="I133">
        <v>2</v>
      </c>
      <c r="J133" s="10">
        <v>0.52083333333333337</v>
      </c>
      <c r="K133" s="10">
        <v>0.67708333333333337</v>
      </c>
      <c r="L133" s="10">
        <f t="shared" si="5"/>
        <v>0.15625</v>
      </c>
      <c r="M133" s="12">
        <f t="shared" si="4"/>
        <v>3.75</v>
      </c>
      <c r="N133" s="12">
        <f>Table1[[#This Row],[Trip Hours]]*Table1[[#This Row],['#Angler]]</f>
        <v>7.5</v>
      </c>
      <c r="O133" t="s">
        <v>342</v>
      </c>
      <c r="P133" t="s">
        <v>347</v>
      </c>
      <c r="Q133" t="s">
        <v>343</v>
      </c>
      <c r="R133" s="11">
        <v>0</v>
      </c>
      <c r="S133">
        <v>0</v>
      </c>
      <c r="T133">
        <v>0</v>
      </c>
      <c r="U133">
        <v>0</v>
      </c>
      <c r="V133" s="11">
        <v>0</v>
      </c>
      <c r="W133">
        <v>0</v>
      </c>
      <c r="X133">
        <v>2</v>
      </c>
      <c r="Y133">
        <v>0</v>
      </c>
      <c r="Z133" s="11">
        <f>SUM(Table1[[#This Row],[Chi Kept]],Table1[[#This Row],[Chi Released]])</f>
        <v>0</v>
      </c>
      <c r="AA133">
        <f>SUM(Table1[[#This Row],[Co Kept]],Table1[[#This Row],[Co Released ]])</f>
        <v>0</v>
      </c>
      <c r="AB133">
        <f>SUM(Table1[[#This Row],[Pink Kept]],Table1[[#This Row],[Pink Released]])</f>
        <v>2</v>
      </c>
      <c r="AC133">
        <f>SUM(Table1[[#This Row],[Chu Kept]],Table1[[#This Row],[Chu Released]])</f>
        <v>0</v>
      </c>
    </row>
    <row r="134" spans="1:31" x14ac:dyDescent="0.3">
      <c r="A134" s="7">
        <v>45903</v>
      </c>
      <c r="B134">
        <v>3</v>
      </c>
      <c r="C134" t="s">
        <v>236</v>
      </c>
      <c r="D134" t="s">
        <v>42</v>
      </c>
      <c r="E134">
        <v>12</v>
      </c>
      <c r="F134">
        <v>1</v>
      </c>
      <c r="G134">
        <v>4</v>
      </c>
      <c r="H134" t="s">
        <v>241</v>
      </c>
      <c r="I134">
        <v>1</v>
      </c>
      <c r="J134" s="10">
        <v>0.64583333333333337</v>
      </c>
      <c r="K134" s="10">
        <v>0.69444444444444442</v>
      </c>
      <c r="L134" s="10">
        <f t="shared" si="5"/>
        <v>4.8611111111111049E-2</v>
      </c>
      <c r="M134" s="12">
        <f t="shared" si="4"/>
        <v>1.1666666666666652</v>
      </c>
      <c r="N134" s="12">
        <f>Table1[[#This Row],[Trip Hours]]*Table1[[#This Row],['#Angler]]</f>
        <v>1.1666666666666652</v>
      </c>
      <c r="O134" t="s">
        <v>342</v>
      </c>
      <c r="Q134" t="s">
        <v>247</v>
      </c>
      <c r="R134" s="11">
        <v>0</v>
      </c>
      <c r="S134">
        <v>0</v>
      </c>
      <c r="T134">
        <v>0</v>
      </c>
      <c r="U134">
        <v>0</v>
      </c>
      <c r="V134" s="11">
        <v>0</v>
      </c>
      <c r="W134">
        <v>0</v>
      </c>
      <c r="X134">
        <v>4</v>
      </c>
      <c r="Y134">
        <v>0</v>
      </c>
      <c r="Z134" s="11">
        <f>SUM(Table1[[#This Row],[Chi Kept]],Table1[[#This Row],[Chi Released]])</f>
        <v>0</v>
      </c>
      <c r="AA134">
        <f>SUM(Table1[[#This Row],[Co Kept]],Table1[[#This Row],[Co Released ]])</f>
        <v>0</v>
      </c>
      <c r="AB134">
        <f>SUM(Table1[[#This Row],[Pink Kept]],Table1[[#This Row],[Pink Released]])</f>
        <v>4</v>
      </c>
      <c r="AC134">
        <f>SUM(Table1[[#This Row],[Chu Kept]],Table1[[#This Row],[Chu Released]])</f>
        <v>0</v>
      </c>
    </row>
    <row r="135" spans="1:31" x14ac:dyDescent="0.3">
      <c r="A135" s="7">
        <v>45903</v>
      </c>
      <c r="B135">
        <v>3</v>
      </c>
      <c r="C135" t="s">
        <v>236</v>
      </c>
      <c r="D135" t="s">
        <v>42</v>
      </c>
      <c r="E135">
        <v>13</v>
      </c>
      <c r="F135">
        <v>1</v>
      </c>
      <c r="G135">
        <v>4</v>
      </c>
      <c r="H135" t="s">
        <v>241</v>
      </c>
      <c r="I135">
        <v>1</v>
      </c>
      <c r="J135" s="10">
        <v>0.65277777777777779</v>
      </c>
      <c r="K135" s="10">
        <v>0.69791666666666663</v>
      </c>
      <c r="L135" s="10">
        <f t="shared" si="5"/>
        <v>4.513888888888884E-2</v>
      </c>
      <c r="M135" s="12">
        <f t="shared" si="4"/>
        <v>1.0833333333333321</v>
      </c>
      <c r="N135" s="12">
        <f>Table1[[#This Row],[Trip Hours]]*Table1[[#This Row],['#Angler]]</f>
        <v>1.0833333333333321</v>
      </c>
      <c r="O135" t="s">
        <v>342</v>
      </c>
      <c r="P135" t="s">
        <v>347</v>
      </c>
      <c r="Q135" t="s">
        <v>343</v>
      </c>
      <c r="R135" s="11">
        <v>0</v>
      </c>
      <c r="S135">
        <v>0</v>
      </c>
      <c r="T135">
        <v>0</v>
      </c>
      <c r="U135">
        <v>0</v>
      </c>
      <c r="V135" s="11">
        <v>0</v>
      </c>
      <c r="W135">
        <v>0</v>
      </c>
      <c r="X135">
        <v>4</v>
      </c>
      <c r="Y135">
        <v>0</v>
      </c>
      <c r="Z135" s="11">
        <f>SUM(Table1[[#This Row],[Chi Kept]],Table1[[#This Row],[Chi Released]])</f>
        <v>0</v>
      </c>
      <c r="AA135">
        <f>SUM(Table1[[#This Row],[Co Kept]],Table1[[#This Row],[Co Released ]])</f>
        <v>0</v>
      </c>
      <c r="AB135">
        <f>SUM(Table1[[#This Row],[Pink Kept]],Table1[[#This Row],[Pink Released]])</f>
        <v>4</v>
      </c>
      <c r="AC135">
        <f>SUM(Table1[[#This Row],[Chu Kept]],Table1[[#This Row],[Chu Released]])</f>
        <v>0</v>
      </c>
    </row>
    <row r="136" spans="1:31" x14ac:dyDescent="0.3">
      <c r="A136" s="7">
        <v>45903</v>
      </c>
      <c r="B136">
        <v>3</v>
      </c>
      <c r="C136" t="s">
        <v>236</v>
      </c>
      <c r="D136" t="s">
        <v>42</v>
      </c>
      <c r="E136">
        <v>14</v>
      </c>
      <c r="F136">
        <v>1</v>
      </c>
      <c r="G136">
        <v>2</v>
      </c>
      <c r="H136" t="s">
        <v>241</v>
      </c>
      <c r="I136">
        <v>2</v>
      </c>
      <c r="J136" s="10">
        <v>0.58333333333333337</v>
      </c>
      <c r="K136" s="10">
        <v>0.70138888888888884</v>
      </c>
      <c r="L136" s="10">
        <f t="shared" si="5"/>
        <v>0.11805555555555547</v>
      </c>
      <c r="M136" s="12">
        <f t="shared" si="4"/>
        <v>2.8333333333333313</v>
      </c>
      <c r="N136" s="12">
        <f>Table1[[#This Row],[Trip Hours]]*Table1[[#This Row],['#Angler]]</f>
        <v>5.6666666666666625</v>
      </c>
      <c r="O136" t="s">
        <v>342</v>
      </c>
      <c r="P136" t="s">
        <v>347</v>
      </c>
      <c r="Q136" t="s">
        <v>343</v>
      </c>
      <c r="R136" s="11">
        <v>0</v>
      </c>
      <c r="S136">
        <v>0</v>
      </c>
      <c r="T136">
        <v>4</v>
      </c>
      <c r="U136">
        <v>0</v>
      </c>
      <c r="V136" s="11">
        <v>0</v>
      </c>
      <c r="W136">
        <v>0</v>
      </c>
      <c r="X136">
        <v>0</v>
      </c>
      <c r="Y136">
        <v>0</v>
      </c>
      <c r="Z136" s="11">
        <f>SUM(Table1[[#This Row],[Chi Kept]],Table1[[#This Row],[Chi Released]])</f>
        <v>0</v>
      </c>
      <c r="AA136">
        <f>SUM(Table1[[#This Row],[Co Kept]],Table1[[#This Row],[Co Released ]])</f>
        <v>0</v>
      </c>
      <c r="AB136">
        <f>SUM(Table1[[#This Row],[Pink Kept]],Table1[[#This Row],[Pink Released]])</f>
        <v>4</v>
      </c>
      <c r="AC136">
        <f>SUM(Table1[[#This Row],[Chu Kept]],Table1[[#This Row],[Chu Released]])</f>
        <v>0</v>
      </c>
    </row>
    <row r="137" spans="1:31" x14ac:dyDescent="0.3">
      <c r="A137" s="7">
        <v>45904</v>
      </c>
      <c r="B137">
        <v>3</v>
      </c>
      <c r="C137" t="s">
        <v>236</v>
      </c>
      <c r="D137" t="s">
        <v>26</v>
      </c>
      <c r="E137">
        <v>1</v>
      </c>
      <c r="F137">
        <v>1</v>
      </c>
      <c r="G137">
        <v>1</v>
      </c>
      <c r="H137" t="s">
        <v>344</v>
      </c>
      <c r="I137">
        <v>1</v>
      </c>
      <c r="J137" s="10">
        <v>0.25</v>
      </c>
      <c r="K137" s="10">
        <v>0.31944444444444442</v>
      </c>
      <c r="L137" s="10">
        <f t="shared" si="5"/>
        <v>6.944444444444442E-2</v>
      </c>
      <c r="M137" s="12">
        <f t="shared" si="4"/>
        <v>1.6666666666666661</v>
      </c>
      <c r="N137" s="12">
        <f>Table1[[#This Row],[Trip Hours]]*Table1[[#This Row],['#Angler]]</f>
        <v>1.6666666666666661</v>
      </c>
      <c r="O137" t="s">
        <v>342</v>
      </c>
      <c r="Q137" t="s">
        <v>343</v>
      </c>
      <c r="R137" s="11">
        <v>0</v>
      </c>
      <c r="S137">
        <v>0</v>
      </c>
      <c r="T137">
        <v>2</v>
      </c>
      <c r="U137">
        <v>0</v>
      </c>
      <c r="V137" s="11">
        <v>0</v>
      </c>
      <c r="W137">
        <v>0</v>
      </c>
      <c r="X137">
        <v>0</v>
      </c>
      <c r="Y137">
        <v>0</v>
      </c>
      <c r="Z137" s="11">
        <f>SUM(Table1[[#This Row],[Chi Kept]],Table1[[#This Row],[Chi Released]])</f>
        <v>0</v>
      </c>
      <c r="AA137">
        <f>SUM(Table1[[#This Row],[Co Kept]],Table1[[#This Row],[Co Released ]])</f>
        <v>0</v>
      </c>
      <c r="AB137">
        <f>SUM(Table1[[#This Row],[Pink Kept]],Table1[[#This Row],[Pink Released]])</f>
        <v>2</v>
      </c>
      <c r="AC137">
        <f>SUM(Table1[[#This Row],[Chu Kept]],Table1[[#This Row],[Chu Released]])</f>
        <v>0</v>
      </c>
    </row>
    <row r="138" spans="1:31" x14ac:dyDescent="0.3">
      <c r="A138" s="7">
        <v>45904</v>
      </c>
      <c r="B138">
        <v>3</v>
      </c>
      <c r="C138" t="s">
        <v>236</v>
      </c>
      <c r="D138" t="s">
        <v>26</v>
      </c>
      <c r="E138">
        <v>2</v>
      </c>
      <c r="F138">
        <v>1</v>
      </c>
      <c r="G138">
        <v>1</v>
      </c>
      <c r="H138" t="s">
        <v>344</v>
      </c>
      <c r="I138">
        <v>3</v>
      </c>
      <c r="J138" s="10">
        <v>0.29166666666666669</v>
      </c>
      <c r="K138" s="10">
        <v>0.44791666666666669</v>
      </c>
      <c r="L138" s="10">
        <f t="shared" si="5"/>
        <v>0.15625</v>
      </c>
      <c r="M138" s="12">
        <f t="shared" si="4"/>
        <v>3.75</v>
      </c>
      <c r="N138" s="12">
        <f>Table1[[#This Row],[Trip Hours]]*Table1[[#This Row],['#Angler]]</f>
        <v>11.25</v>
      </c>
      <c r="O138" t="s">
        <v>342</v>
      </c>
      <c r="P138" t="s">
        <v>347</v>
      </c>
      <c r="Q138" t="s">
        <v>343</v>
      </c>
      <c r="R138" s="11">
        <v>0</v>
      </c>
      <c r="S138">
        <v>0</v>
      </c>
      <c r="T138">
        <v>9</v>
      </c>
      <c r="U138">
        <v>0</v>
      </c>
      <c r="V138" s="11">
        <v>0</v>
      </c>
      <c r="W138">
        <v>0</v>
      </c>
      <c r="X138">
        <v>4</v>
      </c>
      <c r="Y138">
        <v>0</v>
      </c>
      <c r="Z138" s="11">
        <f>SUM(Table1[[#This Row],[Chi Kept]],Table1[[#This Row],[Chi Released]])</f>
        <v>0</v>
      </c>
      <c r="AA138">
        <f>SUM(Table1[[#This Row],[Co Kept]],Table1[[#This Row],[Co Released ]])</f>
        <v>0</v>
      </c>
      <c r="AB138">
        <f>SUM(Table1[[#This Row],[Pink Kept]],Table1[[#This Row],[Pink Released]])</f>
        <v>13</v>
      </c>
      <c r="AC138">
        <f>SUM(Table1[[#This Row],[Chu Kept]],Table1[[#This Row],[Chu Released]])</f>
        <v>0</v>
      </c>
    </row>
    <row r="139" spans="1:31" x14ac:dyDescent="0.3">
      <c r="A139" s="7">
        <v>45904</v>
      </c>
      <c r="B139">
        <v>3</v>
      </c>
      <c r="C139" t="s">
        <v>236</v>
      </c>
      <c r="D139" t="s">
        <v>42</v>
      </c>
      <c r="E139">
        <v>3</v>
      </c>
      <c r="F139">
        <v>2</v>
      </c>
      <c r="G139">
        <v>2</v>
      </c>
      <c r="H139" t="s">
        <v>241</v>
      </c>
      <c r="I139">
        <v>1</v>
      </c>
      <c r="J139" s="10">
        <v>0.66666666666666663</v>
      </c>
      <c r="K139" s="10">
        <v>0.70833333333333337</v>
      </c>
      <c r="L139" s="10">
        <f t="shared" si="5"/>
        <v>4.1666666666666741E-2</v>
      </c>
      <c r="M139" s="12">
        <f t="shared" si="4"/>
        <v>1.0000000000000018</v>
      </c>
      <c r="N139" s="12">
        <f>Table1[[#This Row],[Trip Hours]]*Table1[[#This Row],['#Angler]]</f>
        <v>1.0000000000000018</v>
      </c>
      <c r="O139" t="s">
        <v>342</v>
      </c>
      <c r="P139" t="s">
        <v>347</v>
      </c>
      <c r="Q139" t="s">
        <v>343</v>
      </c>
      <c r="R139" s="11">
        <v>0</v>
      </c>
      <c r="S139">
        <v>0</v>
      </c>
      <c r="T139">
        <v>0</v>
      </c>
      <c r="U139">
        <v>0</v>
      </c>
      <c r="V139" s="11">
        <v>0</v>
      </c>
      <c r="W139">
        <v>0</v>
      </c>
      <c r="X139">
        <v>0</v>
      </c>
      <c r="Y139">
        <v>0</v>
      </c>
      <c r="Z139" s="11">
        <f>SUM(Table1[[#This Row],[Chi Kept]],Table1[[#This Row],[Chi Released]])</f>
        <v>0</v>
      </c>
      <c r="AA139">
        <f>SUM(Table1[[#This Row],[Co Kept]],Table1[[#This Row],[Co Released ]])</f>
        <v>0</v>
      </c>
      <c r="AB139">
        <f>SUM(Table1[[#This Row],[Pink Kept]],Table1[[#This Row],[Pink Released]])</f>
        <v>0</v>
      </c>
      <c r="AC139">
        <f>SUM(Table1[[#This Row],[Chu Kept]],Table1[[#This Row],[Chu Released]])</f>
        <v>0</v>
      </c>
    </row>
    <row r="140" spans="1:31" x14ac:dyDescent="0.3">
      <c r="A140" s="7">
        <v>45904</v>
      </c>
      <c r="B140">
        <v>3</v>
      </c>
      <c r="C140" t="s">
        <v>236</v>
      </c>
      <c r="D140" t="s">
        <v>42</v>
      </c>
      <c r="E140">
        <v>4</v>
      </c>
      <c r="F140">
        <v>1</v>
      </c>
      <c r="G140">
        <v>2</v>
      </c>
      <c r="H140" t="s">
        <v>241</v>
      </c>
      <c r="I140">
        <v>1</v>
      </c>
      <c r="J140" s="10">
        <v>0.58333333333333337</v>
      </c>
      <c r="K140" s="10">
        <v>0.79166666666666663</v>
      </c>
      <c r="L140" s="10">
        <f t="shared" si="5"/>
        <v>0.20833333333333326</v>
      </c>
      <c r="M140" s="12">
        <f t="shared" si="4"/>
        <v>4.9999999999999982</v>
      </c>
      <c r="N140" s="12">
        <f>Table1[[#This Row],[Trip Hours]]*Table1[[#This Row],['#Angler]]</f>
        <v>4.9999999999999982</v>
      </c>
      <c r="O140" t="s">
        <v>342</v>
      </c>
      <c r="P140" t="s">
        <v>347</v>
      </c>
      <c r="Q140" t="s">
        <v>343</v>
      </c>
      <c r="R140" s="11">
        <v>0</v>
      </c>
      <c r="S140">
        <v>0</v>
      </c>
      <c r="T140">
        <v>5</v>
      </c>
      <c r="U140">
        <v>0</v>
      </c>
      <c r="V140" s="11">
        <v>0</v>
      </c>
      <c r="W140">
        <v>0</v>
      </c>
      <c r="X140">
        <v>4</v>
      </c>
      <c r="Y140">
        <v>0</v>
      </c>
      <c r="Z140" s="11">
        <f>SUM(Table1[[#This Row],[Chi Kept]],Table1[[#This Row],[Chi Released]])</f>
        <v>0</v>
      </c>
      <c r="AA140">
        <f>SUM(Table1[[#This Row],[Co Kept]],Table1[[#This Row],[Co Released ]])</f>
        <v>0</v>
      </c>
      <c r="AB140">
        <f>SUM(Table1[[#This Row],[Pink Kept]],Table1[[#This Row],[Pink Released]])</f>
        <v>9</v>
      </c>
      <c r="AC140">
        <f>SUM(Table1[[#This Row],[Chu Kept]],Table1[[#This Row],[Chu Released]])</f>
        <v>0</v>
      </c>
    </row>
    <row r="141" spans="1:31" x14ac:dyDescent="0.3">
      <c r="A141" s="7">
        <v>45904</v>
      </c>
      <c r="B141">
        <v>3</v>
      </c>
      <c r="C141" t="s">
        <v>236</v>
      </c>
      <c r="D141" t="s">
        <v>42</v>
      </c>
      <c r="E141">
        <v>5</v>
      </c>
      <c r="F141">
        <v>1</v>
      </c>
      <c r="G141">
        <v>2</v>
      </c>
      <c r="H141" t="s">
        <v>241</v>
      </c>
      <c r="I141">
        <v>1</v>
      </c>
      <c r="J141" s="10">
        <v>0.66666666666666663</v>
      </c>
      <c r="K141" s="10">
        <v>0.79166666666666663</v>
      </c>
      <c r="L141" s="10">
        <f t="shared" si="5"/>
        <v>0.125</v>
      </c>
      <c r="M141" s="12">
        <f t="shared" si="4"/>
        <v>3</v>
      </c>
      <c r="N141" s="12">
        <f>Table1[[#This Row],[Trip Hours]]*Table1[[#This Row],['#Angler]]</f>
        <v>3</v>
      </c>
      <c r="O141" t="s">
        <v>342</v>
      </c>
      <c r="P141" t="s">
        <v>347</v>
      </c>
      <c r="Q141" t="s">
        <v>343</v>
      </c>
      <c r="R141" s="11">
        <v>0</v>
      </c>
      <c r="S141">
        <v>0</v>
      </c>
      <c r="T141">
        <v>2</v>
      </c>
      <c r="U141">
        <v>0</v>
      </c>
      <c r="V141" s="11">
        <v>0</v>
      </c>
      <c r="W141">
        <v>0</v>
      </c>
      <c r="X141">
        <v>0</v>
      </c>
      <c r="Y141">
        <v>0</v>
      </c>
      <c r="Z141" s="11">
        <f>SUM(Table1[[#This Row],[Chi Kept]],Table1[[#This Row],[Chi Released]])</f>
        <v>0</v>
      </c>
      <c r="AA141">
        <f>SUM(Table1[[#This Row],[Co Kept]],Table1[[#This Row],[Co Released ]])</f>
        <v>0</v>
      </c>
      <c r="AB141">
        <f>SUM(Table1[[#This Row],[Pink Kept]],Table1[[#This Row],[Pink Released]])</f>
        <v>2</v>
      </c>
      <c r="AC141">
        <f>SUM(Table1[[#This Row],[Chu Kept]],Table1[[#This Row],[Chu Released]])</f>
        <v>0</v>
      </c>
    </row>
    <row r="142" spans="1:31" x14ac:dyDescent="0.3">
      <c r="A142" s="7">
        <v>45904</v>
      </c>
      <c r="B142">
        <v>3</v>
      </c>
      <c r="C142" t="s">
        <v>236</v>
      </c>
      <c r="D142" t="s">
        <v>42</v>
      </c>
      <c r="E142">
        <v>6</v>
      </c>
      <c r="F142">
        <v>1</v>
      </c>
      <c r="G142">
        <v>2</v>
      </c>
      <c r="H142" t="s">
        <v>241</v>
      </c>
      <c r="I142">
        <v>1</v>
      </c>
      <c r="J142" s="10">
        <v>0.66666666666666663</v>
      </c>
      <c r="K142" s="10">
        <v>0.79166666666666663</v>
      </c>
      <c r="L142" s="10">
        <f t="shared" si="5"/>
        <v>0.125</v>
      </c>
      <c r="M142" s="12">
        <f t="shared" si="4"/>
        <v>3</v>
      </c>
      <c r="N142" s="12">
        <f>Table1[[#This Row],[Trip Hours]]*Table1[[#This Row],['#Angler]]</f>
        <v>3</v>
      </c>
      <c r="O142" t="s">
        <v>342</v>
      </c>
      <c r="P142" t="s">
        <v>347</v>
      </c>
      <c r="Q142" t="s">
        <v>343</v>
      </c>
      <c r="R142" s="11">
        <v>0</v>
      </c>
      <c r="S142">
        <v>0</v>
      </c>
      <c r="T142">
        <v>1</v>
      </c>
      <c r="U142">
        <v>0</v>
      </c>
      <c r="V142" s="11">
        <v>0</v>
      </c>
      <c r="W142">
        <v>0</v>
      </c>
      <c r="X142">
        <v>0</v>
      </c>
      <c r="Y142">
        <v>0</v>
      </c>
      <c r="Z142" s="11">
        <f>SUM(Table1[[#This Row],[Chi Kept]],Table1[[#This Row],[Chi Released]])</f>
        <v>0</v>
      </c>
      <c r="AA142">
        <f>SUM(Table1[[#This Row],[Co Kept]],Table1[[#This Row],[Co Released ]])</f>
        <v>0</v>
      </c>
      <c r="AB142">
        <f>SUM(Table1[[#This Row],[Pink Kept]],Table1[[#This Row],[Pink Released]])</f>
        <v>1</v>
      </c>
      <c r="AC142">
        <f>SUM(Table1[[#This Row],[Chu Kept]],Table1[[#This Row],[Chu Released]])</f>
        <v>0</v>
      </c>
    </row>
    <row r="143" spans="1:31" x14ac:dyDescent="0.3">
      <c r="A143" s="7">
        <v>45904</v>
      </c>
      <c r="B143">
        <v>3</v>
      </c>
      <c r="C143" t="s">
        <v>236</v>
      </c>
      <c r="D143" t="s">
        <v>42</v>
      </c>
      <c r="E143">
        <v>7</v>
      </c>
      <c r="F143">
        <v>1</v>
      </c>
      <c r="G143">
        <v>1</v>
      </c>
      <c r="H143" t="s">
        <v>344</v>
      </c>
      <c r="I143">
        <v>1</v>
      </c>
      <c r="J143" s="10">
        <v>0.625</v>
      </c>
      <c r="K143" s="10">
        <v>0.80555555555555558</v>
      </c>
      <c r="L143" s="10">
        <f t="shared" si="5"/>
        <v>0.18055555555555558</v>
      </c>
      <c r="M143" s="12">
        <f t="shared" si="4"/>
        <v>4.3333333333333339</v>
      </c>
      <c r="N143" s="12">
        <f>Table1[[#This Row],[Trip Hours]]*Table1[[#This Row],['#Angler]]</f>
        <v>4.3333333333333339</v>
      </c>
      <c r="O143" t="s">
        <v>342</v>
      </c>
      <c r="P143" t="s">
        <v>347</v>
      </c>
      <c r="Q143" t="s">
        <v>343</v>
      </c>
      <c r="R143" s="11">
        <v>0</v>
      </c>
      <c r="S143">
        <v>0</v>
      </c>
      <c r="T143">
        <v>3</v>
      </c>
      <c r="U143">
        <v>0</v>
      </c>
      <c r="V143" s="11">
        <v>0</v>
      </c>
      <c r="W143">
        <v>0</v>
      </c>
      <c r="X143">
        <v>3</v>
      </c>
      <c r="Y143">
        <v>0</v>
      </c>
      <c r="Z143" s="11">
        <f>SUM(Table1[[#This Row],[Chi Kept]],Table1[[#This Row],[Chi Released]])</f>
        <v>0</v>
      </c>
      <c r="AA143">
        <f>SUM(Table1[[#This Row],[Co Kept]],Table1[[#This Row],[Co Released ]])</f>
        <v>0</v>
      </c>
      <c r="AB143">
        <f>SUM(Table1[[#This Row],[Pink Kept]],Table1[[#This Row],[Pink Released]])</f>
        <v>6</v>
      </c>
      <c r="AC143">
        <f>SUM(Table1[[#This Row],[Chu Kept]],Table1[[#This Row],[Chu Released]])</f>
        <v>0</v>
      </c>
    </row>
    <row r="144" spans="1:31" x14ac:dyDescent="0.3">
      <c r="A144" s="7">
        <v>45905</v>
      </c>
      <c r="B144">
        <v>3</v>
      </c>
      <c r="C144" t="s">
        <v>236</v>
      </c>
      <c r="D144" t="s">
        <v>26</v>
      </c>
      <c r="E144">
        <v>1</v>
      </c>
      <c r="F144">
        <v>2</v>
      </c>
      <c r="G144">
        <v>2</v>
      </c>
      <c r="H144" t="s">
        <v>241</v>
      </c>
      <c r="I144">
        <v>1</v>
      </c>
      <c r="J144" s="10">
        <v>0.27083333333333331</v>
      </c>
      <c r="K144" s="10">
        <v>0.33333333333333331</v>
      </c>
      <c r="L144" s="10">
        <f t="shared" si="5"/>
        <v>6.25E-2</v>
      </c>
      <c r="M144" s="12">
        <f t="shared" si="4"/>
        <v>1.5</v>
      </c>
      <c r="N144" s="12">
        <f>Table1[[#This Row],[Trip Hours]]*Table1[[#This Row],['#Angler]]</f>
        <v>1.5</v>
      </c>
      <c r="O144" t="s">
        <v>342</v>
      </c>
      <c r="P144" t="s">
        <v>49</v>
      </c>
      <c r="Q144" t="s">
        <v>241</v>
      </c>
      <c r="R144" s="11">
        <v>0</v>
      </c>
      <c r="S144">
        <v>0</v>
      </c>
      <c r="T144">
        <v>1</v>
      </c>
      <c r="U144">
        <v>0</v>
      </c>
      <c r="V144" s="11">
        <v>0</v>
      </c>
      <c r="W144">
        <v>0</v>
      </c>
      <c r="X144">
        <v>0</v>
      </c>
      <c r="Y144">
        <v>0</v>
      </c>
      <c r="Z144" s="11">
        <f>SUM(Table1[[#This Row],[Chi Kept]],Table1[[#This Row],[Chi Released]])</f>
        <v>0</v>
      </c>
      <c r="AA144">
        <f>SUM(Table1[[#This Row],[Co Kept]],Table1[[#This Row],[Co Released ]])</f>
        <v>0</v>
      </c>
      <c r="AB144">
        <f>SUM(Table1[[#This Row],[Pink Kept]],Table1[[#This Row],[Pink Released]])</f>
        <v>1</v>
      </c>
      <c r="AC144">
        <f>SUM(Table1[[#This Row],[Chu Kept]],Table1[[#This Row],[Chu Released]])</f>
        <v>0</v>
      </c>
      <c r="AE144" t="s">
        <v>355</v>
      </c>
    </row>
    <row r="145" spans="1:29" x14ac:dyDescent="0.3">
      <c r="A145" s="7">
        <v>45905</v>
      </c>
      <c r="B145">
        <v>3</v>
      </c>
      <c r="C145" t="s">
        <v>236</v>
      </c>
      <c r="D145" t="s">
        <v>42</v>
      </c>
      <c r="E145">
        <v>2</v>
      </c>
      <c r="F145">
        <v>2</v>
      </c>
      <c r="G145">
        <v>2</v>
      </c>
      <c r="H145" t="s">
        <v>241</v>
      </c>
      <c r="I145">
        <v>1</v>
      </c>
      <c r="J145" s="10">
        <v>0.625</v>
      </c>
      <c r="K145" s="10">
        <v>0.66666666666666663</v>
      </c>
      <c r="L145" s="10">
        <f t="shared" si="5"/>
        <v>4.166666666666663E-2</v>
      </c>
      <c r="M145" s="12">
        <f t="shared" si="4"/>
        <v>0.99999999999999911</v>
      </c>
      <c r="N145" s="12">
        <f>Table1[[#This Row],[Trip Hours]]*Table1[[#This Row],['#Angler]]</f>
        <v>0.99999999999999911</v>
      </c>
      <c r="O145" t="s">
        <v>349</v>
      </c>
      <c r="Q145" t="s">
        <v>343</v>
      </c>
      <c r="R145" s="11">
        <v>0</v>
      </c>
      <c r="S145">
        <v>0</v>
      </c>
      <c r="T145">
        <v>0</v>
      </c>
      <c r="U145">
        <v>0</v>
      </c>
      <c r="V145" s="11">
        <v>0</v>
      </c>
      <c r="W145">
        <v>0</v>
      </c>
      <c r="X145">
        <v>0</v>
      </c>
      <c r="Y145">
        <v>0</v>
      </c>
      <c r="Z145" s="11">
        <f>SUM(Table1[[#This Row],[Chi Kept]],Table1[[#This Row],[Chi Released]])</f>
        <v>0</v>
      </c>
      <c r="AA145">
        <f>SUM(Table1[[#This Row],[Co Kept]],Table1[[#This Row],[Co Released ]])</f>
        <v>0</v>
      </c>
      <c r="AB145">
        <f>SUM(Table1[[#This Row],[Pink Kept]],Table1[[#This Row],[Pink Released]])</f>
        <v>0</v>
      </c>
      <c r="AC145">
        <f>SUM(Table1[[#This Row],[Chu Kept]],Table1[[#This Row],[Chu Released]])</f>
        <v>0</v>
      </c>
    </row>
    <row r="146" spans="1:29" x14ac:dyDescent="0.3">
      <c r="A146" s="7">
        <v>45905</v>
      </c>
      <c r="B146">
        <v>3</v>
      </c>
      <c r="C146" t="s">
        <v>236</v>
      </c>
      <c r="D146" t="s">
        <v>42</v>
      </c>
      <c r="E146">
        <v>3</v>
      </c>
      <c r="F146">
        <v>2</v>
      </c>
      <c r="G146">
        <v>2</v>
      </c>
      <c r="H146" t="s">
        <v>241</v>
      </c>
      <c r="I146">
        <v>1</v>
      </c>
      <c r="J146" s="10">
        <v>0.64583333333333337</v>
      </c>
      <c r="K146" s="10">
        <v>0.66666666666666663</v>
      </c>
      <c r="L146" s="10">
        <f t="shared" si="5"/>
        <v>2.0833333333333259E-2</v>
      </c>
      <c r="M146" s="12">
        <f t="shared" si="4"/>
        <v>0.49999999999999822</v>
      </c>
      <c r="N146" s="12">
        <f>Table1[[#This Row],[Trip Hours]]*Table1[[#This Row],['#Angler]]</f>
        <v>0.49999999999999822</v>
      </c>
      <c r="O146" t="s">
        <v>349</v>
      </c>
      <c r="Q146" t="s">
        <v>241</v>
      </c>
      <c r="R146" s="11">
        <v>0</v>
      </c>
      <c r="S146">
        <v>0</v>
      </c>
      <c r="T146">
        <v>0</v>
      </c>
      <c r="U146">
        <v>0</v>
      </c>
      <c r="V146" s="11">
        <v>0</v>
      </c>
      <c r="W146">
        <v>0</v>
      </c>
      <c r="X146">
        <v>0</v>
      </c>
      <c r="Y146">
        <v>0</v>
      </c>
      <c r="Z146" s="11">
        <f>SUM(Table1[[#This Row],[Chi Kept]],Table1[[#This Row],[Chi Released]])</f>
        <v>0</v>
      </c>
      <c r="AA146">
        <f>SUM(Table1[[#This Row],[Co Kept]],Table1[[#This Row],[Co Released ]])</f>
        <v>0</v>
      </c>
      <c r="AB146">
        <f>SUM(Table1[[#This Row],[Pink Kept]],Table1[[#This Row],[Pink Released]])</f>
        <v>0</v>
      </c>
      <c r="AC146">
        <f>SUM(Table1[[#This Row],[Chu Kept]],Table1[[#This Row],[Chu Released]])</f>
        <v>0</v>
      </c>
    </row>
    <row r="147" spans="1:29" x14ac:dyDescent="0.3">
      <c r="A147" s="7">
        <v>45905</v>
      </c>
      <c r="B147">
        <v>3</v>
      </c>
      <c r="C147" t="s">
        <v>236</v>
      </c>
      <c r="D147" t="s">
        <v>42</v>
      </c>
      <c r="E147">
        <v>4</v>
      </c>
      <c r="F147">
        <v>2</v>
      </c>
      <c r="G147">
        <v>2</v>
      </c>
      <c r="H147" t="s">
        <v>241</v>
      </c>
      <c r="I147">
        <v>2</v>
      </c>
      <c r="J147" s="10">
        <v>0.58333333333333337</v>
      </c>
      <c r="K147" s="10">
        <v>0.66666666666666663</v>
      </c>
      <c r="L147" s="10">
        <f t="shared" si="5"/>
        <v>8.3333333333333259E-2</v>
      </c>
      <c r="M147" s="12">
        <f t="shared" si="4"/>
        <v>1.9999999999999982</v>
      </c>
      <c r="N147" s="12">
        <f>Table1[[#This Row],[Trip Hours]]*Table1[[#This Row],['#Angler]]</f>
        <v>3.9999999999999964</v>
      </c>
      <c r="O147" t="s">
        <v>349</v>
      </c>
      <c r="P147" t="s">
        <v>347</v>
      </c>
      <c r="Q147" t="s">
        <v>345</v>
      </c>
      <c r="R147" s="11">
        <v>0</v>
      </c>
      <c r="S147">
        <v>0</v>
      </c>
      <c r="T147">
        <v>0</v>
      </c>
      <c r="U147">
        <v>0</v>
      </c>
      <c r="V147" s="11">
        <v>0</v>
      </c>
      <c r="W147">
        <v>0</v>
      </c>
      <c r="X147">
        <v>0</v>
      </c>
      <c r="Y147">
        <v>0</v>
      </c>
      <c r="Z147" s="11">
        <f>SUM(Table1[[#This Row],[Chi Kept]],Table1[[#This Row],[Chi Released]])</f>
        <v>0</v>
      </c>
      <c r="AA147">
        <f>SUM(Table1[[#This Row],[Co Kept]],Table1[[#This Row],[Co Released ]])</f>
        <v>0</v>
      </c>
      <c r="AB147">
        <f>SUM(Table1[[#This Row],[Pink Kept]],Table1[[#This Row],[Pink Released]])</f>
        <v>0</v>
      </c>
      <c r="AC147">
        <f>SUM(Table1[[#This Row],[Chu Kept]],Table1[[#This Row],[Chu Released]])</f>
        <v>0</v>
      </c>
    </row>
    <row r="148" spans="1:29" x14ac:dyDescent="0.3">
      <c r="A148" s="7">
        <v>45905</v>
      </c>
      <c r="B148">
        <v>3</v>
      </c>
      <c r="C148" t="s">
        <v>236</v>
      </c>
      <c r="D148" t="s">
        <v>42</v>
      </c>
      <c r="E148">
        <v>5</v>
      </c>
      <c r="F148">
        <v>2</v>
      </c>
      <c r="G148">
        <v>2</v>
      </c>
      <c r="H148" t="s">
        <v>241</v>
      </c>
      <c r="I148">
        <v>1</v>
      </c>
      <c r="J148" s="10">
        <v>0.66666666666666663</v>
      </c>
      <c r="K148" s="10">
        <v>0.67708333333333337</v>
      </c>
      <c r="L148" s="10">
        <f t="shared" si="5"/>
        <v>1.0416666666666741E-2</v>
      </c>
      <c r="M148" s="12">
        <f t="shared" si="4"/>
        <v>0.25000000000000178</v>
      </c>
      <c r="N148" s="12">
        <f>Table1[[#This Row],[Trip Hours]]*Table1[[#This Row],['#Angler]]</f>
        <v>0.25000000000000178</v>
      </c>
      <c r="O148" t="s">
        <v>349</v>
      </c>
      <c r="P148" t="s">
        <v>356</v>
      </c>
      <c r="Q148" t="s">
        <v>241</v>
      </c>
      <c r="R148" s="11">
        <v>0</v>
      </c>
      <c r="S148">
        <v>0</v>
      </c>
      <c r="T148">
        <v>0</v>
      </c>
      <c r="U148">
        <v>0</v>
      </c>
      <c r="V148" s="11">
        <v>0</v>
      </c>
      <c r="W148">
        <v>0</v>
      </c>
      <c r="X148">
        <v>0</v>
      </c>
      <c r="Y148">
        <v>0</v>
      </c>
      <c r="Z148" s="11">
        <f>SUM(Table1[[#This Row],[Chi Kept]],Table1[[#This Row],[Chi Released]])</f>
        <v>0</v>
      </c>
      <c r="AA148">
        <f>SUM(Table1[[#This Row],[Co Kept]],Table1[[#This Row],[Co Released ]])</f>
        <v>0</v>
      </c>
      <c r="AB148">
        <f>SUM(Table1[[#This Row],[Pink Kept]],Table1[[#This Row],[Pink Released]])</f>
        <v>0</v>
      </c>
      <c r="AC148">
        <f>SUM(Table1[[#This Row],[Chu Kept]],Table1[[#This Row],[Chu Released]])</f>
        <v>0</v>
      </c>
    </row>
    <row r="149" spans="1:29" x14ac:dyDescent="0.3">
      <c r="A149" s="7">
        <v>45905</v>
      </c>
      <c r="B149">
        <v>3</v>
      </c>
      <c r="C149" t="s">
        <v>236</v>
      </c>
      <c r="D149" t="s">
        <v>42</v>
      </c>
      <c r="E149">
        <v>6</v>
      </c>
      <c r="F149">
        <v>2</v>
      </c>
      <c r="G149">
        <v>4</v>
      </c>
      <c r="H149" t="s">
        <v>241</v>
      </c>
      <c r="I149">
        <v>3</v>
      </c>
      <c r="J149" s="10">
        <v>0.66666666666666663</v>
      </c>
      <c r="K149" s="10">
        <v>0.72083333333333333</v>
      </c>
      <c r="L149" s="10">
        <f t="shared" si="5"/>
        <v>5.4166666666666696E-2</v>
      </c>
      <c r="M149" s="12">
        <f t="shared" si="4"/>
        <v>1.3000000000000007</v>
      </c>
      <c r="N149" s="12">
        <f>Table1[[#This Row],[Trip Hours]]*Table1[[#This Row],['#Angler]]</f>
        <v>3.9000000000000021</v>
      </c>
      <c r="O149" t="s">
        <v>349</v>
      </c>
      <c r="P149" t="s">
        <v>347</v>
      </c>
      <c r="Q149" t="s">
        <v>241</v>
      </c>
      <c r="R149" s="11">
        <v>0</v>
      </c>
      <c r="S149">
        <v>0</v>
      </c>
      <c r="T149">
        <v>0</v>
      </c>
      <c r="U149">
        <v>0</v>
      </c>
      <c r="V149" s="11">
        <v>0</v>
      </c>
      <c r="W149">
        <v>1</v>
      </c>
      <c r="X149">
        <v>1</v>
      </c>
      <c r="Y149">
        <v>0</v>
      </c>
      <c r="Z149" s="11">
        <f>SUM(Table1[[#This Row],[Chi Kept]],Table1[[#This Row],[Chi Released]])</f>
        <v>0</v>
      </c>
      <c r="AA149">
        <f>SUM(Table1[[#This Row],[Co Kept]],Table1[[#This Row],[Co Released ]])</f>
        <v>1</v>
      </c>
      <c r="AB149">
        <f>SUM(Table1[[#This Row],[Pink Kept]],Table1[[#This Row],[Pink Released]])</f>
        <v>1</v>
      </c>
      <c r="AC149">
        <f>SUM(Table1[[#This Row],[Chu Kept]],Table1[[#This Row],[Chu Released]])</f>
        <v>0</v>
      </c>
    </row>
    <row r="150" spans="1:29" x14ac:dyDescent="0.3">
      <c r="A150" s="7">
        <v>45905</v>
      </c>
      <c r="B150">
        <v>3</v>
      </c>
      <c r="C150" t="s">
        <v>236</v>
      </c>
      <c r="D150" t="s">
        <v>42</v>
      </c>
      <c r="E150">
        <v>7</v>
      </c>
      <c r="F150">
        <v>2</v>
      </c>
      <c r="G150">
        <v>4</v>
      </c>
      <c r="H150" t="s">
        <v>241</v>
      </c>
      <c r="I150">
        <v>1</v>
      </c>
      <c r="J150" s="10">
        <v>0.69791666666666663</v>
      </c>
      <c r="K150" s="10">
        <v>0.72222222222222221</v>
      </c>
      <c r="L150" s="10">
        <f t="shared" si="5"/>
        <v>2.430555555555558E-2</v>
      </c>
      <c r="M150" s="12">
        <f t="shared" si="4"/>
        <v>0.58333333333333393</v>
      </c>
      <c r="N150" s="12">
        <f>Table1[[#This Row],[Trip Hours]]*Table1[[#This Row],['#Angler]]</f>
        <v>0.58333333333333393</v>
      </c>
      <c r="O150" t="s">
        <v>349</v>
      </c>
      <c r="P150" t="s">
        <v>347</v>
      </c>
      <c r="Q150" t="s">
        <v>241</v>
      </c>
      <c r="R150" s="11">
        <v>0</v>
      </c>
      <c r="S150">
        <v>0</v>
      </c>
      <c r="T150">
        <v>0</v>
      </c>
      <c r="U150">
        <v>0</v>
      </c>
      <c r="V150" s="11">
        <v>0</v>
      </c>
      <c r="W150">
        <v>0</v>
      </c>
      <c r="X150">
        <v>0</v>
      </c>
      <c r="Y150">
        <v>0</v>
      </c>
      <c r="Z150" s="11">
        <f>SUM(Table1[[#This Row],[Chi Kept]],Table1[[#This Row],[Chi Released]])</f>
        <v>0</v>
      </c>
      <c r="AA150">
        <f>SUM(Table1[[#This Row],[Co Kept]],Table1[[#This Row],[Co Released ]])</f>
        <v>0</v>
      </c>
      <c r="AB150">
        <f>SUM(Table1[[#This Row],[Pink Kept]],Table1[[#This Row],[Pink Released]])</f>
        <v>0</v>
      </c>
      <c r="AC150">
        <f>SUM(Table1[[#This Row],[Chu Kept]],Table1[[#This Row],[Chu Released]])</f>
        <v>0</v>
      </c>
    </row>
    <row r="151" spans="1:29" x14ac:dyDescent="0.3">
      <c r="A151" s="7">
        <v>45905</v>
      </c>
      <c r="B151">
        <v>3</v>
      </c>
      <c r="C151" t="s">
        <v>236</v>
      </c>
      <c r="D151" t="s">
        <v>42</v>
      </c>
      <c r="E151">
        <v>8</v>
      </c>
      <c r="F151">
        <v>2</v>
      </c>
      <c r="G151">
        <v>4</v>
      </c>
      <c r="H151" t="s">
        <v>241</v>
      </c>
      <c r="I151">
        <v>1</v>
      </c>
      <c r="J151" s="10">
        <v>0.66666666666666663</v>
      </c>
      <c r="K151" s="10">
        <v>0.75416666666666665</v>
      </c>
      <c r="L151" s="10">
        <f t="shared" si="5"/>
        <v>8.7500000000000022E-2</v>
      </c>
      <c r="M151" s="12">
        <f t="shared" si="4"/>
        <v>2.1000000000000005</v>
      </c>
      <c r="N151" s="12">
        <f>Table1[[#This Row],[Trip Hours]]*Table1[[#This Row],['#Angler]]</f>
        <v>2.1000000000000005</v>
      </c>
      <c r="O151" t="s">
        <v>342</v>
      </c>
      <c r="P151" t="s">
        <v>29</v>
      </c>
      <c r="Q151" t="s">
        <v>343</v>
      </c>
      <c r="R151" s="11">
        <v>0</v>
      </c>
      <c r="S151">
        <v>0</v>
      </c>
      <c r="T151">
        <v>0</v>
      </c>
      <c r="U151">
        <v>0</v>
      </c>
      <c r="V151" s="11">
        <v>0</v>
      </c>
      <c r="W151">
        <v>0</v>
      </c>
      <c r="X151">
        <v>0</v>
      </c>
      <c r="Y151">
        <v>0</v>
      </c>
      <c r="Z151" s="11">
        <f>SUM(Table1[[#This Row],[Chi Kept]],Table1[[#This Row],[Chi Released]])</f>
        <v>0</v>
      </c>
      <c r="AA151">
        <f>SUM(Table1[[#This Row],[Co Kept]],Table1[[#This Row],[Co Released ]])</f>
        <v>0</v>
      </c>
      <c r="AB151">
        <f>SUM(Table1[[#This Row],[Pink Kept]],Table1[[#This Row],[Pink Released]])</f>
        <v>0</v>
      </c>
      <c r="AC151">
        <f>SUM(Table1[[#This Row],[Chu Kept]],Table1[[#This Row],[Chu Released]])</f>
        <v>0</v>
      </c>
    </row>
    <row r="152" spans="1:29" x14ac:dyDescent="0.3">
      <c r="A152" s="7">
        <v>45905</v>
      </c>
      <c r="B152">
        <v>3</v>
      </c>
      <c r="C152" t="s">
        <v>236</v>
      </c>
      <c r="D152" t="s">
        <v>42</v>
      </c>
      <c r="E152">
        <v>9</v>
      </c>
      <c r="F152">
        <v>2</v>
      </c>
      <c r="G152">
        <v>4</v>
      </c>
      <c r="H152" t="s">
        <v>241</v>
      </c>
      <c r="I152">
        <v>1</v>
      </c>
      <c r="J152" s="10">
        <v>0.5</v>
      </c>
      <c r="K152" s="10">
        <v>0.76388888888888884</v>
      </c>
      <c r="L152" s="10">
        <f t="shared" si="5"/>
        <v>0.26388888888888884</v>
      </c>
      <c r="M152" s="12">
        <f t="shared" si="4"/>
        <v>6.3333333333333321</v>
      </c>
      <c r="N152" s="12">
        <f>Table1[[#This Row],[Trip Hours]]*Table1[[#This Row],['#Angler]]</f>
        <v>6.3333333333333321</v>
      </c>
      <c r="O152" t="s">
        <v>342</v>
      </c>
      <c r="P152" t="s">
        <v>29</v>
      </c>
      <c r="R152" s="11">
        <v>0</v>
      </c>
      <c r="S152">
        <v>0</v>
      </c>
      <c r="T152">
        <v>0</v>
      </c>
      <c r="U152">
        <v>0</v>
      </c>
      <c r="V152" s="11">
        <v>0</v>
      </c>
      <c r="W152">
        <v>0</v>
      </c>
      <c r="X152">
        <v>0</v>
      </c>
      <c r="Y152">
        <v>0</v>
      </c>
      <c r="Z152" s="11">
        <f>SUM(Table1[[#This Row],[Chi Kept]],Table1[[#This Row],[Chi Released]])</f>
        <v>0</v>
      </c>
      <c r="AA152">
        <f>SUM(Table1[[#This Row],[Co Kept]],Table1[[#This Row],[Co Released ]])</f>
        <v>0</v>
      </c>
      <c r="AB152">
        <f>SUM(Table1[[#This Row],[Pink Kept]],Table1[[#This Row],[Pink Released]])</f>
        <v>0</v>
      </c>
      <c r="AC152">
        <f>SUM(Table1[[#This Row],[Chu Kept]],Table1[[#This Row],[Chu Released]])</f>
        <v>0</v>
      </c>
    </row>
    <row r="153" spans="1:29" x14ac:dyDescent="0.3">
      <c r="A153" s="7">
        <v>45905</v>
      </c>
      <c r="B153">
        <v>3</v>
      </c>
      <c r="C153" t="s">
        <v>236</v>
      </c>
      <c r="D153" t="s">
        <v>42</v>
      </c>
      <c r="E153">
        <v>10</v>
      </c>
      <c r="F153">
        <v>2</v>
      </c>
      <c r="G153">
        <v>4</v>
      </c>
      <c r="H153" t="s">
        <v>241</v>
      </c>
      <c r="I153">
        <v>2</v>
      </c>
      <c r="J153" s="10">
        <v>0.70833333333333337</v>
      </c>
      <c r="K153" s="10">
        <v>0.77777777777777779</v>
      </c>
      <c r="L153" s="10">
        <f t="shared" si="5"/>
        <v>6.944444444444442E-2</v>
      </c>
      <c r="M153" s="12">
        <f t="shared" si="4"/>
        <v>1.6666666666666661</v>
      </c>
      <c r="N153" s="12">
        <f>Table1[[#This Row],[Trip Hours]]*Table1[[#This Row],['#Angler]]</f>
        <v>3.3333333333333321</v>
      </c>
      <c r="O153" t="s">
        <v>342</v>
      </c>
      <c r="P153" t="s">
        <v>29</v>
      </c>
      <c r="Q153" t="s">
        <v>241</v>
      </c>
      <c r="R153" s="11">
        <v>0</v>
      </c>
      <c r="S153">
        <v>0</v>
      </c>
      <c r="T153">
        <v>0</v>
      </c>
      <c r="U153">
        <v>0</v>
      </c>
      <c r="V153" s="11">
        <v>0</v>
      </c>
      <c r="W153">
        <v>0</v>
      </c>
      <c r="X153">
        <v>0</v>
      </c>
      <c r="Y153">
        <v>0</v>
      </c>
      <c r="Z153" s="11">
        <f>SUM(Table1[[#This Row],[Chi Kept]],Table1[[#This Row],[Chi Released]])</f>
        <v>0</v>
      </c>
      <c r="AA153">
        <f>SUM(Table1[[#This Row],[Co Kept]],Table1[[#This Row],[Co Released ]])</f>
        <v>0</v>
      </c>
      <c r="AB153">
        <f>SUM(Table1[[#This Row],[Pink Kept]],Table1[[#This Row],[Pink Released]])</f>
        <v>0</v>
      </c>
      <c r="AC153">
        <f>SUM(Table1[[#This Row],[Chu Kept]],Table1[[#This Row],[Chu Released]])</f>
        <v>0</v>
      </c>
    </row>
    <row r="154" spans="1:29" x14ac:dyDescent="0.3">
      <c r="A154" s="7">
        <v>45905</v>
      </c>
      <c r="B154">
        <v>3</v>
      </c>
      <c r="C154" t="s">
        <v>236</v>
      </c>
      <c r="D154" t="s">
        <v>42</v>
      </c>
      <c r="E154">
        <v>11</v>
      </c>
      <c r="F154">
        <v>2</v>
      </c>
      <c r="G154">
        <v>4</v>
      </c>
      <c r="H154" t="s">
        <v>241</v>
      </c>
      <c r="I154">
        <v>2</v>
      </c>
      <c r="J154" s="10">
        <v>0.76041666666666663</v>
      </c>
      <c r="K154" s="10">
        <v>0.80069444444444449</v>
      </c>
      <c r="L154" s="10">
        <f t="shared" si="5"/>
        <v>4.0277777777777857E-2</v>
      </c>
      <c r="M154" s="12">
        <f t="shared" si="4"/>
        <v>0.96666666666666856</v>
      </c>
      <c r="N154" s="12">
        <f>Table1[[#This Row],[Trip Hours]]*Table1[[#This Row],['#Angler]]</f>
        <v>1.9333333333333371</v>
      </c>
      <c r="O154" t="s">
        <v>342</v>
      </c>
      <c r="P154" t="s">
        <v>56</v>
      </c>
      <c r="Q154" t="s">
        <v>247</v>
      </c>
      <c r="R154" s="11">
        <v>0</v>
      </c>
      <c r="S154">
        <v>0</v>
      </c>
      <c r="T154">
        <v>0</v>
      </c>
      <c r="U154">
        <v>0</v>
      </c>
      <c r="V154" s="11">
        <v>0</v>
      </c>
      <c r="W154">
        <v>0</v>
      </c>
      <c r="X154">
        <v>3</v>
      </c>
      <c r="Y154">
        <v>0</v>
      </c>
      <c r="Z154" s="11">
        <f>SUM(Table1[[#This Row],[Chi Kept]],Table1[[#This Row],[Chi Released]])</f>
        <v>0</v>
      </c>
      <c r="AA154">
        <f>SUM(Table1[[#This Row],[Co Kept]],Table1[[#This Row],[Co Released ]])</f>
        <v>0</v>
      </c>
      <c r="AB154">
        <f>SUM(Table1[[#This Row],[Pink Kept]],Table1[[#This Row],[Pink Released]])</f>
        <v>3</v>
      </c>
      <c r="AC154">
        <f>SUM(Table1[[#This Row],[Chu Kept]],Table1[[#This Row],[Chu Released]])</f>
        <v>0</v>
      </c>
    </row>
    <row r="155" spans="1:29" x14ac:dyDescent="0.3">
      <c r="A155" s="7">
        <v>45905</v>
      </c>
      <c r="B155">
        <v>3</v>
      </c>
      <c r="C155" t="s">
        <v>236</v>
      </c>
      <c r="D155" t="s">
        <v>42</v>
      </c>
      <c r="E155">
        <v>12</v>
      </c>
      <c r="F155">
        <v>2</v>
      </c>
      <c r="G155">
        <v>4</v>
      </c>
      <c r="H155" t="s">
        <v>241</v>
      </c>
      <c r="I155">
        <v>2</v>
      </c>
      <c r="J155" s="10">
        <v>0.73958333333333337</v>
      </c>
      <c r="K155" s="10">
        <v>0.80347222222222225</v>
      </c>
      <c r="L155" s="10">
        <f t="shared" si="5"/>
        <v>6.3888888888888884E-2</v>
      </c>
      <c r="M155" s="12">
        <f t="shared" si="4"/>
        <v>1.5333333333333332</v>
      </c>
      <c r="N155" s="12">
        <f>Table1[[#This Row],[Trip Hours]]*Table1[[#This Row],['#Angler]]</f>
        <v>3.0666666666666664</v>
      </c>
      <c r="O155" t="s">
        <v>342</v>
      </c>
      <c r="P155" t="s">
        <v>49</v>
      </c>
      <c r="Q155" t="s">
        <v>343</v>
      </c>
      <c r="R155" s="11">
        <v>0</v>
      </c>
      <c r="S155">
        <v>0</v>
      </c>
      <c r="T155">
        <v>0</v>
      </c>
      <c r="U155">
        <v>0</v>
      </c>
      <c r="V155" s="11">
        <v>0</v>
      </c>
      <c r="W155">
        <v>0</v>
      </c>
      <c r="X155">
        <v>0</v>
      </c>
      <c r="Y155">
        <v>0</v>
      </c>
      <c r="Z155" s="11">
        <f>SUM(Table1[[#This Row],[Chi Kept]],Table1[[#This Row],[Chi Released]])</f>
        <v>0</v>
      </c>
      <c r="AA155">
        <f>SUM(Table1[[#This Row],[Co Kept]],Table1[[#This Row],[Co Released ]])</f>
        <v>0</v>
      </c>
      <c r="AB155">
        <f>SUM(Table1[[#This Row],[Pink Kept]],Table1[[#This Row],[Pink Released]])</f>
        <v>0</v>
      </c>
      <c r="AC155">
        <f>SUM(Table1[[#This Row],[Chu Kept]],Table1[[#This Row],[Chu Released]])</f>
        <v>0</v>
      </c>
    </row>
    <row r="156" spans="1:29" x14ac:dyDescent="0.3">
      <c r="A156" s="7">
        <v>45905</v>
      </c>
      <c r="B156">
        <v>3</v>
      </c>
      <c r="C156" t="s">
        <v>236</v>
      </c>
      <c r="D156" t="s">
        <v>42</v>
      </c>
      <c r="E156">
        <v>13</v>
      </c>
      <c r="F156">
        <v>2</v>
      </c>
      <c r="G156">
        <v>4</v>
      </c>
      <c r="H156" t="s">
        <v>241</v>
      </c>
      <c r="I156">
        <v>1</v>
      </c>
      <c r="J156" s="10">
        <v>0.79166666666666663</v>
      </c>
      <c r="K156" s="10">
        <v>0.8125</v>
      </c>
      <c r="L156" s="10">
        <f t="shared" si="5"/>
        <v>2.083333333333337E-2</v>
      </c>
      <c r="M156" s="12">
        <f t="shared" si="4"/>
        <v>0.50000000000000089</v>
      </c>
      <c r="N156" s="12">
        <f>Table1[[#This Row],[Trip Hours]]*Table1[[#This Row],['#Angler]]</f>
        <v>0.50000000000000089</v>
      </c>
      <c r="O156" t="s">
        <v>342</v>
      </c>
      <c r="R156" s="11">
        <v>0</v>
      </c>
      <c r="S156">
        <v>0</v>
      </c>
      <c r="T156">
        <v>0</v>
      </c>
      <c r="U156">
        <v>0</v>
      </c>
      <c r="V156" s="11">
        <v>0</v>
      </c>
      <c r="W156">
        <v>0</v>
      </c>
      <c r="X156">
        <v>0</v>
      </c>
      <c r="Y156">
        <v>0</v>
      </c>
      <c r="Z156" s="11">
        <f>SUM(Table1[[#This Row],[Chi Kept]],Table1[[#This Row],[Chi Released]])</f>
        <v>0</v>
      </c>
      <c r="AA156">
        <f>SUM(Table1[[#This Row],[Co Kept]],Table1[[#This Row],[Co Released ]])</f>
        <v>0</v>
      </c>
      <c r="AB156">
        <f>SUM(Table1[[#This Row],[Pink Kept]],Table1[[#This Row],[Pink Released]])</f>
        <v>0</v>
      </c>
      <c r="AC156">
        <f>SUM(Table1[[#This Row],[Chu Kept]],Table1[[#This Row],[Chu Released]])</f>
        <v>0</v>
      </c>
    </row>
    <row r="157" spans="1:29" x14ac:dyDescent="0.3">
      <c r="A157" s="7">
        <v>45905</v>
      </c>
      <c r="B157">
        <v>3</v>
      </c>
      <c r="C157" t="s">
        <v>236</v>
      </c>
      <c r="D157" t="s">
        <v>42</v>
      </c>
      <c r="E157">
        <v>14</v>
      </c>
      <c r="F157">
        <v>2</v>
      </c>
      <c r="G157">
        <v>4</v>
      </c>
      <c r="H157" t="s">
        <v>241</v>
      </c>
      <c r="I157">
        <v>1</v>
      </c>
      <c r="J157" s="10">
        <v>0.75</v>
      </c>
      <c r="K157" s="10">
        <v>0.8125</v>
      </c>
      <c r="L157" s="10">
        <f t="shared" si="5"/>
        <v>6.25E-2</v>
      </c>
      <c r="M157" s="12">
        <f t="shared" si="4"/>
        <v>1.5</v>
      </c>
      <c r="N157" s="12">
        <f>Table1[[#This Row],[Trip Hours]]*Table1[[#This Row],['#Angler]]</f>
        <v>1.5</v>
      </c>
      <c r="O157" t="s">
        <v>342</v>
      </c>
      <c r="P157" t="s">
        <v>29</v>
      </c>
      <c r="Q157" t="s">
        <v>343</v>
      </c>
      <c r="R157" s="11">
        <v>0</v>
      </c>
      <c r="S157">
        <v>0</v>
      </c>
      <c r="T157">
        <v>0</v>
      </c>
      <c r="U157">
        <v>0</v>
      </c>
      <c r="V157" s="11">
        <v>0</v>
      </c>
      <c r="W157">
        <v>0</v>
      </c>
      <c r="X157">
        <v>0</v>
      </c>
      <c r="Y157">
        <v>0</v>
      </c>
      <c r="Z157" s="11">
        <f>SUM(Table1[[#This Row],[Chi Kept]],Table1[[#This Row],[Chi Released]])</f>
        <v>0</v>
      </c>
      <c r="AA157">
        <f>SUM(Table1[[#This Row],[Co Kept]],Table1[[#This Row],[Co Released ]])</f>
        <v>0</v>
      </c>
      <c r="AB157">
        <f>SUM(Table1[[#This Row],[Pink Kept]],Table1[[#This Row],[Pink Released]])</f>
        <v>0</v>
      </c>
      <c r="AC157">
        <f>SUM(Table1[[#This Row],[Chu Kept]],Table1[[#This Row],[Chu Released]])</f>
        <v>0</v>
      </c>
    </row>
    <row r="158" spans="1:29" x14ac:dyDescent="0.3">
      <c r="A158" s="7">
        <v>45905</v>
      </c>
      <c r="B158">
        <v>3</v>
      </c>
      <c r="C158" t="s">
        <v>236</v>
      </c>
      <c r="D158" t="s">
        <v>42</v>
      </c>
      <c r="E158">
        <v>15</v>
      </c>
      <c r="F158">
        <v>2</v>
      </c>
      <c r="G158">
        <v>4</v>
      </c>
      <c r="H158" t="s">
        <v>241</v>
      </c>
      <c r="I158">
        <v>1</v>
      </c>
      <c r="J158" s="10">
        <v>0.75</v>
      </c>
      <c r="K158" s="10">
        <v>0.8125</v>
      </c>
      <c r="L158" s="10">
        <f t="shared" si="5"/>
        <v>6.25E-2</v>
      </c>
      <c r="M158" s="12">
        <f t="shared" si="4"/>
        <v>1.5</v>
      </c>
      <c r="N158" s="12">
        <f>Table1[[#This Row],[Trip Hours]]*Table1[[#This Row],['#Angler]]</f>
        <v>1.5</v>
      </c>
      <c r="O158" t="s">
        <v>342</v>
      </c>
      <c r="P158" t="s">
        <v>29</v>
      </c>
      <c r="Q158" t="s">
        <v>345</v>
      </c>
      <c r="R158" s="11">
        <v>0</v>
      </c>
      <c r="S158">
        <v>0</v>
      </c>
      <c r="T158">
        <v>0</v>
      </c>
      <c r="U158">
        <v>0</v>
      </c>
      <c r="V158" s="11">
        <v>0</v>
      </c>
      <c r="W158">
        <v>0</v>
      </c>
      <c r="X158">
        <v>1</v>
      </c>
      <c r="Y158">
        <v>0</v>
      </c>
      <c r="Z158" s="11">
        <f>SUM(Table1[[#This Row],[Chi Kept]],Table1[[#This Row],[Chi Released]])</f>
        <v>0</v>
      </c>
      <c r="AA158">
        <f>SUM(Table1[[#This Row],[Co Kept]],Table1[[#This Row],[Co Released ]])</f>
        <v>0</v>
      </c>
      <c r="AB158">
        <f>SUM(Table1[[#This Row],[Pink Kept]],Table1[[#This Row],[Pink Released]])</f>
        <v>1</v>
      </c>
      <c r="AC158">
        <f>SUM(Table1[[#This Row],[Chu Kept]],Table1[[#This Row],[Chu Released]])</f>
        <v>0</v>
      </c>
    </row>
    <row r="159" spans="1:29" x14ac:dyDescent="0.3">
      <c r="A159" s="7">
        <v>45906</v>
      </c>
      <c r="B159">
        <v>3</v>
      </c>
      <c r="C159" t="s">
        <v>250</v>
      </c>
      <c r="D159" t="s">
        <v>42</v>
      </c>
      <c r="E159">
        <v>1</v>
      </c>
      <c r="F159">
        <v>1</v>
      </c>
      <c r="G159">
        <v>1</v>
      </c>
      <c r="H159" t="s">
        <v>344</v>
      </c>
      <c r="I159">
        <v>4</v>
      </c>
      <c r="J159" s="10">
        <v>0.5625</v>
      </c>
      <c r="K159" s="10">
        <v>0.68402777777777779</v>
      </c>
      <c r="L159" s="10">
        <f t="shared" si="5"/>
        <v>0.12152777777777779</v>
      </c>
      <c r="M159" s="12">
        <f t="shared" si="4"/>
        <v>2.916666666666667</v>
      </c>
      <c r="N159" s="12">
        <f>Table1[[#This Row],[Trip Hours]]*Table1[[#This Row],['#Angler]]</f>
        <v>11.666666666666668</v>
      </c>
      <c r="O159" t="s">
        <v>342</v>
      </c>
      <c r="P159" t="s">
        <v>347</v>
      </c>
      <c r="R159" s="11">
        <v>0</v>
      </c>
      <c r="S159">
        <v>0</v>
      </c>
      <c r="T159">
        <v>0</v>
      </c>
      <c r="U159">
        <v>0</v>
      </c>
      <c r="V159" s="11">
        <v>0</v>
      </c>
      <c r="W159">
        <v>0</v>
      </c>
      <c r="X159">
        <v>0</v>
      </c>
      <c r="Y159">
        <v>0</v>
      </c>
      <c r="Z159" s="11">
        <f>SUM(Table1[[#This Row],[Chi Kept]],Table1[[#This Row],[Chi Released]])</f>
        <v>0</v>
      </c>
      <c r="AA159">
        <f>SUM(Table1[[#This Row],[Co Kept]],Table1[[#This Row],[Co Released ]])</f>
        <v>0</v>
      </c>
      <c r="AB159">
        <f>SUM(Table1[[#This Row],[Pink Kept]],Table1[[#This Row],[Pink Released]])</f>
        <v>0</v>
      </c>
      <c r="AC159">
        <f>SUM(Table1[[#This Row],[Chu Kept]],Table1[[#This Row],[Chu Released]])</f>
        <v>0</v>
      </c>
    </row>
    <row r="160" spans="1:29" x14ac:dyDescent="0.3">
      <c r="A160" s="7">
        <v>45906</v>
      </c>
      <c r="B160">
        <v>3</v>
      </c>
      <c r="C160" t="s">
        <v>250</v>
      </c>
      <c r="D160" t="s">
        <v>42</v>
      </c>
      <c r="E160">
        <v>2</v>
      </c>
      <c r="F160">
        <v>1</v>
      </c>
      <c r="G160">
        <v>1</v>
      </c>
      <c r="H160" t="s">
        <v>344</v>
      </c>
      <c r="I160">
        <v>3</v>
      </c>
      <c r="J160" s="10">
        <v>0.43055555555555558</v>
      </c>
      <c r="K160" s="10">
        <v>0.68055555555555558</v>
      </c>
      <c r="L160" s="10">
        <f t="shared" si="5"/>
        <v>0.25</v>
      </c>
      <c r="M160" s="12">
        <f t="shared" si="4"/>
        <v>6</v>
      </c>
      <c r="N160" s="12">
        <f>Table1[[#This Row],[Trip Hours]]*Table1[[#This Row],['#Angler]]</f>
        <v>18</v>
      </c>
      <c r="O160" t="s">
        <v>342</v>
      </c>
      <c r="Q160" t="s">
        <v>241</v>
      </c>
      <c r="R160" s="11">
        <v>0</v>
      </c>
      <c r="S160">
        <v>0</v>
      </c>
      <c r="T160">
        <v>0</v>
      </c>
      <c r="U160">
        <v>0</v>
      </c>
      <c r="V160" s="11">
        <v>0</v>
      </c>
      <c r="W160">
        <v>0</v>
      </c>
      <c r="X160">
        <v>0</v>
      </c>
      <c r="Y160">
        <v>0</v>
      </c>
      <c r="Z160" s="11">
        <f>SUM(Table1[[#This Row],[Chi Kept]],Table1[[#This Row],[Chi Released]])</f>
        <v>0</v>
      </c>
      <c r="AA160">
        <f>SUM(Table1[[#This Row],[Co Kept]],Table1[[#This Row],[Co Released ]])</f>
        <v>0</v>
      </c>
      <c r="AB160">
        <f>SUM(Table1[[#This Row],[Pink Kept]],Table1[[#This Row],[Pink Released]])</f>
        <v>0</v>
      </c>
      <c r="AC160">
        <f>SUM(Table1[[#This Row],[Chu Kept]],Table1[[#This Row],[Chu Released]])</f>
        <v>0</v>
      </c>
    </row>
    <row r="161" spans="1:29" x14ac:dyDescent="0.3">
      <c r="A161" s="7">
        <v>45906</v>
      </c>
      <c r="B161">
        <v>3</v>
      </c>
      <c r="C161" t="s">
        <v>250</v>
      </c>
      <c r="D161" t="s">
        <v>42</v>
      </c>
      <c r="E161">
        <v>3</v>
      </c>
      <c r="F161">
        <v>1</v>
      </c>
      <c r="G161">
        <v>1</v>
      </c>
      <c r="H161" t="s">
        <v>344</v>
      </c>
      <c r="I161">
        <v>2</v>
      </c>
      <c r="J161" s="10">
        <v>0.58333333333333337</v>
      </c>
      <c r="K161" s="10">
        <v>0.69444444444444442</v>
      </c>
      <c r="L161" s="10">
        <f t="shared" si="5"/>
        <v>0.11111111111111105</v>
      </c>
      <c r="M161" s="12">
        <f t="shared" si="4"/>
        <v>2.6666666666666652</v>
      </c>
      <c r="N161" s="12">
        <f>Table1[[#This Row],[Trip Hours]]*Table1[[#This Row],['#Angler]]</f>
        <v>5.3333333333333304</v>
      </c>
      <c r="O161" t="s">
        <v>342</v>
      </c>
      <c r="Q161" t="s">
        <v>247</v>
      </c>
      <c r="R161" s="11">
        <v>0</v>
      </c>
      <c r="S161">
        <v>0</v>
      </c>
      <c r="T161">
        <v>0</v>
      </c>
      <c r="U161">
        <v>0</v>
      </c>
      <c r="V161" s="11">
        <v>0</v>
      </c>
      <c r="W161">
        <v>0</v>
      </c>
      <c r="X161">
        <v>0</v>
      </c>
      <c r="Y161">
        <v>0</v>
      </c>
      <c r="Z161" s="11">
        <f>SUM(Table1[[#This Row],[Chi Kept]],Table1[[#This Row],[Chi Released]])</f>
        <v>0</v>
      </c>
      <c r="AA161">
        <f>SUM(Table1[[#This Row],[Co Kept]],Table1[[#This Row],[Co Released ]])</f>
        <v>0</v>
      </c>
      <c r="AB161">
        <f>SUM(Table1[[#This Row],[Pink Kept]],Table1[[#This Row],[Pink Released]])</f>
        <v>0</v>
      </c>
      <c r="AC161">
        <f>SUM(Table1[[#This Row],[Chu Kept]],Table1[[#This Row],[Chu Released]])</f>
        <v>0</v>
      </c>
    </row>
    <row r="162" spans="1:29" x14ac:dyDescent="0.3">
      <c r="A162" s="7">
        <v>45906</v>
      </c>
      <c r="B162">
        <v>3</v>
      </c>
      <c r="C162" t="s">
        <v>250</v>
      </c>
      <c r="D162" t="s">
        <v>42</v>
      </c>
      <c r="E162">
        <v>4</v>
      </c>
      <c r="F162">
        <v>1</v>
      </c>
      <c r="G162">
        <v>1</v>
      </c>
      <c r="H162" t="s">
        <v>344</v>
      </c>
      <c r="I162">
        <v>2</v>
      </c>
      <c r="J162" s="10">
        <v>0.375</v>
      </c>
      <c r="K162" s="10">
        <v>0.70833333333333337</v>
      </c>
      <c r="L162" s="10">
        <f t="shared" si="5"/>
        <v>0.33333333333333337</v>
      </c>
      <c r="M162" s="12">
        <f t="shared" si="4"/>
        <v>8</v>
      </c>
      <c r="N162" s="12">
        <f>Table1[[#This Row],[Trip Hours]]*Table1[[#This Row],['#Angler]]</f>
        <v>16</v>
      </c>
      <c r="O162" t="s">
        <v>342</v>
      </c>
      <c r="P162" t="s">
        <v>347</v>
      </c>
      <c r="Q162" t="s">
        <v>345</v>
      </c>
      <c r="R162" s="11">
        <v>0</v>
      </c>
      <c r="S162">
        <v>0</v>
      </c>
      <c r="T162">
        <v>10</v>
      </c>
      <c r="U162">
        <v>0</v>
      </c>
      <c r="V162" s="11">
        <v>0</v>
      </c>
      <c r="W162">
        <v>0</v>
      </c>
      <c r="X162">
        <v>7</v>
      </c>
      <c r="Y162">
        <v>0</v>
      </c>
      <c r="Z162" s="11">
        <f>SUM(Table1[[#This Row],[Chi Kept]],Table1[[#This Row],[Chi Released]])</f>
        <v>0</v>
      </c>
      <c r="AA162">
        <f>SUM(Table1[[#This Row],[Co Kept]],Table1[[#This Row],[Co Released ]])</f>
        <v>0</v>
      </c>
      <c r="AB162">
        <f>SUM(Table1[[#This Row],[Pink Kept]],Table1[[#This Row],[Pink Released]])</f>
        <v>17</v>
      </c>
      <c r="AC162">
        <f>SUM(Table1[[#This Row],[Chu Kept]],Table1[[#This Row],[Chu Released]])</f>
        <v>0</v>
      </c>
    </row>
    <row r="163" spans="1:29" x14ac:dyDescent="0.3">
      <c r="A163" s="7">
        <v>45906</v>
      </c>
      <c r="B163">
        <v>3</v>
      </c>
      <c r="C163" t="s">
        <v>250</v>
      </c>
      <c r="D163" t="s">
        <v>42</v>
      </c>
      <c r="E163">
        <v>5</v>
      </c>
      <c r="F163">
        <v>1</v>
      </c>
      <c r="G163">
        <v>1</v>
      </c>
      <c r="H163" t="s">
        <v>344</v>
      </c>
      <c r="I163">
        <v>3</v>
      </c>
      <c r="J163" s="10">
        <v>0.58333333333333337</v>
      </c>
      <c r="K163" s="10">
        <v>0.71805555555555556</v>
      </c>
      <c r="L163" s="10">
        <f t="shared" si="5"/>
        <v>0.13472222222222219</v>
      </c>
      <c r="M163" s="12">
        <f t="shared" si="4"/>
        <v>3.2333333333333325</v>
      </c>
      <c r="N163" s="12">
        <f>Table1[[#This Row],[Trip Hours]]*Table1[[#This Row],['#Angler]]</f>
        <v>9.6999999999999975</v>
      </c>
      <c r="O163" t="s">
        <v>342</v>
      </c>
      <c r="P163" t="s">
        <v>347</v>
      </c>
      <c r="Q163" t="s">
        <v>343</v>
      </c>
      <c r="R163" s="11">
        <v>0</v>
      </c>
      <c r="S163">
        <v>0</v>
      </c>
      <c r="T163">
        <v>1</v>
      </c>
      <c r="U163">
        <v>0</v>
      </c>
      <c r="V163" s="11">
        <v>0</v>
      </c>
      <c r="W163">
        <v>0</v>
      </c>
      <c r="X163">
        <v>0</v>
      </c>
      <c r="Y163">
        <v>0</v>
      </c>
      <c r="Z163" s="11">
        <f>SUM(Table1[[#This Row],[Chi Kept]],Table1[[#This Row],[Chi Released]])</f>
        <v>0</v>
      </c>
      <c r="AA163">
        <f>SUM(Table1[[#This Row],[Co Kept]],Table1[[#This Row],[Co Released ]])</f>
        <v>0</v>
      </c>
      <c r="AB163">
        <f>SUM(Table1[[#This Row],[Pink Kept]],Table1[[#This Row],[Pink Released]])</f>
        <v>1</v>
      </c>
      <c r="AC163">
        <f>SUM(Table1[[#This Row],[Chu Kept]],Table1[[#This Row],[Chu Released]])</f>
        <v>0</v>
      </c>
    </row>
    <row r="164" spans="1:29" x14ac:dyDescent="0.3">
      <c r="A164" s="7">
        <v>45906</v>
      </c>
      <c r="B164">
        <v>3</v>
      </c>
      <c r="C164" t="s">
        <v>250</v>
      </c>
      <c r="D164" t="s">
        <v>42</v>
      </c>
      <c r="E164">
        <v>6</v>
      </c>
      <c r="F164">
        <v>1</v>
      </c>
      <c r="G164">
        <v>1</v>
      </c>
      <c r="H164" t="s">
        <v>344</v>
      </c>
      <c r="I164">
        <v>4</v>
      </c>
      <c r="J164" s="10">
        <v>0.52083333333333337</v>
      </c>
      <c r="K164" s="10">
        <v>0.71875</v>
      </c>
      <c r="L164" s="10">
        <f t="shared" si="5"/>
        <v>0.19791666666666663</v>
      </c>
      <c r="M164" s="12">
        <f t="shared" si="4"/>
        <v>4.7499999999999991</v>
      </c>
      <c r="N164" s="12">
        <f>Table1[[#This Row],[Trip Hours]]*Table1[[#This Row],['#Angler]]</f>
        <v>18.999999999999996</v>
      </c>
      <c r="O164" t="s">
        <v>342</v>
      </c>
      <c r="P164" t="s">
        <v>347</v>
      </c>
      <c r="Q164" t="s">
        <v>241</v>
      </c>
      <c r="R164" s="11">
        <v>0</v>
      </c>
      <c r="S164">
        <v>0</v>
      </c>
      <c r="T164">
        <v>3</v>
      </c>
      <c r="U164">
        <v>0</v>
      </c>
      <c r="V164" s="11">
        <v>0</v>
      </c>
      <c r="W164">
        <v>0</v>
      </c>
      <c r="X164">
        <v>0</v>
      </c>
      <c r="Y164">
        <v>0</v>
      </c>
      <c r="Z164" s="11">
        <f>SUM(Table1[[#This Row],[Chi Kept]],Table1[[#This Row],[Chi Released]])</f>
        <v>0</v>
      </c>
      <c r="AA164">
        <f>SUM(Table1[[#This Row],[Co Kept]],Table1[[#This Row],[Co Released ]])</f>
        <v>0</v>
      </c>
      <c r="AB164">
        <f>SUM(Table1[[#This Row],[Pink Kept]],Table1[[#This Row],[Pink Released]])</f>
        <v>3</v>
      </c>
      <c r="AC164">
        <f>SUM(Table1[[#This Row],[Chu Kept]],Table1[[#This Row],[Chu Released]])</f>
        <v>0</v>
      </c>
    </row>
    <row r="165" spans="1:29" x14ac:dyDescent="0.3">
      <c r="A165" s="7">
        <v>45906</v>
      </c>
      <c r="B165">
        <v>3</v>
      </c>
      <c r="C165" t="s">
        <v>250</v>
      </c>
      <c r="D165" t="s">
        <v>42</v>
      </c>
      <c r="E165">
        <v>7</v>
      </c>
      <c r="F165">
        <v>1</v>
      </c>
      <c r="G165">
        <v>1</v>
      </c>
      <c r="H165" t="s">
        <v>344</v>
      </c>
      <c r="I165">
        <v>2</v>
      </c>
      <c r="J165" s="10">
        <v>0.58333333333333337</v>
      </c>
      <c r="K165" s="10">
        <v>0.72569444444444442</v>
      </c>
      <c r="L165" s="10">
        <f t="shared" si="5"/>
        <v>0.14236111111111105</v>
      </c>
      <c r="M165" s="12">
        <f t="shared" si="4"/>
        <v>3.4166666666666652</v>
      </c>
      <c r="N165" s="12">
        <f>Table1[[#This Row],[Trip Hours]]*Table1[[#This Row],['#Angler]]</f>
        <v>6.8333333333333304</v>
      </c>
      <c r="O165" t="s">
        <v>342</v>
      </c>
      <c r="P165" t="s">
        <v>29</v>
      </c>
      <c r="Q165" t="s">
        <v>343</v>
      </c>
      <c r="R165" s="11">
        <v>0</v>
      </c>
      <c r="S165">
        <v>0</v>
      </c>
      <c r="T165">
        <v>1</v>
      </c>
      <c r="U165">
        <v>0</v>
      </c>
      <c r="V165" s="11">
        <v>0</v>
      </c>
      <c r="W165">
        <v>0</v>
      </c>
      <c r="X165">
        <v>0</v>
      </c>
      <c r="Y165">
        <v>0</v>
      </c>
      <c r="Z165" s="11">
        <f>SUM(Table1[[#This Row],[Chi Kept]],Table1[[#This Row],[Chi Released]])</f>
        <v>0</v>
      </c>
      <c r="AA165">
        <f>SUM(Table1[[#This Row],[Co Kept]],Table1[[#This Row],[Co Released ]])</f>
        <v>0</v>
      </c>
      <c r="AB165">
        <f>SUM(Table1[[#This Row],[Pink Kept]],Table1[[#This Row],[Pink Released]])</f>
        <v>1</v>
      </c>
      <c r="AC165">
        <f>SUM(Table1[[#This Row],[Chu Kept]],Table1[[#This Row],[Chu Released]])</f>
        <v>0</v>
      </c>
    </row>
    <row r="166" spans="1:29" x14ac:dyDescent="0.3">
      <c r="A166" s="7">
        <v>45906</v>
      </c>
      <c r="B166">
        <v>3</v>
      </c>
      <c r="C166" t="s">
        <v>250</v>
      </c>
      <c r="D166" t="s">
        <v>42</v>
      </c>
      <c r="E166">
        <v>8</v>
      </c>
      <c r="F166">
        <v>1</v>
      </c>
      <c r="G166">
        <v>1</v>
      </c>
      <c r="H166" t="s">
        <v>344</v>
      </c>
      <c r="I166">
        <v>2</v>
      </c>
      <c r="J166" s="10">
        <v>0.5</v>
      </c>
      <c r="K166" s="10">
        <v>0.72638888888888886</v>
      </c>
      <c r="L166" s="10">
        <f t="shared" si="5"/>
        <v>0.22638888888888886</v>
      </c>
      <c r="M166" s="12">
        <f t="shared" si="4"/>
        <v>5.4333333333333327</v>
      </c>
      <c r="N166" s="12">
        <f>Table1[[#This Row],[Trip Hours]]*Table1[[#This Row],['#Angler]]</f>
        <v>10.866666666666665</v>
      </c>
      <c r="O166" t="s">
        <v>342</v>
      </c>
      <c r="Q166" t="s">
        <v>343</v>
      </c>
      <c r="R166" s="11">
        <v>0</v>
      </c>
      <c r="S166">
        <v>0</v>
      </c>
      <c r="T166">
        <v>12</v>
      </c>
      <c r="U166">
        <v>0</v>
      </c>
      <c r="V166" s="11">
        <v>0</v>
      </c>
      <c r="W166">
        <v>0</v>
      </c>
      <c r="X166">
        <v>0</v>
      </c>
      <c r="Y166">
        <v>0</v>
      </c>
      <c r="Z166" s="11">
        <f>SUM(Table1[[#This Row],[Chi Kept]],Table1[[#This Row],[Chi Released]])</f>
        <v>0</v>
      </c>
      <c r="AA166">
        <f>SUM(Table1[[#This Row],[Co Kept]],Table1[[#This Row],[Co Released ]])</f>
        <v>0</v>
      </c>
      <c r="AB166">
        <f>SUM(Table1[[#This Row],[Pink Kept]],Table1[[#This Row],[Pink Released]])</f>
        <v>12</v>
      </c>
      <c r="AC166">
        <f>SUM(Table1[[#This Row],[Chu Kept]],Table1[[#This Row],[Chu Released]])</f>
        <v>0</v>
      </c>
    </row>
    <row r="167" spans="1:29" x14ac:dyDescent="0.3">
      <c r="A167" s="7">
        <v>45906</v>
      </c>
      <c r="B167">
        <v>3</v>
      </c>
      <c r="C167" t="s">
        <v>250</v>
      </c>
      <c r="D167" t="s">
        <v>42</v>
      </c>
      <c r="E167">
        <v>9</v>
      </c>
      <c r="F167">
        <v>1</v>
      </c>
      <c r="G167">
        <v>1</v>
      </c>
      <c r="H167" t="s">
        <v>344</v>
      </c>
      <c r="I167">
        <v>3</v>
      </c>
      <c r="J167" s="10">
        <v>0.63888888888888884</v>
      </c>
      <c r="K167" s="10">
        <v>0.73819444444444449</v>
      </c>
      <c r="L167" s="10">
        <f t="shared" si="5"/>
        <v>9.9305555555555647E-2</v>
      </c>
      <c r="M167" s="12">
        <f t="shared" si="4"/>
        <v>2.3833333333333355</v>
      </c>
      <c r="N167" s="12">
        <f>Table1[[#This Row],[Trip Hours]]*Table1[[#This Row],['#Angler]]</f>
        <v>7.1500000000000066</v>
      </c>
      <c r="O167" t="s">
        <v>342</v>
      </c>
      <c r="P167" t="s">
        <v>347</v>
      </c>
      <c r="R167" s="11">
        <v>0</v>
      </c>
      <c r="S167">
        <v>0</v>
      </c>
      <c r="T167">
        <v>10</v>
      </c>
      <c r="U167">
        <v>0</v>
      </c>
      <c r="V167" s="11">
        <v>0</v>
      </c>
      <c r="W167">
        <v>0</v>
      </c>
      <c r="X167">
        <v>20</v>
      </c>
      <c r="Y167">
        <v>0</v>
      </c>
      <c r="Z167" s="11">
        <f>SUM(Table1[[#This Row],[Chi Kept]],Table1[[#This Row],[Chi Released]])</f>
        <v>0</v>
      </c>
      <c r="AA167">
        <f>SUM(Table1[[#This Row],[Co Kept]],Table1[[#This Row],[Co Released ]])</f>
        <v>0</v>
      </c>
      <c r="AB167">
        <f>SUM(Table1[[#This Row],[Pink Kept]],Table1[[#This Row],[Pink Released]])</f>
        <v>30</v>
      </c>
      <c r="AC167">
        <f>SUM(Table1[[#This Row],[Chu Kept]],Table1[[#This Row],[Chu Released]])</f>
        <v>0</v>
      </c>
    </row>
    <row r="168" spans="1:29" x14ac:dyDescent="0.3">
      <c r="A168" s="7">
        <v>45906</v>
      </c>
      <c r="B168">
        <v>3</v>
      </c>
      <c r="C168" t="s">
        <v>250</v>
      </c>
      <c r="D168" t="s">
        <v>42</v>
      </c>
      <c r="E168">
        <v>10</v>
      </c>
      <c r="F168">
        <v>1</v>
      </c>
      <c r="G168">
        <v>1</v>
      </c>
      <c r="H168" t="s">
        <v>344</v>
      </c>
      <c r="I168">
        <v>2</v>
      </c>
      <c r="J168" s="10">
        <v>0.58333333333333337</v>
      </c>
      <c r="K168" s="10">
        <v>0.75</v>
      </c>
      <c r="L168" s="10">
        <f t="shared" si="5"/>
        <v>0.16666666666666663</v>
      </c>
      <c r="M168" s="12">
        <f t="shared" si="4"/>
        <v>3.9999999999999991</v>
      </c>
      <c r="N168" s="12">
        <f>Table1[[#This Row],[Trip Hours]]*Table1[[#This Row],['#Angler]]</f>
        <v>7.9999999999999982</v>
      </c>
      <c r="O168" t="s">
        <v>342</v>
      </c>
      <c r="P168" t="s">
        <v>347</v>
      </c>
      <c r="Q168" t="s">
        <v>241</v>
      </c>
      <c r="R168" s="11">
        <v>0</v>
      </c>
      <c r="S168">
        <v>0</v>
      </c>
      <c r="T168">
        <v>0</v>
      </c>
      <c r="U168">
        <v>0</v>
      </c>
      <c r="V168" s="11">
        <v>0</v>
      </c>
      <c r="W168">
        <v>0</v>
      </c>
      <c r="X168">
        <v>0</v>
      </c>
      <c r="Y168">
        <v>0</v>
      </c>
      <c r="Z168" s="11">
        <f>SUM(Table1[[#This Row],[Chi Kept]],Table1[[#This Row],[Chi Released]])</f>
        <v>0</v>
      </c>
      <c r="AA168">
        <f>SUM(Table1[[#This Row],[Co Kept]],Table1[[#This Row],[Co Released ]])</f>
        <v>0</v>
      </c>
      <c r="AB168">
        <f>SUM(Table1[[#This Row],[Pink Kept]],Table1[[#This Row],[Pink Released]])</f>
        <v>0</v>
      </c>
      <c r="AC168">
        <f>SUM(Table1[[#This Row],[Chu Kept]],Table1[[#This Row],[Chu Released]])</f>
        <v>0</v>
      </c>
    </row>
    <row r="169" spans="1:29" x14ac:dyDescent="0.3">
      <c r="A169" s="7">
        <v>45906</v>
      </c>
      <c r="B169">
        <v>3</v>
      </c>
      <c r="C169" t="s">
        <v>250</v>
      </c>
      <c r="D169" t="s">
        <v>42</v>
      </c>
      <c r="E169">
        <v>11</v>
      </c>
      <c r="F169">
        <v>1</v>
      </c>
      <c r="G169">
        <v>1</v>
      </c>
      <c r="H169" t="s">
        <v>344</v>
      </c>
      <c r="I169">
        <v>2</v>
      </c>
      <c r="J169" s="10">
        <v>0.45833333333333331</v>
      </c>
      <c r="K169" s="10">
        <v>0.77083333333333337</v>
      </c>
      <c r="L169" s="10">
        <f t="shared" si="5"/>
        <v>0.31250000000000006</v>
      </c>
      <c r="M169" s="12">
        <f t="shared" si="4"/>
        <v>7.5000000000000018</v>
      </c>
      <c r="N169" s="12">
        <f>Table1[[#This Row],[Trip Hours]]*Table1[[#This Row],['#Angler]]</f>
        <v>15.000000000000004</v>
      </c>
      <c r="O169" t="s">
        <v>342</v>
      </c>
      <c r="P169" t="s">
        <v>347</v>
      </c>
      <c r="Q169" t="s">
        <v>247</v>
      </c>
      <c r="R169" s="11">
        <v>0</v>
      </c>
      <c r="S169">
        <v>1</v>
      </c>
      <c r="T169">
        <v>0</v>
      </c>
      <c r="U169">
        <v>0</v>
      </c>
      <c r="V169" s="11">
        <v>0</v>
      </c>
      <c r="W169">
        <v>0</v>
      </c>
      <c r="X169">
        <v>2</v>
      </c>
      <c r="Y169">
        <v>0</v>
      </c>
      <c r="Z169" s="11">
        <f>SUM(Table1[[#This Row],[Chi Kept]],Table1[[#This Row],[Chi Released]])</f>
        <v>0</v>
      </c>
      <c r="AA169">
        <f>SUM(Table1[[#This Row],[Co Kept]],Table1[[#This Row],[Co Released ]])</f>
        <v>1</v>
      </c>
      <c r="AB169">
        <f>SUM(Table1[[#This Row],[Pink Kept]],Table1[[#This Row],[Pink Released]])</f>
        <v>2</v>
      </c>
      <c r="AC169">
        <f>SUM(Table1[[#This Row],[Chu Kept]],Table1[[#This Row],[Chu Released]])</f>
        <v>0</v>
      </c>
    </row>
    <row r="170" spans="1:29" x14ac:dyDescent="0.3">
      <c r="A170" s="7">
        <v>45906</v>
      </c>
      <c r="B170">
        <v>3</v>
      </c>
      <c r="C170" t="s">
        <v>250</v>
      </c>
      <c r="D170" t="s">
        <v>42</v>
      </c>
      <c r="E170">
        <v>12</v>
      </c>
      <c r="F170">
        <v>1</v>
      </c>
      <c r="G170">
        <v>1</v>
      </c>
      <c r="H170" t="s">
        <v>344</v>
      </c>
      <c r="I170">
        <v>3</v>
      </c>
      <c r="J170" s="10">
        <v>0.54166666666666663</v>
      </c>
      <c r="K170" s="10">
        <v>0.77083333333333337</v>
      </c>
      <c r="L170" s="10">
        <f t="shared" si="5"/>
        <v>0.22916666666666674</v>
      </c>
      <c r="M170" s="12">
        <f t="shared" si="4"/>
        <v>5.5000000000000018</v>
      </c>
      <c r="N170" s="12">
        <f>Table1[[#This Row],[Trip Hours]]*Table1[[#This Row],['#Angler]]</f>
        <v>16.500000000000007</v>
      </c>
      <c r="O170" t="s">
        <v>342</v>
      </c>
      <c r="Q170" t="s">
        <v>343</v>
      </c>
      <c r="R170" s="11">
        <v>0</v>
      </c>
      <c r="S170">
        <v>0</v>
      </c>
      <c r="T170">
        <v>18</v>
      </c>
      <c r="U170">
        <v>0</v>
      </c>
      <c r="V170" s="11">
        <v>0</v>
      </c>
      <c r="W170">
        <v>0</v>
      </c>
      <c r="X170">
        <v>0</v>
      </c>
      <c r="Y170">
        <v>0</v>
      </c>
      <c r="Z170" s="11">
        <f>SUM(Table1[[#This Row],[Chi Kept]],Table1[[#This Row],[Chi Released]])</f>
        <v>0</v>
      </c>
      <c r="AA170">
        <f>SUM(Table1[[#This Row],[Co Kept]],Table1[[#This Row],[Co Released ]])</f>
        <v>0</v>
      </c>
      <c r="AB170">
        <f>SUM(Table1[[#This Row],[Pink Kept]],Table1[[#This Row],[Pink Released]])</f>
        <v>18</v>
      </c>
      <c r="AC170">
        <f>SUM(Table1[[#This Row],[Chu Kept]],Table1[[#This Row],[Chu Released]])</f>
        <v>0</v>
      </c>
    </row>
    <row r="171" spans="1:29" x14ac:dyDescent="0.3">
      <c r="A171" s="7">
        <v>45906</v>
      </c>
      <c r="B171">
        <v>3</v>
      </c>
      <c r="C171" t="s">
        <v>250</v>
      </c>
      <c r="D171" t="s">
        <v>42</v>
      </c>
      <c r="E171">
        <v>13</v>
      </c>
      <c r="F171">
        <v>1</v>
      </c>
      <c r="G171">
        <v>1</v>
      </c>
      <c r="H171" t="s">
        <v>344</v>
      </c>
      <c r="I171">
        <v>2</v>
      </c>
      <c r="J171" s="10">
        <v>0.58333333333333337</v>
      </c>
      <c r="K171" s="10">
        <v>0.77638888888888891</v>
      </c>
      <c r="L171" s="10">
        <f t="shared" si="5"/>
        <v>0.19305555555555554</v>
      </c>
      <c r="M171" s="12">
        <f t="shared" si="4"/>
        <v>4.6333333333333329</v>
      </c>
      <c r="N171" s="12">
        <f>Table1[[#This Row],[Trip Hours]]*Table1[[#This Row],['#Angler]]</f>
        <v>9.2666666666666657</v>
      </c>
      <c r="O171" t="s">
        <v>342</v>
      </c>
      <c r="P171" t="s">
        <v>347</v>
      </c>
      <c r="Q171" t="s">
        <v>247</v>
      </c>
      <c r="R171" s="11">
        <v>0</v>
      </c>
      <c r="S171">
        <v>0</v>
      </c>
      <c r="T171">
        <v>0</v>
      </c>
      <c r="U171">
        <v>0</v>
      </c>
      <c r="V171" s="11">
        <v>0</v>
      </c>
      <c r="W171">
        <v>0</v>
      </c>
      <c r="X171">
        <v>1</v>
      </c>
      <c r="Y171">
        <v>0</v>
      </c>
      <c r="Z171" s="11">
        <f>SUM(Table1[[#This Row],[Chi Kept]],Table1[[#This Row],[Chi Released]])</f>
        <v>0</v>
      </c>
      <c r="AA171">
        <f>SUM(Table1[[#This Row],[Co Kept]],Table1[[#This Row],[Co Released ]])</f>
        <v>0</v>
      </c>
      <c r="AB171">
        <f>SUM(Table1[[#This Row],[Pink Kept]],Table1[[#This Row],[Pink Released]])</f>
        <v>1</v>
      </c>
      <c r="AC171">
        <f>SUM(Table1[[#This Row],[Chu Kept]],Table1[[#This Row],[Chu Released]])</f>
        <v>0</v>
      </c>
    </row>
    <row r="172" spans="1:29" x14ac:dyDescent="0.3">
      <c r="A172" s="7">
        <v>45906</v>
      </c>
      <c r="B172">
        <v>3</v>
      </c>
      <c r="C172" t="s">
        <v>250</v>
      </c>
      <c r="D172" t="s">
        <v>42</v>
      </c>
      <c r="E172">
        <v>14</v>
      </c>
      <c r="F172">
        <v>1</v>
      </c>
      <c r="G172">
        <v>1</v>
      </c>
      <c r="H172" t="s">
        <v>344</v>
      </c>
      <c r="I172">
        <v>3</v>
      </c>
      <c r="J172" s="10">
        <v>0.66666666666666663</v>
      </c>
      <c r="K172" s="10">
        <v>0.78888888888888886</v>
      </c>
      <c r="L172" s="10">
        <f t="shared" si="5"/>
        <v>0.12222222222222223</v>
      </c>
      <c r="M172" s="12">
        <f t="shared" si="4"/>
        <v>2.9333333333333336</v>
      </c>
      <c r="N172" s="12">
        <f>Table1[[#This Row],[Trip Hours]]*Table1[[#This Row],['#Angler]]</f>
        <v>8.8000000000000007</v>
      </c>
      <c r="O172" t="s">
        <v>342</v>
      </c>
      <c r="Q172" t="s">
        <v>247</v>
      </c>
      <c r="R172" s="11">
        <v>0</v>
      </c>
      <c r="S172">
        <v>0</v>
      </c>
      <c r="T172">
        <v>3</v>
      </c>
      <c r="U172">
        <v>0</v>
      </c>
      <c r="V172" s="11">
        <v>0</v>
      </c>
      <c r="W172">
        <v>0</v>
      </c>
      <c r="X172">
        <v>10</v>
      </c>
      <c r="Y172">
        <v>0</v>
      </c>
      <c r="Z172" s="11">
        <f>SUM(Table1[[#This Row],[Chi Kept]],Table1[[#This Row],[Chi Released]])</f>
        <v>0</v>
      </c>
      <c r="AA172">
        <f>SUM(Table1[[#This Row],[Co Kept]],Table1[[#This Row],[Co Released ]])</f>
        <v>0</v>
      </c>
      <c r="AB172">
        <f>SUM(Table1[[#This Row],[Pink Kept]],Table1[[#This Row],[Pink Released]])</f>
        <v>13</v>
      </c>
      <c r="AC172">
        <f>SUM(Table1[[#This Row],[Chu Kept]],Table1[[#This Row],[Chu Released]])</f>
        <v>0</v>
      </c>
    </row>
    <row r="173" spans="1:29" x14ac:dyDescent="0.3">
      <c r="A173" s="7">
        <v>45906</v>
      </c>
      <c r="B173">
        <v>3</v>
      </c>
      <c r="C173" t="s">
        <v>250</v>
      </c>
      <c r="D173" t="s">
        <v>42</v>
      </c>
      <c r="E173">
        <v>15</v>
      </c>
      <c r="F173">
        <v>1</v>
      </c>
      <c r="G173">
        <v>1</v>
      </c>
      <c r="H173" t="s">
        <v>344</v>
      </c>
      <c r="I173">
        <v>1</v>
      </c>
      <c r="J173" s="10">
        <v>0.25</v>
      </c>
      <c r="K173" s="10">
        <v>0.78888888888888886</v>
      </c>
      <c r="L173" s="10">
        <f t="shared" si="5"/>
        <v>0.53888888888888886</v>
      </c>
      <c r="M173" s="12">
        <f t="shared" si="4"/>
        <v>12.933333333333334</v>
      </c>
      <c r="N173" s="12">
        <f>Table1[[#This Row],[Trip Hours]]*Table1[[#This Row],['#Angler]]</f>
        <v>12.933333333333334</v>
      </c>
      <c r="O173" t="s">
        <v>342</v>
      </c>
      <c r="P173" t="s">
        <v>112</v>
      </c>
      <c r="Q173" t="s">
        <v>343</v>
      </c>
      <c r="R173" s="11">
        <v>0</v>
      </c>
      <c r="S173">
        <v>0</v>
      </c>
      <c r="T173">
        <v>6</v>
      </c>
      <c r="U173">
        <v>0</v>
      </c>
      <c r="V173" s="11">
        <v>0</v>
      </c>
      <c r="W173">
        <v>0</v>
      </c>
      <c r="X173">
        <v>14</v>
      </c>
      <c r="Y173">
        <v>0</v>
      </c>
      <c r="Z173" s="11">
        <f>SUM(Table1[[#This Row],[Chi Kept]],Table1[[#This Row],[Chi Released]])</f>
        <v>0</v>
      </c>
      <c r="AA173">
        <f>SUM(Table1[[#This Row],[Co Kept]],Table1[[#This Row],[Co Released ]])</f>
        <v>0</v>
      </c>
      <c r="AB173">
        <f>SUM(Table1[[#This Row],[Pink Kept]],Table1[[#This Row],[Pink Released]])</f>
        <v>20</v>
      </c>
      <c r="AC173">
        <f>SUM(Table1[[#This Row],[Chu Kept]],Table1[[#This Row],[Chu Released]])</f>
        <v>0</v>
      </c>
    </row>
    <row r="174" spans="1:29" x14ac:dyDescent="0.3">
      <c r="A174" s="7">
        <v>45906</v>
      </c>
      <c r="B174">
        <v>3</v>
      </c>
      <c r="C174" t="s">
        <v>250</v>
      </c>
      <c r="D174" t="s">
        <v>42</v>
      </c>
      <c r="E174">
        <v>16</v>
      </c>
      <c r="F174">
        <v>1</v>
      </c>
      <c r="G174">
        <v>1</v>
      </c>
      <c r="H174" t="s">
        <v>344</v>
      </c>
      <c r="I174">
        <v>2</v>
      </c>
      <c r="J174" s="10">
        <v>0.70833333333333337</v>
      </c>
      <c r="K174" s="10">
        <v>0.79513888888888884</v>
      </c>
      <c r="L174" s="10">
        <f t="shared" si="5"/>
        <v>8.6805555555555469E-2</v>
      </c>
      <c r="M174" s="12">
        <f t="shared" si="4"/>
        <v>2.0833333333333313</v>
      </c>
      <c r="N174" s="12">
        <f>Table1[[#This Row],[Trip Hours]]*Table1[[#This Row],['#Angler]]</f>
        <v>4.1666666666666625</v>
      </c>
      <c r="O174" t="s">
        <v>342</v>
      </c>
      <c r="R174" s="11">
        <v>0</v>
      </c>
      <c r="S174">
        <v>0</v>
      </c>
      <c r="T174">
        <v>5</v>
      </c>
      <c r="U174">
        <v>0</v>
      </c>
      <c r="V174" s="11">
        <v>0</v>
      </c>
      <c r="W174">
        <v>0</v>
      </c>
      <c r="X174">
        <v>0</v>
      </c>
      <c r="Y174">
        <v>0</v>
      </c>
      <c r="Z174" s="11">
        <f>SUM(Table1[[#This Row],[Chi Kept]],Table1[[#This Row],[Chi Released]])</f>
        <v>0</v>
      </c>
      <c r="AA174">
        <f>SUM(Table1[[#This Row],[Co Kept]],Table1[[#This Row],[Co Released ]])</f>
        <v>0</v>
      </c>
      <c r="AB174">
        <f>SUM(Table1[[#This Row],[Pink Kept]],Table1[[#This Row],[Pink Released]])</f>
        <v>5</v>
      </c>
      <c r="AC174">
        <f>SUM(Table1[[#This Row],[Chu Kept]],Table1[[#This Row],[Chu Released]])</f>
        <v>0</v>
      </c>
    </row>
    <row r="175" spans="1:29" x14ac:dyDescent="0.3">
      <c r="A175" s="7">
        <v>45906</v>
      </c>
      <c r="B175">
        <v>3</v>
      </c>
      <c r="C175" t="s">
        <v>250</v>
      </c>
      <c r="D175" t="s">
        <v>42</v>
      </c>
      <c r="E175">
        <v>17</v>
      </c>
      <c r="F175">
        <v>1</v>
      </c>
      <c r="G175">
        <v>1</v>
      </c>
      <c r="H175" t="s">
        <v>344</v>
      </c>
      <c r="I175">
        <v>3</v>
      </c>
      <c r="J175" s="10">
        <v>0.60416666666666663</v>
      </c>
      <c r="K175" s="10">
        <v>0.79513888888888884</v>
      </c>
      <c r="L175" s="10">
        <f t="shared" si="5"/>
        <v>0.19097222222222221</v>
      </c>
      <c r="M175" s="12">
        <f t="shared" si="4"/>
        <v>4.583333333333333</v>
      </c>
      <c r="N175" s="12">
        <f>Table1[[#This Row],[Trip Hours]]*Table1[[#This Row],['#Angler]]</f>
        <v>13.75</v>
      </c>
      <c r="O175" t="s">
        <v>342</v>
      </c>
      <c r="P175" t="s">
        <v>347</v>
      </c>
      <c r="Q175" t="s">
        <v>247</v>
      </c>
      <c r="R175" s="11">
        <v>0</v>
      </c>
      <c r="S175">
        <v>0</v>
      </c>
      <c r="T175">
        <v>4</v>
      </c>
      <c r="U175">
        <v>0</v>
      </c>
      <c r="V175" s="11">
        <v>0</v>
      </c>
      <c r="W175">
        <v>0</v>
      </c>
      <c r="X175">
        <v>8</v>
      </c>
      <c r="Y175">
        <v>0</v>
      </c>
      <c r="Z175" s="11">
        <f>SUM(Table1[[#This Row],[Chi Kept]],Table1[[#This Row],[Chi Released]])</f>
        <v>0</v>
      </c>
      <c r="AA175">
        <f>SUM(Table1[[#This Row],[Co Kept]],Table1[[#This Row],[Co Released ]])</f>
        <v>0</v>
      </c>
      <c r="AB175">
        <f>SUM(Table1[[#This Row],[Pink Kept]],Table1[[#This Row],[Pink Released]])</f>
        <v>12</v>
      </c>
      <c r="AC175">
        <f>SUM(Table1[[#This Row],[Chu Kept]],Table1[[#This Row],[Chu Released]])</f>
        <v>0</v>
      </c>
    </row>
    <row r="176" spans="1:29" x14ac:dyDescent="0.3">
      <c r="A176" s="7">
        <v>45906</v>
      </c>
      <c r="B176">
        <v>3</v>
      </c>
      <c r="C176" t="s">
        <v>250</v>
      </c>
      <c r="D176" t="s">
        <v>42</v>
      </c>
      <c r="E176">
        <v>18</v>
      </c>
      <c r="F176">
        <v>1</v>
      </c>
      <c r="G176">
        <v>1</v>
      </c>
      <c r="H176" t="s">
        <v>344</v>
      </c>
      <c r="I176">
        <v>3</v>
      </c>
      <c r="J176" s="10">
        <v>0.625</v>
      </c>
      <c r="K176" s="10">
        <v>0.79861111111111116</v>
      </c>
      <c r="L176" s="10">
        <f t="shared" si="5"/>
        <v>0.17361111111111116</v>
      </c>
      <c r="M176" s="12">
        <f t="shared" si="4"/>
        <v>4.1666666666666679</v>
      </c>
      <c r="N176" s="12">
        <f>Table1[[#This Row],[Trip Hours]]*Table1[[#This Row],['#Angler]]</f>
        <v>12.500000000000004</v>
      </c>
      <c r="O176" t="s">
        <v>342</v>
      </c>
      <c r="P176" t="s">
        <v>347</v>
      </c>
      <c r="Q176" t="s">
        <v>241</v>
      </c>
      <c r="R176" s="11">
        <v>0</v>
      </c>
      <c r="S176">
        <v>0</v>
      </c>
      <c r="T176">
        <v>1</v>
      </c>
      <c r="U176">
        <v>0</v>
      </c>
      <c r="V176" s="11">
        <v>0</v>
      </c>
      <c r="W176">
        <v>0</v>
      </c>
      <c r="X176">
        <v>0</v>
      </c>
      <c r="Y176">
        <v>0</v>
      </c>
      <c r="Z176" s="11">
        <f>SUM(Table1[[#This Row],[Chi Kept]],Table1[[#This Row],[Chi Released]])</f>
        <v>0</v>
      </c>
      <c r="AA176">
        <f>SUM(Table1[[#This Row],[Co Kept]],Table1[[#This Row],[Co Released ]])</f>
        <v>0</v>
      </c>
      <c r="AB176">
        <f>SUM(Table1[[#This Row],[Pink Kept]],Table1[[#This Row],[Pink Released]])</f>
        <v>1</v>
      </c>
      <c r="AC176">
        <f>SUM(Table1[[#This Row],[Chu Kept]],Table1[[#This Row],[Chu Released]])</f>
        <v>0</v>
      </c>
    </row>
    <row r="177" spans="1:29" x14ac:dyDescent="0.3">
      <c r="A177" s="7">
        <v>45906</v>
      </c>
      <c r="B177">
        <v>3</v>
      </c>
      <c r="C177" t="s">
        <v>250</v>
      </c>
      <c r="D177" t="s">
        <v>42</v>
      </c>
      <c r="E177">
        <v>19</v>
      </c>
      <c r="F177">
        <v>1</v>
      </c>
      <c r="G177">
        <v>1</v>
      </c>
      <c r="H177" t="s">
        <v>344</v>
      </c>
      <c r="I177">
        <v>2</v>
      </c>
      <c r="J177" s="10">
        <v>0.58333333333333337</v>
      </c>
      <c r="K177" s="10">
        <v>0.79861111111111116</v>
      </c>
      <c r="L177" s="10">
        <f t="shared" si="5"/>
        <v>0.21527777777777779</v>
      </c>
      <c r="M177" s="12">
        <f t="shared" si="4"/>
        <v>5.166666666666667</v>
      </c>
      <c r="N177" s="12">
        <f>Table1[[#This Row],[Trip Hours]]*Table1[[#This Row],['#Angler]]</f>
        <v>10.333333333333334</v>
      </c>
      <c r="O177" t="s">
        <v>342</v>
      </c>
      <c r="P177" t="s">
        <v>347</v>
      </c>
      <c r="Q177" t="s">
        <v>247</v>
      </c>
      <c r="R177" s="11">
        <v>0</v>
      </c>
      <c r="S177">
        <v>4</v>
      </c>
      <c r="T177">
        <v>1</v>
      </c>
      <c r="U177">
        <v>0</v>
      </c>
      <c r="V177" s="11">
        <v>1</v>
      </c>
      <c r="W177">
        <v>0</v>
      </c>
      <c r="X177">
        <v>7</v>
      </c>
      <c r="Y177">
        <v>0</v>
      </c>
      <c r="Z177" s="11">
        <f>SUM(Table1[[#This Row],[Chi Kept]],Table1[[#This Row],[Chi Released]])</f>
        <v>1</v>
      </c>
      <c r="AA177">
        <f>SUM(Table1[[#This Row],[Co Kept]],Table1[[#This Row],[Co Released ]])</f>
        <v>4</v>
      </c>
      <c r="AB177">
        <f>SUM(Table1[[#This Row],[Pink Kept]],Table1[[#This Row],[Pink Released]])</f>
        <v>8</v>
      </c>
      <c r="AC177">
        <f>SUM(Table1[[#This Row],[Chu Kept]],Table1[[#This Row],[Chu Released]])</f>
        <v>0</v>
      </c>
    </row>
    <row r="178" spans="1:29" x14ac:dyDescent="0.3">
      <c r="A178" s="7">
        <v>45906</v>
      </c>
      <c r="B178">
        <v>3</v>
      </c>
      <c r="C178" t="s">
        <v>250</v>
      </c>
      <c r="D178" t="s">
        <v>42</v>
      </c>
      <c r="E178">
        <v>20</v>
      </c>
      <c r="F178">
        <v>1</v>
      </c>
      <c r="G178">
        <v>1</v>
      </c>
      <c r="H178" t="s">
        <v>344</v>
      </c>
      <c r="I178">
        <v>2</v>
      </c>
      <c r="J178" s="10">
        <v>0.5</v>
      </c>
      <c r="K178" s="10">
        <v>0.80069444444444449</v>
      </c>
      <c r="L178" s="10">
        <f t="shared" si="5"/>
        <v>0.30069444444444449</v>
      </c>
      <c r="M178" s="12">
        <f t="shared" si="4"/>
        <v>7.2166666666666677</v>
      </c>
      <c r="N178" s="12">
        <f>Table1[[#This Row],[Trip Hours]]*Table1[[#This Row],['#Angler]]</f>
        <v>14.433333333333335</v>
      </c>
      <c r="O178" t="s">
        <v>342</v>
      </c>
      <c r="P178" t="s">
        <v>37</v>
      </c>
      <c r="Q178" t="s">
        <v>247</v>
      </c>
      <c r="R178" s="11">
        <v>0</v>
      </c>
      <c r="S178">
        <v>0</v>
      </c>
      <c r="T178">
        <v>2</v>
      </c>
      <c r="U178">
        <v>0</v>
      </c>
      <c r="V178" s="11">
        <v>0</v>
      </c>
      <c r="W178">
        <v>0</v>
      </c>
      <c r="X178">
        <v>20</v>
      </c>
      <c r="Y178">
        <v>0</v>
      </c>
      <c r="Z178" s="11">
        <f>SUM(Table1[[#This Row],[Chi Kept]],Table1[[#This Row],[Chi Released]])</f>
        <v>0</v>
      </c>
      <c r="AA178">
        <f>SUM(Table1[[#This Row],[Co Kept]],Table1[[#This Row],[Co Released ]])</f>
        <v>0</v>
      </c>
      <c r="AB178">
        <f>SUM(Table1[[#This Row],[Pink Kept]],Table1[[#This Row],[Pink Released]])</f>
        <v>22</v>
      </c>
      <c r="AC178">
        <f>SUM(Table1[[#This Row],[Chu Kept]],Table1[[#This Row],[Chu Released]])</f>
        <v>0</v>
      </c>
    </row>
    <row r="179" spans="1:29" x14ac:dyDescent="0.3">
      <c r="A179" s="7">
        <v>45906</v>
      </c>
      <c r="B179">
        <v>3</v>
      </c>
      <c r="C179" t="s">
        <v>250</v>
      </c>
      <c r="D179" t="s">
        <v>42</v>
      </c>
      <c r="E179">
        <v>21</v>
      </c>
      <c r="F179">
        <v>1</v>
      </c>
      <c r="G179">
        <v>1</v>
      </c>
      <c r="H179" t="s">
        <v>344</v>
      </c>
      <c r="I179">
        <v>2</v>
      </c>
      <c r="J179" s="10">
        <v>0.70833333333333337</v>
      </c>
      <c r="K179" s="10">
        <v>0.81111111111111112</v>
      </c>
      <c r="L179" s="10">
        <f t="shared" si="5"/>
        <v>0.10277777777777775</v>
      </c>
      <c r="M179" s="12">
        <f t="shared" si="4"/>
        <v>2.4666666666666659</v>
      </c>
      <c r="N179" s="12">
        <f>Table1[[#This Row],[Trip Hours]]*Table1[[#This Row],['#Angler]]</f>
        <v>4.9333333333333318</v>
      </c>
      <c r="O179" t="s">
        <v>342</v>
      </c>
      <c r="P179" t="s">
        <v>347</v>
      </c>
      <c r="Q179" t="s">
        <v>345</v>
      </c>
      <c r="R179" s="11">
        <v>0</v>
      </c>
      <c r="S179">
        <v>0</v>
      </c>
      <c r="T179">
        <v>0</v>
      </c>
      <c r="U179">
        <v>0</v>
      </c>
      <c r="V179" s="11">
        <v>0</v>
      </c>
      <c r="W179">
        <v>0</v>
      </c>
      <c r="X179">
        <v>6</v>
      </c>
      <c r="Y179">
        <v>0</v>
      </c>
      <c r="Z179" s="11">
        <f>SUM(Table1[[#This Row],[Chi Kept]],Table1[[#This Row],[Chi Released]])</f>
        <v>0</v>
      </c>
      <c r="AA179">
        <f>SUM(Table1[[#This Row],[Co Kept]],Table1[[#This Row],[Co Released ]])</f>
        <v>0</v>
      </c>
      <c r="AB179">
        <f>SUM(Table1[[#This Row],[Pink Kept]],Table1[[#This Row],[Pink Released]])</f>
        <v>6</v>
      </c>
      <c r="AC179">
        <f>SUM(Table1[[#This Row],[Chu Kept]],Table1[[#This Row],[Chu Released]])</f>
        <v>0</v>
      </c>
    </row>
    <row r="180" spans="1:29" x14ac:dyDescent="0.3">
      <c r="A180" s="7">
        <v>45906</v>
      </c>
      <c r="B180">
        <v>3</v>
      </c>
      <c r="C180" t="s">
        <v>250</v>
      </c>
      <c r="D180" t="s">
        <v>42</v>
      </c>
      <c r="E180">
        <v>22</v>
      </c>
      <c r="F180">
        <v>1</v>
      </c>
      <c r="G180">
        <v>1</v>
      </c>
      <c r="H180" t="s">
        <v>344</v>
      </c>
      <c r="I180">
        <v>2</v>
      </c>
      <c r="J180" s="10">
        <v>0.60416666666666663</v>
      </c>
      <c r="K180" s="10">
        <v>0.81388888888888888</v>
      </c>
      <c r="L180" s="10">
        <f t="shared" si="5"/>
        <v>0.20972222222222225</v>
      </c>
      <c r="M180" s="12">
        <f t="shared" si="4"/>
        <v>5.0333333333333341</v>
      </c>
      <c r="N180" s="12">
        <f>Table1[[#This Row],[Trip Hours]]*Table1[[#This Row],['#Angler]]</f>
        <v>10.066666666666668</v>
      </c>
      <c r="O180" t="s">
        <v>342</v>
      </c>
      <c r="R180" s="11">
        <v>0</v>
      </c>
      <c r="S180">
        <v>2</v>
      </c>
      <c r="T180">
        <v>0</v>
      </c>
      <c r="U180">
        <v>0</v>
      </c>
      <c r="V180" s="11">
        <v>0</v>
      </c>
      <c r="W180">
        <v>0</v>
      </c>
      <c r="X180">
        <v>0</v>
      </c>
      <c r="Y180">
        <v>0</v>
      </c>
      <c r="Z180" s="11">
        <f>SUM(Table1[[#This Row],[Chi Kept]],Table1[[#This Row],[Chi Released]])</f>
        <v>0</v>
      </c>
      <c r="AA180">
        <f>SUM(Table1[[#This Row],[Co Kept]],Table1[[#This Row],[Co Released ]])</f>
        <v>2</v>
      </c>
      <c r="AB180">
        <f>SUM(Table1[[#This Row],[Pink Kept]],Table1[[#This Row],[Pink Released]])</f>
        <v>0</v>
      </c>
      <c r="AC180">
        <f>SUM(Table1[[#This Row],[Chu Kept]],Table1[[#This Row],[Chu Released]])</f>
        <v>0</v>
      </c>
    </row>
    <row r="181" spans="1:29" x14ac:dyDescent="0.3">
      <c r="A181" s="7">
        <v>45906</v>
      </c>
      <c r="B181">
        <v>3</v>
      </c>
      <c r="C181" t="s">
        <v>250</v>
      </c>
      <c r="D181" t="s">
        <v>42</v>
      </c>
      <c r="E181">
        <v>23</v>
      </c>
      <c r="F181">
        <v>1</v>
      </c>
      <c r="G181">
        <v>1</v>
      </c>
      <c r="H181" t="s">
        <v>344</v>
      </c>
      <c r="I181">
        <v>4</v>
      </c>
      <c r="J181" s="10">
        <v>0.64583333333333337</v>
      </c>
      <c r="K181" s="10">
        <v>0.81458333333333333</v>
      </c>
      <c r="L181" s="10">
        <f t="shared" si="5"/>
        <v>0.16874999999999996</v>
      </c>
      <c r="M181" s="12">
        <f t="shared" si="4"/>
        <v>4.0499999999999989</v>
      </c>
      <c r="N181" s="12">
        <f>Table1[[#This Row],[Trip Hours]]*Table1[[#This Row],['#Angler]]</f>
        <v>16.199999999999996</v>
      </c>
      <c r="O181" t="s">
        <v>342</v>
      </c>
      <c r="Q181" t="s">
        <v>241</v>
      </c>
      <c r="R181" s="11">
        <v>0</v>
      </c>
      <c r="S181">
        <v>0</v>
      </c>
      <c r="T181">
        <v>1</v>
      </c>
      <c r="U181">
        <v>0</v>
      </c>
      <c r="V181" s="11">
        <v>0</v>
      </c>
      <c r="W181">
        <v>0</v>
      </c>
      <c r="X181">
        <v>0</v>
      </c>
      <c r="Y181">
        <v>0</v>
      </c>
      <c r="Z181" s="11">
        <f>SUM(Table1[[#This Row],[Chi Kept]],Table1[[#This Row],[Chi Released]])</f>
        <v>0</v>
      </c>
      <c r="AA181">
        <f>SUM(Table1[[#This Row],[Co Kept]],Table1[[#This Row],[Co Released ]])</f>
        <v>0</v>
      </c>
      <c r="AB181">
        <f>SUM(Table1[[#This Row],[Pink Kept]],Table1[[#This Row],[Pink Released]])</f>
        <v>1</v>
      </c>
      <c r="AC181">
        <f>SUM(Table1[[#This Row],[Chu Kept]],Table1[[#This Row],[Chu Released]])</f>
        <v>0</v>
      </c>
    </row>
    <row r="182" spans="1:29" x14ac:dyDescent="0.3">
      <c r="A182" s="7">
        <v>45906</v>
      </c>
      <c r="B182">
        <v>3</v>
      </c>
      <c r="C182" t="s">
        <v>250</v>
      </c>
      <c r="D182" t="s">
        <v>42</v>
      </c>
      <c r="E182">
        <v>24</v>
      </c>
      <c r="F182">
        <v>1</v>
      </c>
      <c r="G182">
        <v>1</v>
      </c>
      <c r="H182" t="s">
        <v>344</v>
      </c>
      <c r="I182">
        <v>2</v>
      </c>
      <c r="J182" s="10">
        <v>0.64583333333333337</v>
      </c>
      <c r="K182" s="10">
        <v>0.81527777777777777</v>
      </c>
      <c r="L182" s="10">
        <f t="shared" si="5"/>
        <v>0.1694444444444444</v>
      </c>
      <c r="M182" s="12">
        <f t="shared" si="4"/>
        <v>4.0666666666666655</v>
      </c>
      <c r="N182" s="12">
        <f>Table1[[#This Row],[Trip Hours]]*Table1[[#This Row],['#Angler]]</f>
        <v>8.1333333333333311</v>
      </c>
      <c r="O182" t="s">
        <v>342</v>
      </c>
      <c r="Q182" t="s">
        <v>247</v>
      </c>
      <c r="R182" s="11">
        <v>0</v>
      </c>
      <c r="S182">
        <v>0</v>
      </c>
      <c r="T182">
        <v>2</v>
      </c>
      <c r="U182">
        <v>0</v>
      </c>
      <c r="V182" s="11">
        <v>0</v>
      </c>
      <c r="W182">
        <v>0</v>
      </c>
      <c r="X182">
        <v>2</v>
      </c>
      <c r="Y182">
        <v>0</v>
      </c>
      <c r="Z182" s="11">
        <f>SUM(Table1[[#This Row],[Chi Kept]],Table1[[#This Row],[Chi Released]])</f>
        <v>0</v>
      </c>
      <c r="AA182">
        <f>SUM(Table1[[#This Row],[Co Kept]],Table1[[#This Row],[Co Released ]])</f>
        <v>0</v>
      </c>
      <c r="AB182">
        <f>SUM(Table1[[#This Row],[Pink Kept]],Table1[[#This Row],[Pink Released]])</f>
        <v>4</v>
      </c>
      <c r="AC182">
        <f>SUM(Table1[[#This Row],[Chu Kept]],Table1[[#This Row],[Chu Released]])</f>
        <v>0</v>
      </c>
    </row>
    <row r="183" spans="1:29" x14ac:dyDescent="0.3">
      <c r="A183" s="7">
        <v>45910</v>
      </c>
      <c r="B183">
        <v>4</v>
      </c>
      <c r="C183" t="s">
        <v>236</v>
      </c>
      <c r="D183" t="s">
        <v>26</v>
      </c>
      <c r="E183">
        <v>1</v>
      </c>
      <c r="F183">
        <v>2</v>
      </c>
      <c r="G183">
        <v>4</v>
      </c>
      <c r="H183" t="s">
        <v>241</v>
      </c>
      <c r="I183">
        <v>1</v>
      </c>
      <c r="J183" s="10">
        <v>0.25</v>
      </c>
      <c r="K183" s="10">
        <v>0.40416666666666667</v>
      </c>
      <c r="L183" s="10">
        <f t="shared" si="5"/>
        <v>0.15416666666666667</v>
      </c>
      <c r="M183" s="12">
        <f t="shared" si="4"/>
        <v>3.7</v>
      </c>
      <c r="N183" s="12">
        <f>Table1[[#This Row],[Trip Hours]]*Table1[[#This Row],['#Angler]]</f>
        <v>3.7</v>
      </c>
      <c r="O183" t="s">
        <v>342</v>
      </c>
      <c r="P183" t="s">
        <v>112</v>
      </c>
      <c r="Q183" t="s">
        <v>343</v>
      </c>
      <c r="R183" s="11">
        <v>0</v>
      </c>
      <c r="S183">
        <v>0</v>
      </c>
      <c r="T183">
        <v>0</v>
      </c>
      <c r="U183">
        <v>0</v>
      </c>
      <c r="V183" s="11">
        <v>0</v>
      </c>
      <c r="W183">
        <v>0</v>
      </c>
      <c r="X183">
        <v>1</v>
      </c>
      <c r="Y183">
        <v>0</v>
      </c>
      <c r="Z183" s="11">
        <f>SUM(Table1[[#This Row],[Chi Kept]],Table1[[#This Row],[Chi Released]])</f>
        <v>0</v>
      </c>
      <c r="AA183">
        <f>SUM(Table1[[#This Row],[Co Kept]],Table1[[#This Row],[Co Released ]])</f>
        <v>0</v>
      </c>
      <c r="AB183">
        <f>SUM(Table1[[#This Row],[Pink Kept]],Table1[[#This Row],[Pink Released]])</f>
        <v>1</v>
      </c>
      <c r="AC183">
        <f>SUM(Table1[[#This Row],[Chu Kept]],Table1[[#This Row],[Chu Released]])</f>
        <v>0</v>
      </c>
    </row>
    <row r="184" spans="1:29" x14ac:dyDescent="0.3">
      <c r="A184" s="7">
        <v>45910</v>
      </c>
      <c r="B184">
        <v>4</v>
      </c>
      <c r="C184" t="s">
        <v>236</v>
      </c>
      <c r="D184" t="s">
        <v>42</v>
      </c>
      <c r="E184">
        <v>2</v>
      </c>
      <c r="F184">
        <v>2</v>
      </c>
      <c r="G184">
        <v>2</v>
      </c>
      <c r="H184" t="s">
        <v>241</v>
      </c>
      <c r="I184">
        <v>1</v>
      </c>
      <c r="J184" s="10">
        <v>0.58333333333333337</v>
      </c>
      <c r="K184" s="10">
        <v>0.67152777777777772</v>
      </c>
      <c r="L184" s="10">
        <f t="shared" si="5"/>
        <v>8.8194444444444353E-2</v>
      </c>
      <c r="M184" s="12">
        <f t="shared" si="4"/>
        <v>2.1166666666666645</v>
      </c>
      <c r="N184" s="12">
        <f>Table1[[#This Row],[Trip Hours]]*Table1[[#This Row],['#Angler]]</f>
        <v>2.1166666666666645</v>
      </c>
      <c r="O184" t="s">
        <v>349</v>
      </c>
      <c r="P184" t="s">
        <v>29</v>
      </c>
      <c r="Q184" t="s">
        <v>247</v>
      </c>
      <c r="R184" s="11">
        <v>0</v>
      </c>
      <c r="S184">
        <v>0</v>
      </c>
      <c r="T184">
        <v>1</v>
      </c>
      <c r="U184">
        <v>0</v>
      </c>
      <c r="V184" s="11">
        <v>0</v>
      </c>
      <c r="W184">
        <v>0</v>
      </c>
      <c r="X184">
        <v>0</v>
      </c>
      <c r="Y184">
        <v>0</v>
      </c>
      <c r="Z184" s="11">
        <f>SUM(Table1[[#This Row],[Chi Kept]],Table1[[#This Row],[Chi Released]])</f>
        <v>0</v>
      </c>
      <c r="AA184">
        <f>SUM(Table1[[#This Row],[Co Kept]],Table1[[#This Row],[Co Released ]])</f>
        <v>0</v>
      </c>
      <c r="AB184">
        <f>SUM(Table1[[#This Row],[Pink Kept]],Table1[[#This Row],[Pink Released]])</f>
        <v>1</v>
      </c>
      <c r="AC184">
        <f>SUM(Table1[[#This Row],[Chu Kept]],Table1[[#This Row],[Chu Released]])</f>
        <v>0</v>
      </c>
    </row>
    <row r="185" spans="1:29" x14ac:dyDescent="0.3">
      <c r="A185" s="7">
        <v>45910</v>
      </c>
      <c r="B185">
        <v>4</v>
      </c>
      <c r="C185" t="s">
        <v>236</v>
      </c>
      <c r="D185" t="s">
        <v>42</v>
      </c>
      <c r="E185">
        <v>3</v>
      </c>
      <c r="F185">
        <v>2</v>
      </c>
      <c r="G185">
        <v>2</v>
      </c>
      <c r="H185" t="s">
        <v>241</v>
      </c>
      <c r="I185">
        <v>1</v>
      </c>
      <c r="J185" s="10">
        <v>0.5625</v>
      </c>
      <c r="K185" s="10">
        <v>0.67152777777777772</v>
      </c>
      <c r="L185" s="10">
        <f t="shared" si="5"/>
        <v>0.10902777777777772</v>
      </c>
      <c r="M185" s="12">
        <f t="shared" si="4"/>
        <v>2.6166666666666654</v>
      </c>
      <c r="N185" s="12">
        <f>Table1[[#This Row],[Trip Hours]]*Table1[[#This Row],['#Angler]]</f>
        <v>2.6166666666666654</v>
      </c>
      <c r="O185" t="s">
        <v>349</v>
      </c>
      <c r="P185" t="s">
        <v>29</v>
      </c>
      <c r="Q185" t="s">
        <v>345</v>
      </c>
      <c r="R185" s="11">
        <v>0</v>
      </c>
      <c r="S185">
        <v>0</v>
      </c>
      <c r="T185">
        <v>0</v>
      </c>
      <c r="U185">
        <v>0</v>
      </c>
      <c r="V185" s="11">
        <v>0</v>
      </c>
      <c r="W185">
        <v>0</v>
      </c>
      <c r="X185">
        <v>0</v>
      </c>
      <c r="Y185">
        <v>0</v>
      </c>
      <c r="Z185" s="11">
        <f>SUM(Table1[[#This Row],[Chi Kept]],Table1[[#This Row],[Chi Released]])</f>
        <v>0</v>
      </c>
      <c r="AA185">
        <f>SUM(Table1[[#This Row],[Co Kept]],Table1[[#This Row],[Co Released ]])</f>
        <v>0</v>
      </c>
      <c r="AB185">
        <f>SUM(Table1[[#This Row],[Pink Kept]],Table1[[#This Row],[Pink Released]])</f>
        <v>0</v>
      </c>
      <c r="AC185">
        <f>SUM(Table1[[#This Row],[Chu Kept]],Table1[[#This Row],[Chu Released]])</f>
        <v>0</v>
      </c>
    </row>
    <row r="186" spans="1:29" x14ac:dyDescent="0.3">
      <c r="A186" s="7">
        <v>45910</v>
      </c>
      <c r="B186">
        <v>4</v>
      </c>
      <c r="C186" t="s">
        <v>236</v>
      </c>
      <c r="D186" t="s">
        <v>42</v>
      </c>
      <c r="E186">
        <v>4</v>
      </c>
      <c r="F186">
        <v>2</v>
      </c>
      <c r="G186">
        <v>2</v>
      </c>
      <c r="H186" t="s">
        <v>241</v>
      </c>
      <c r="I186">
        <v>1</v>
      </c>
      <c r="J186" s="10">
        <v>0.64583333333333337</v>
      </c>
      <c r="K186" s="10">
        <v>0.67222222222222228</v>
      </c>
      <c r="L186" s="10">
        <f t="shared" si="5"/>
        <v>2.6388888888888906E-2</v>
      </c>
      <c r="M186" s="12">
        <f t="shared" si="4"/>
        <v>0.63333333333333375</v>
      </c>
      <c r="N186" s="12">
        <f>Table1[[#This Row],[Trip Hours]]*Table1[[#This Row],['#Angler]]</f>
        <v>0.63333333333333375</v>
      </c>
      <c r="O186" t="s">
        <v>349</v>
      </c>
      <c r="P186" t="s">
        <v>49</v>
      </c>
      <c r="Q186" t="s">
        <v>241</v>
      </c>
      <c r="R186" s="11">
        <v>0</v>
      </c>
      <c r="S186">
        <v>0</v>
      </c>
      <c r="T186">
        <v>0</v>
      </c>
      <c r="U186">
        <v>0</v>
      </c>
      <c r="V186" s="11">
        <v>0</v>
      </c>
      <c r="W186">
        <v>0</v>
      </c>
      <c r="X186">
        <v>0</v>
      </c>
      <c r="Y186">
        <v>0</v>
      </c>
      <c r="Z186" s="11">
        <f>SUM(Table1[[#This Row],[Chi Kept]],Table1[[#This Row],[Chi Released]])</f>
        <v>0</v>
      </c>
      <c r="AA186">
        <f>SUM(Table1[[#This Row],[Co Kept]],Table1[[#This Row],[Co Released ]])</f>
        <v>0</v>
      </c>
      <c r="AB186">
        <f>SUM(Table1[[#This Row],[Pink Kept]],Table1[[#This Row],[Pink Released]])</f>
        <v>0</v>
      </c>
      <c r="AC186">
        <f>SUM(Table1[[#This Row],[Chu Kept]],Table1[[#This Row],[Chu Released]])</f>
        <v>0</v>
      </c>
    </row>
    <row r="187" spans="1:29" x14ac:dyDescent="0.3">
      <c r="A187" s="7">
        <v>45910</v>
      </c>
      <c r="B187">
        <v>4</v>
      </c>
      <c r="C187" t="s">
        <v>236</v>
      </c>
      <c r="D187" t="s">
        <v>42</v>
      </c>
      <c r="E187">
        <v>5</v>
      </c>
      <c r="F187">
        <v>2</v>
      </c>
      <c r="G187">
        <v>2</v>
      </c>
      <c r="H187" t="s">
        <v>241</v>
      </c>
      <c r="I187">
        <v>1</v>
      </c>
      <c r="J187" s="10">
        <v>0.66666666666666663</v>
      </c>
      <c r="K187" s="10">
        <v>0.68472222222222223</v>
      </c>
      <c r="L187" s="10">
        <f t="shared" si="5"/>
        <v>1.8055555555555602E-2</v>
      </c>
      <c r="M187" s="12">
        <f t="shared" si="4"/>
        <v>0.43333333333333446</v>
      </c>
      <c r="N187" s="12">
        <f>Table1[[#This Row],[Trip Hours]]*Table1[[#This Row],['#Angler]]</f>
        <v>0.43333333333333446</v>
      </c>
      <c r="O187" t="s">
        <v>349</v>
      </c>
      <c r="P187" t="s">
        <v>49</v>
      </c>
      <c r="Q187" t="s">
        <v>357</v>
      </c>
      <c r="R187" s="11">
        <v>0</v>
      </c>
      <c r="S187">
        <v>0</v>
      </c>
      <c r="T187">
        <v>0</v>
      </c>
      <c r="U187">
        <v>0</v>
      </c>
      <c r="V187" s="11">
        <v>0</v>
      </c>
      <c r="W187">
        <v>0</v>
      </c>
      <c r="X187">
        <v>0</v>
      </c>
      <c r="Y187">
        <v>0</v>
      </c>
      <c r="Z187" s="11">
        <f>SUM(Table1[[#This Row],[Chi Kept]],Table1[[#This Row],[Chi Released]])</f>
        <v>0</v>
      </c>
      <c r="AA187">
        <f>SUM(Table1[[#This Row],[Co Kept]],Table1[[#This Row],[Co Released ]])</f>
        <v>0</v>
      </c>
      <c r="AB187">
        <f>SUM(Table1[[#This Row],[Pink Kept]],Table1[[#This Row],[Pink Released]])</f>
        <v>0</v>
      </c>
      <c r="AC187">
        <f>SUM(Table1[[#This Row],[Chu Kept]],Table1[[#This Row],[Chu Released]])</f>
        <v>0</v>
      </c>
    </row>
    <row r="188" spans="1:29" x14ac:dyDescent="0.3">
      <c r="A188" s="7">
        <v>45910</v>
      </c>
      <c r="B188">
        <v>4</v>
      </c>
      <c r="C188" t="s">
        <v>236</v>
      </c>
      <c r="D188" t="s">
        <v>42</v>
      </c>
      <c r="E188">
        <v>6</v>
      </c>
      <c r="F188">
        <v>2</v>
      </c>
      <c r="G188">
        <v>2</v>
      </c>
      <c r="H188" t="s">
        <v>241</v>
      </c>
      <c r="I188">
        <v>2</v>
      </c>
      <c r="J188" s="10">
        <v>0.64583333333333337</v>
      </c>
      <c r="K188" s="10">
        <v>0.6875</v>
      </c>
      <c r="L188" s="10">
        <f t="shared" si="5"/>
        <v>4.166666666666663E-2</v>
      </c>
      <c r="M188" s="12">
        <f t="shared" si="4"/>
        <v>0.99999999999999911</v>
      </c>
      <c r="N188" s="12">
        <f>Table1[[#This Row],[Trip Hours]]*Table1[[#This Row],['#Angler]]</f>
        <v>1.9999999999999982</v>
      </c>
      <c r="O188" t="s">
        <v>349</v>
      </c>
      <c r="P188" t="s">
        <v>29</v>
      </c>
      <c r="Q188" t="s">
        <v>343</v>
      </c>
      <c r="R188" s="11">
        <v>0</v>
      </c>
      <c r="S188">
        <v>0</v>
      </c>
      <c r="T188">
        <v>0</v>
      </c>
      <c r="U188">
        <v>0</v>
      </c>
      <c r="V188" s="11">
        <v>0</v>
      </c>
      <c r="W188">
        <v>0</v>
      </c>
      <c r="X188">
        <v>0</v>
      </c>
      <c r="Y188">
        <v>0</v>
      </c>
      <c r="Z188" s="11">
        <f>SUM(Table1[[#This Row],[Chi Kept]],Table1[[#This Row],[Chi Released]])</f>
        <v>0</v>
      </c>
      <c r="AA188">
        <f>SUM(Table1[[#This Row],[Co Kept]],Table1[[#This Row],[Co Released ]])</f>
        <v>0</v>
      </c>
      <c r="AB188">
        <f>SUM(Table1[[#This Row],[Pink Kept]],Table1[[#This Row],[Pink Released]])</f>
        <v>0</v>
      </c>
      <c r="AC188">
        <f>SUM(Table1[[#This Row],[Chu Kept]],Table1[[#This Row],[Chu Released]])</f>
        <v>0</v>
      </c>
    </row>
    <row r="189" spans="1:29" x14ac:dyDescent="0.3">
      <c r="A189" s="7">
        <v>45910</v>
      </c>
      <c r="B189">
        <v>4</v>
      </c>
      <c r="C189" t="s">
        <v>236</v>
      </c>
      <c r="D189" t="s">
        <v>42</v>
      </c>
      <c r="E189">
        <v>7</v>
      </c>
      <c r="F189">
        <v>2</v>
      </c>
      <c r="G189">
        <v>2</v>
      </c>
      <c r="H189" t="s">
        <v>241</v>
      </c>
      <c r="I189">
        <v>1</v>
      </c>
      <c r="J189" s="10">
        <v>0.5625</v>
      </c>
      <c r="K189" s="10">
        <v>0.6875</v>
      </c>
      <c r="L189" s="10">
        <f t="shared" si="5"/>
        <v>0.125</v>
      </c>
      <c r="M189" s="12">
        <f t="shared" si="4"/>
        <v>3</v>
      </c>
      <c r="N189" s="12">
        <f>Table1[[#This Row],[Trip Hours]]*Table1[[#This Row],['#Angler]]</f>
        <v>3</v>
      </c>
      <c r="O189" t="s">
        <v>349</v>
      </c>
      <c r="P189" t="s">
        <v>347</v>
      </c>
      <c r="Q189" t="s">
        <v>241</v>
      </c>
      <c r="R189" s="11">
        <v>0</v>
      </c>
      <c r="S189">
        <v>0</v>
      </c>
      <c r="T189">
        <v>0</v>
      </c>
      <c r="U189">
        <v>0</v>
      </c>
      <c r="V189" s="11">
        <v>0</v>
      </c>
      <c r="W189">
        <v>0</v>
      </c>
      <c r="X189">
        <v>0</v>
      </c>
      <c r="Y189">
        <v>0</v>
      </c>
      <c r="Z189" s="11">
        <f>SUM(Table1[[#This Row],[Chi Kept]],Table1[[#This Row],[Chi Released]])</f>
        <v>0</v>
      </c>
      <c r="AA189">
        <f>SUM(Table1[[#This Row],[Co Kept]],Table1[[#This Row],[Co Released ]])</f>
        <v>0</v>
      </c>
      <c r="AB189">
        <f>SUM(Table1[[#This Row],[Pink Kept]],Table1[[#This Row],[Pink Released]])</f>
        <v>0</v>
      </c>
      <c r="AC189">
        <f>SUM(Table1[[#This Row],[Chu Kept]],Table1[[#This Row],[Chu Released]])</f>
        <v>0</v>
      </c>
    </row>
    <row r="190" spans="1:29" x14ac:dyDescent="0.3">
      <c r="A190" s="7">
        <v>45910</v>
      </c>
      <c r="B190">
        <v>4</v>
      </c>
      <c r="C190" t="s">
        <v>236</v>
      </c>
      <c r="D190" t="s">
        <v>42</v>
      </c>
      <c r="E190">
        <v>8</v>
      </c>
      <c r="F190">
        <v>2</v>
      </c>
      <c r="G190">
        <v>2</v>
      </c>
      <c r="H190" t="s">
        <v>241</v>
      </c>
      <c r="I190">
        <v>1</v>
      </c>
      <c r="J190" s="10">
        <v>0.65625</v>
      </c>
      <c r="K190" s="10">
        <v>0.69652777777777775</v>
      </c>
      <c r="L190" s="10">
        <f t="shared" si="5"/>
        <v>4.0277777777777746E-2</v>
      </c>
      <c r="M190" s="12">
        <f t="shared" si="4"/>
        <v>0.9666666666666659</v>
      </c>
      <c r="N190" s="12">
        <f>Table1[[#This Row],[Trip Hours]]*Table1[[#This Row],['#Angler]]</f>
        <v>0.9666666666666659</v>
      </c>
      <c r="O190" t="s">
        <v>349</v>
      </c>
      <c r="R190" s="11">
        <v>0</v>
      </c>
      <c r="S190">
        <v>0</v>
      </c>
      <c r="T190">
        <v>0</v>
      </c>
      <c r="U190">
        <v>0</v>
      </c>
      <c r="V190" s="11">
        <v>0</v>
      </c>
      <c r="W190">
        <v>0</v>
      </c>
      <c r="X190">
        <v>0</v>
      </c>
      <c r="Y190">
        <v>0</v>
      </c>
      <c r="Z190" s="11">
        <f>SUM(Table1[[#This Row],[Chi Kept]],Table1[[#This Row],[Chi Released]])</f>
        <v>0</v>
      </c>
      <c r="AA190">
        <f>SUM(Table1[[#This Row],[Co Kept]],Table1[[#This Row],[Co Released ]])</f>
        <v>0</v>
      </c>
      <c r="AB190">
        <f>SUM(Table1[[#This Row],[Pink Kept]],Table1[[#This Row],[Pink Released]])</f>
        <v>0</v>
      </c>
      <c r="AC190">
        <f>SUM(Table1[[#This Row],[Chu Kept]],Table1[[#This Row],[Chu Released]])</f>
        <v>0</v>
      </c>
    </row>
    <row r="191" spans="1:29" x14ac:dyDescent="0.3">
      <c r="A191" s="7">
        <v>45910</v>
      </c>
      <c r="B191">
        <v>4</v>
      </c>
      <c r="C191" t="s">
        <v>236</v>
      </c>
      <c r="D191" t="s">
        <v>42</v>
      </c>
      <c r="E191">
        <v>9</v>
      </c>
      <c r="F191">
        <v>2</v>
      </c>
      <c r="G191">
        <v>2</v>
      </c>
      <c r="H191" t="s">
        <v>241</v>
      </c>
      <c r="I191">
        <v>1</v>
      </c>
      <c r="J191" s="10">
        <v>0.61458333333333337</v>
      </c>
      <c r="K191" s="10">
        <v>0.69652777777777775</v>
      </c>
      <c r="L191" s="10">
        <f t="shared" si="5"/>
        <v>8.1944444444444375E-2</v>
      </c>
      <c r="M191" s="12">
        <f t="shared" si="4"/>
        <v>1.966666666666665</v>
      </c>
      <c r="N191" s="12">
        <f>Table1[[#This Row],[Trip Hours]]*Table1[[#This Row],['#Angler]]</f>
        <v>1.966666666666665</v>
      </c>
      <c r="O191" t="s">
        <v>349</v>
      </c>
      <c r="Q191" t="s">
        <v>343</v>
      </c>
      <c r="R191" s="11">
        <v>0</v>
      </c>
      <c r="S191">
        <v>0</v>
      </c>
      <c r="T191">
        <v>0</v>
      </c>
      <c r="U191">
        <v>0</v>
      </c>
      <c r="V191" s="11">
        <v>0</v>
      </c>
      <c r="W191">
        <v>0</v>
      </c>
      <c r="X191">
        <v>0</v>
      </c>
      <c r="Y191">
        <v>0</v>
      </c>
      <c r="Z191" s="11">
        <f>SUM(Table1[[#This Row],[Chi Kept]],Table1[[#This Row],[Chi Released]])</f>
        <v>0</v>
      </c>
      <c r="AA191">
        <f>SUM(Table1[[#This Row],[Co Kept]],Table1[[#This Row],[Co Released ]])</f>
        <v>0</v>
      </c>
      <c r="AB191">
        <f>SUM(Table1[[#This Row],[Pink Kept]],Table1[[#This Row],[Pink Released]])</f>
        <v>0</v>
      </c>
      <c r="AC191">
        <f>SUM(Table1[[#This Row],[Chu Kept]],Table1[[#This Row],[Chu Released]])</f>
        <v>0</v>
      </c>
    </row>
    <row r="192" spans="1:29" x14ac:dyDescent="0.3">
      <c r="A192" s="7">
        <v>45910</v>
      </c>
      <c r="B192">
        <v>4</v>
      </c>
      <c r="C192" t="s">
        <v>236</v>
      </c>
      <c r="D192" t="s">
        <v>42</v>
      </c>
      <c r="E192">
        <v>10</v>
      </c>
      <c r="F192">
        <v>2</v>
      </c>
      <c r="G192">
        <v>2</v>
      </c>
      <c r="H192" t="s">
        <v>241</v>
      </c>
      <c r="I192">
        <v>1</v>
      </c>
      <c r="J192" s="10">
        <v>0.54166666666666663</v>
      </c>
      <c r="K192" s="10">
        <v>0.69652777777777775</v>
      </c>
      <c r="L192" s="10">
        <f t="shared" si="5"/>
        <v>0.15486111111111112</v>
      </c>
      <c r="M192" s="12">
        <f t="shared" si="4"/>
        <v>3.7166666666666668</v>
      </c>
      <c r="N192" s="12">
        <f>Table1[[#This Row],[Trip Hours]]*Table1[[#This Row],['#Angler]]</f>
        <v>3.7166666666666668</v>
      </c>
      <c r="O192" t="s">
        <v>349</v>
      </c>
      <c r="P192" t="s">
        <v>56</v>
      </c>
      <c r="Q192" t="s">
        <v>241</v>
      </c>
      <c r="R192" s="11">
        <v>0</v>
      </c>
      <c r="S192">
        <v>0</v>
      </c>
      <c r="T192">
        <v>0</v>
      </c>
      <c r="U192">
        <v>0</v>
      </c>
      <c r="V192" s="11">
        <v>0</v>
      </c>
      <c r="W192">
        <v>0</v>
      </c>
      <c r="X192">
        <v>0</v>
      </c>
      <c r="Y192">
        <v>0</v>
      </c>
      <c r="Z192" s="11">
        <f>SUM(Table1[[#This Row],[Chi Kept]],Table1[[#This Row],[Chi Released]])</f>
        <v>0</v>
      </c>
      <c r="AA192">
        <f>SUM(Table1[[#This Row],[Co Kept]],Table1[[#This Row],[Co Released ]])</f>
        <v>0</v>
      </c>
      <c r="AB192">
        <f>SUM(Table1[[#This Row],[Pink Kept]],Table1[[#This Row],[Pink Released]])</f>
        <v>0</v>
      </c>
      <c r="AC192">
        <f>SUM(Table1[[#This Row],[Chu Kept]],Table1[[#This Row],[Chu Released]])</f>
        <v>0</v>
      </c>
    </row>
    <row r="193" spans="1:31" x14ac:dyDescent="0.3">
      <c r="A193" s="7">
        <v>45910</v>
      </c>
      <c r="B193">
        <v>4</v>
      </c>
      <c r="C193" t="s">
        <v>236</v>
      </c>
      <c r="D193" t="s">
        <v>42</v>
      </c>
      <c r="E193">
        <v>11</v>
      </c>
      <c r="F193">
        <v>2</v>
      </c>
      <c r="G193">
        <v>1</v>
      </c>
      <c r="H193" t="s">
        <v>241</v>
      </c>
      <c r="I193">
        <v>1</v>
      </c>
      <c r="J193" s="10">
        <v>0.625</v>
      </c>
      <c r="K193" s="10">
        <v>0.70416666666666672</v>
      </c>
      <c r="L193" s="10">
        <f t="shared" si="5"/>
        <v>7.9166666666666718E-2</v>
      </c>
      <c r="M193" s="12">
        <f t="shared" si="4"/>
        <v>1.9000000000000012</v>
      </c>
      <c r="N193" s="12">
        <f>Table1[[#This Row],[Trip Hours]]*Table1[[#This Row],['#Angler]]</f>
        <v>1.9000000000000012</v>
      </c>
      <c r="O193" t="s">
        <v>349</v>
      </c>
      <c r="P193" t="s">
        <v>148</v>
      </c>
      <c r="Q193" t="s">
        <v>244</v>
      </c>
      <c r="R193" s="11">
        <v>0</v>
      </c>
      <c r="S193">
        <v>0</v>
      </c>
      <c r="T193">
        <v>0</v>
      </c>
      <c r="U193">
        <v>0</v>
      </c>
      <c r="V193" s="11">
        <v>0</v>
      </c>
      <c r="W193">
        <v>0</v>
      </c>
      <c r="X193">
        <v>0</v>
      </c>
      <c r="Y193">
        <v>0</v>
      </c>
      <c r="Z193" s="11">
        <f>SUM(Table1[[#This Row],[Chi Kept]],Table1[[#This Row],[Chi Released]])</f>
        <v>0</v>
      </c>
      <c r="AA193">
        <f>SUM(Table1[[#This Row],[Co Kept]],Table1[[#This Row],[Co Released ]])</f>
        <v>0</v>
      </c>
      <c r="AB193">
        <f>SUM(Table1[[#This Row],[Pink Kept]],Table1[[#This Row],[Pink Released]])</f>
        <v>0</v>
      </c>
      <c r="AC193">
        <f>SUM(Table1[[#This Row],[Chu Kept]],Table1[[#This Row],[Chu Released]])</f>
        <v>0</v>
      </c>
      <c r="AE193" t="s">
        <v>358</v>
      </c>
    </row>
    <row r="194" spans="1:31" x14ac:dyDescent="0.3">
      <c r="A194" s="7">
        <v>45910</v>
      </c>
      <c r="B194">
        <v>4</v>
      </c>
      <c r="C194" t="s">
        <v>236</v>
      </c>
      <c r="D194" t="s">
        <v>42</v>
      </c>
      <c r="E194">
        <v>12</v>
      </c>
      <c r="F194">
        <v>1</v>
      </c>
      <c r="G194">
        <v>4</v>
      </c>
      <c r="H194" t="s">
        <v>241</v>
      </c>
      <c r="I194">
        <v>1</v>
      </c>
      <c r="J194" s="10">
        <v>0.65555555555555556</v>
      </c>
      <c r="K194" s="10">
        <v>0.73888888888888893</v>
      </c>
      <c r="L194" s="10">
        <f t="shared" si="5"/>
        <v>8.333333333333337E-2</v>
      </c>
      <c r="M194" s="12">
        <f t="shared" ref="M194:M257" si="6">L194*24</f>
        <v>2.0000000000000009</v>
      </c>
      <c r="N194" s="12">
        <f>Table1[[#This Row],[Trip Hours]]*Table1[[#This Row],['#Angler]]</f>
        <v>2.0000000000000009</v>
      </c>
      <c r="O194" t="s">
        <v>342</v>
      </c>
      <c r="P194" t="s">
        <v>49</v>
      </c>
      <c r="R194" s="11">
        <v>0</v>
      </c>
      <c r="S194">
        <v>0</v>
      </c>
      <c r="T194">
        <v>0</v>
      </c>
      <c r="U194">
        <v>0</v>
      </c>
      <c r="V194" s="11">
        <v>0</v>
      </c>
      <c r="W194">
        <v>0</v>
      </c>
      <c r="X194">
        <v>0</v>
      </c>
      <c r="Y194">
        <v>0</v>
      </c>
      <c r="Z194" s="11">
        <f>SUM(Table1[[#This Row],[Chi Kept]],Table1[[#This Row],[Chi Released]])</f>
        <v>0</v>
      </c>
      <c r="AA194">
        <f>SUM(Table1[[#This Row],[Co Kept]],Table1[[#This Row],[Co Released ]])</f>
        <v>0</v>
      </c>
      <c r="AB194">
        <f>SUM(Table1[[#This Row],[Pink Kept]],Table1[[#This Row],[Pink Released]])</f>
        <v>0</v>
      </c>
      <c r="AC194">
        <f>SUM(Table1[[#This Row],[Chu Kept]],Table1[[#This Row],[Chu Released]])</f>
        <v>0</v>
      </c>
    </row>
    <row r="195" spans="1:31" x14ac:dyDescent="0.3">
      <c r="A195" s="7">
        <v>45910</v>
      </c>
      <c r="B195">
        <v>4</v>
      </c>
      <c r="C195" t="s">
        <v>236</v>
      </c>
      <c r="D195" t="s">
        <v>42</v>
      </c>
      <c r="E195">
        <v>13</v>
      </c>
      <c r="F195">
        <v>1</v>
      </c>
      <c r="G195">
        <v>4</v>
      </c>
      <c r="H195" t="s">
        <v>241</v>
      </c>
      <c r="I195">
        <v>2</v>
      </c>
      <c r="J195" s="10">
        <v>0.70833333333333337</v>
      </c>
      <c r="K195" s="10">
        <v>0.74375000000000002</v>
      </c>
      <c r="L195" s="10">
        <f t="shared" ref="L195:L258" si="7">K195-J195</f>
        <v>3.5416666666666652E-2</v>
      </c>
      <c r="M195" s="12">
        <f t="shared" si="6"/>
        <v>0.84999999999999964</v>
      </c>
      <c r="N195" s="12">
        <f>Table1[[#This Row],[Trip Hours]]*Table1[[#This Row],['#Angler]]</f>
        <v>1.6999999999999993</v>
      </c>
      <c r="O195" t="s">
        <v>342</v>
      </c>
      <c r="P195" t="s">
        <v>347</v>
      </c>
      <c r="Q195" t="s">
        <v>241</v>
      </c>
      <c r="R195" s="11">
        <v>0</v>
      </c>
      <c r="S195">
        <v>0</v>
      </c>
      <c r="T195">
        <v>0</v>
      </c>
      <c r="U195">
        <v>0</v>
      </c>
      <c r="V195" s="11">
        <v>0</v>
      </c>
      <c r="W195">
        <v>0</v>
      </c>
      <c r="X195">
        <v>0</v>
      </c>
      <c r="Y195">
        <v>0</v>
      </c>
      <c r="Z195" s="11">
        <f>SUM(Table1[[#This Row],[Chi Kept]],Table1[[#This Row],[Chi Released]])</f>
        <v>0</v>
      </c>
      <c r="AA195">
        <f>SUM(Table1[[#This Row],[Co Kept]],Table1[[#This Row],[Co Released ]])</f>
        <v>0</v>
      </c>
      <c r="AB195">
        <f>SUM(Table1[[#This Row],[Pink Kept]],Table1[[#This Row],[Pink Released]])</f>
        <v>0</v>
      </c>
      <c r="AC195">
        <f>SUM(Table1[[#This Row],[Chu Kept]],Table1[[#This Row],[Chu Released]])</f>
        <v>0</v>
      </c>
    </row>
    <row r="196" spans="1:31" x14ac:dyDescent="0.3">
      <c r="A196" s="7">
        <v>45910</v>
      </c>
      <c r="B196">
        <v>4</v>
      </c>
      <c r="C196" t="s">
        <v>236</v>
      </c>
      <c r="D196" t="s">
        <v>42</v>
      </c>
      <c r="E196">
        <v>14</v>
      </c>
      <c r="F196">
        <v>1</v>
      </c>
      <c r="G196">
        <v>4</v>
      </c>
      <c r="H196" t="s">
        <v>241</v>
      </c>
      <c r="I196">
        <v>2</v>
      </c>
      <c r="J196" s="10">
        <v>0.70833333333333337</v>
      </c>
      <c r="K196" s="10">
        <v>0.75763888888888886</v>
      </c>
      <c r="L196" s="10">
        <f t="shared" si="7"/>
        <v>4.9305555555555491E-2</v>
      </c>
      <c r="M196" s="12">
        <f t="shared" si="6"/>
        <v>1.1833333333333318</v>
      </c>
      <c r="N196" s="12">
        <f>Table1[[#This Row],[Trip Hours]]*Table1[[#This Row],['#Angler]]</f>
        <v>2.3666666666666636</v>
      </c>
      <c r="O196" t="s">
        <v>342</v>
      </c>
      <c r="P196" t="s">
        <v>347</v>
      </c>
      <c r="Q196" t="s">
        <v>343</v>
      </c>
      <c r="R196" s="11">
        <v>0</v>
      </c>
      <c r="S196">
        <v>0</v>
      </c>
      <c r="T196">
        <v>0</v>
      </c>
      <c r="U196">
        <v>0</v>
      </c>
      <c r="V196" s="11">
        <v>0</v>
      </c>
      <c r="W196">
        <v>0</v>
      </c>
      <c r="X196">
        <v>0</v>
      </c>
      <c r="Y196">
        <v>0</v>
      </c>
      <c r="Z196" s="11">
        <f>SUM(Table1[[#This Row],[Chi Kept]],Table1[[#This Row],[Chi Released]])</f>
        <v>0</v>
      </c>
      <c r="AA196">
        <f>SUM(Table1[[#This Row],[Co Kept]],Table1[[#This Row],[Co Released ]])</f>
        <v>0</v>
      </c>
      <c r="AB196">
        <f>SUM(Table1[[#This Row],[Pink Kept]],Table1[[#This Row],[Pink Released]])</f>
        <v>0</v>
      </c>
      <c r="AC196">
        <f>SUM(Table1[[#This Row],[Chu Kept]],Table1[[#This Row],[Chu Released]])</f>
        <v>0</v>
      </c>
    </row>
    <row r="197" spans="1:31" x14ac:dyDescent="0.3">
      <c r="A197" s="7">
        <v>45910</v>
      </c>
      <c r="B197">
        <v>4</v>
      </c>
      <c r="C197" t="s">
        <v>236</v>
      </c>
      <c r="D197" t="s">
        <v>42</v>
      </c>
      <c r="E197">
        <v>15</v>
      </c>
      <c r="F197">
        <v>1</v>
      </c>
      <c r="G197">
        <v>2</v>
      </c>
      <c r="H197" t="s">
        <v>241</v>
      </c>
      <c r="I197">
        <v>1</v>
      </c>
      <c r="J197" s="10">
        <v>0.76041666666666663</v>
      </c>
      <c r="K197" s="10">
        <v>0.78402777777777777</v>
      </c>
      <c r="L197" s="10">
        <f t="shared" si="7"/>
        <v>2.3611111111111138E-2</v>
      </c>
      <c r="M197" s="12">
        <f t="shared" si="6"/>
        <v>0.56666666666666732</v>
      </c>
      <c r="N197" s="12">
        <f>Table1[[#This Row],[Trip Hours]]*Table1[[#This Row],['#Angler]]</f>
        <v>0.56666666666666732</v>
      </c>
      <c r="O197" t="s">
        <v>342</v>
      </c>
      <c r="P197" t="s">
        <v>347</v>
      </c>
      <c r="Q197" t="s">
        <v>343</v>
      </c>
      <c r="R197" s="11">
        <v>0</v>
      </c>
      <c r="S197">
        <v>0</v>
      </c>
      <c r="T197">
        <v>0</v>
      </c>
      <c r="U197">
        <v>0</v>
      </c>
      <c r="V197" s="11">
        <v>0</v>
      </c>
      <c r="W197">
        <v>0</v>
      </c>
      <c r="X197">
        <v>0</v>
      </c>
      <c r="Y197">
        <v>0</v>
      </c>
      <c r="Z197" s="11">
        <f>SUM(Table1[[#This Row],[Chi Kept]],Table1[[#This Row],[Chi Released]])</f>
        <v>0</v>
      </c>
      <c r="AA197">
        <f>SUM(Table1[[#This Row],[Co Kept]],Table1[[#This Row],[Co Released ]])</f>
        <v>0</v>
      </c>
      <c r="AB197">
        <f>SUM(Table1[[#This Row],[Pink Kept]],Table1[[#This Row],[Pink Released]])</f>
        <v>0</v>
      </c>
      <c r="AC197">
        <f>SUM(Table1[[#This Row],[Chu Kept]],Table1[[#This Row],[Chu Released]])</f>
        <v>0</v>
      </c>
    </row>
    <row r="198" spans="1:31" x14ac:dyDescent="0.3">
      <c r="A198" s="7">
        <v>45910</v>
      </c>
      <c r="B198">
        <v>4</v>
      </c>
      <c r="C198" t="s">
        <v>236</v>
      </c>
      <c r="D198" t="s">
        <v>42</v>
      </c>
      <c r="E198">
        <v>16</v>
      </c>
      <c r="F198">
        <v>1</v>
      </c>
      <c r="G198">
        <v>2</v>
      </c>
      <c r="H198" t="s">
        <v>241</v>
      </c>
      <c r="I198">
        <v>1</v>
      </c>
      <c r="J198" s="10">
        <v>0.6875</v>
      </c>
      <c r="K198" s="10">
        <v>0.79374999999999996</v>
      </c>
      <c r="L198" s="10">
        <f t="shared" si="7"/>
        <v>0.10624999999999996</v>
      </c>
      <c r="M198" s="12">
        <f t="shared" si="6"/>
        <v>2.5499999999999989</v>
      </c>
      <c r="N198" s="12">
        <f>Table1[[#This Row],[Trip Hours]]*Table1[[#This Row],['#Angler]]</f>
        <v>2.5499999999999989</v>
      </c>
      <c r="O198" t="s">
        <v>342</v>
      </c>
      <c r="P198" t="s">
        <v>347</v>
      </c>
      <c r="Q198" t="s">
        <v>343</v>
      </c>
      <c r="R198" s="11">
        <v>0</v>
      </c>
      <c r="S198">
        <v>0</v>
      </c>
      <c r="T198">
        <v>0</v>
      </c>
      <c r="U198">
        <v>0</v>
      </c>
      <c r="V198" s="11">
        <v>0</v>
      </c>
      <c r="W198">
        <v>0</v>
      </c>
      <c r="X198">
        <v>0</v>
      </c>
      <c r="Y198">
        <v>0</v>
      </c>
      <c r="Z198" s="11">
        <f>SUM(Table1[[#This Row],[Chi Kept]],Table1[[#This Row],[Chi Released]])</f>
        <v>0</v>
      </c>
      <c r="AA198">
        <f>SUM(Table1[[#This Row],[Co Kept]],Table1[[#This Row],[Co Released ]])</f>
        <v>0</v>
      </c>
      <c r="AB198">
        <f>SUM(Table1[[#This Row],[Pink Kept]],Table1[[#This Row],[Pink Released]])</f>
        <v>0</v>
      </c>
      <c r="AC198">
        <f>SUM(Table1[[#This Row],[Chu Kept]],Table1[[#This Row],[Chu Released]])</f>
        <v>0</v>
      </c>
    </row>
    <row r="199" spans="1:31" x14ac:dyDescent="0.3">
      <c r="A199" s="7">
        <v>45910</v>
      </c>
      <c r="B199">
        <v>4</v>
      </c>
      <c r="C199" t="s">
        <v>236</v>
      </c>
      <c r="D199" t="s">
        <v>42</v>
      </c>
      <c r="E199">
        <v>17</v>
      </c>
      <c r="F199">
        <v>1</v>
      </c>
      <c r="G199">
        <v>2</v>
      </c>
      <c r="H199" t="s">
        <v>241</v>
      </c>
      <c r="I199">
        <v>2</v>
      </c>
      <c r="J199" s="10">
        <v>0.64583333333333337</v>
      </c>
      <c r="K199" s="10">
        <v>0.80347222222222225</v>
      </c>
      <c r="L199" s="10">
        <f t="shared" si="7"/>
        <v>0.15763888888888888</v>
      </c>
      <c r="M199" s="12">
        <f t="shared" si="6"/>
        <v>3.7833333333333332</v>
      </c>
      <c r="N199" s="12">
        <f>Table1[[#This Row],[Trip Hours]]*Table1[[#This Row],['#Angler]]</f>
        <v>7.5666666666666664</v>
      </c>
      <c r="O199" t="s">
        <v>342</v>
      </c>
      <c r="P199" t="s">
        <v>29</v>
      </c>
      <c r="Q199" t="s">
        <v>241</v>
      </c>
      <c r="R199" s="11">
        <v>0</v>
      </c>
      <c r="S199">
        <v>0</v>
      </c>
      <c r="T199">
        <v>0</v>
      </c>
      <c r="U199">
        <v>0</v>
      </c>
      <c r="V199" s="11">
        <v>0</v>
      </c>
      <c r="W199">
        <v>0</v>
      </c>
      <c r="X199">
        <v>0</v>
      </c>
      <c r="Y199">
        <v>0</v>
      </c>
      <c r="Z199" s="11">
        <f>SUM(Table1[[#This Row],[Chi Kept]],Table1[[#This Row],[Chi Released]])</f>
        <v>0</v>
      </c>
      <c r="AA199">
        <f>SUM(Table1[[#This Row],[Co Kept]],Table1[[#This Row],[Co Released ]])</f>
        <v>0</v>
      </c>
      <c r="AB199">
        <f>SUM(Table1[[#This Row],[Pink Kept]],Table1[[#This Row],[Pink Released]])</f>
        <v>0</v>
      </c>
      <c r="AC199">
        <f>SUM(Table1[[#This Row],[Chu Kept]],Table1[[#This Row],[Chu Released]])</f>
        <v>0</v>
      </c>
    </row>
    <row r="200" spans="1:31" x14ac:dyDescent="0.3">
      <c r="A200" s="7">
        <v>45910</v>
      </c>
      <c r="B200">
        <v>4</v>
      </c>
      <c r="C200" t="s">
        <v>236</v>
      </c>
      <c r="D200" t="s">
        <v>42</v>
      </c>
      <c r="E200">
        <v>18</v>
      </c>
      <c r="F200">
        <v>1</v>
      </c>
      <c r="G200">
        <v>2</v>
      </c>
      <c r="H200" t="s">
        <v>241</v>
      </c>
      <c r="I200">
        <v>2</v>
      </c>
      <c r="J200" s="10">
        <v>0.80208333333333337</v>
      </c>
      <c r="K200" s="10">
        <v>0.81041666666666667</v>
      </c>
      <c r="L200" s="10">
        <f t="shared" si="7"/>
        <v>8.3333333333333037E-3</v>
      </c>
      <c r="M200" s="12">
        <f t="shared" si="6"/>
        <v>0.19999999999999929</v>
      </c>
      <c r="N200" s="12">
        <f>Table1[[#This Row],[Trip Hours]]*Table1[[#This Row],['#Angler]]</f>
        <v>0.39999999999999858</v>
      </c>
      <c r="O200" t="s">
        <v>342</v>
      </c>
      <c r="P200" t="s">
        <v>347</v>
      </c>
      <c r="Q200" t="s">
        <v>238</v>
      </c>
      <c r="R200" s="11">
        <v>0</v>
      </c>
      <c r="S200">
        <v>0</v>
      </c>
      <c r="T200">
        <v>0</v>
      </c>
      <c r="U200">
        <v>0</v>
      </c>
      <c r="V200" s="11">
        <v>0</v>
      </c>
      <c r="W200">
        <v>0</v>
      </c>
      <c r="X200">
        <v>0</v>
      </c>
      <c r="Y200">
        <v>0</v>
      </c>
      <c r="Z200" s="11">
        <f>SUM(Table1[[#This Row],[Chi Kept]],Table1[[#This Row],[Chi Released]])</f>
        <v>0</v>
      </c>
      <c r="AA200">
        <f>SUM(Table1[[#This Row],[Co Kept]],Table1[[#This Row],[Co Released ]])</f>
        <v>0</v>
      </c>
      <c r="AB200">
        <f>SUM(Table1[[#This Row],[Pink Kept]],Table1[[#This Row],[Pink Released]])</f>
        <v>0</v>
      </c>
      <c r="AC200">
        <f>SUM(Table1[[#This Row],[Chu Kept]],Table1[[#This Row],[Chu Released]])</f>
        <v>0</v>
      </c>
    </row>
    <row r="201" spans="1:31" x14ac:dyDescent="0.3">
      <c r="A201" s="7">
        <v>45917</v>
      </c>
      <c r="B201">
        <v>5</v>
      </c>
      <c r="C201" t="s">
        <v>236</v>
      </c>
      <c r="D201" t="s">
        <v>26</v>
      </c>
      <c r="E201">
        <v>1</v>
      </c>
      <c r="F201">
        <v>1</v>
      </c>
      <c r="G201">
        <v>4</v>
      </c>
      <c r="H201" t="s">
        <v>241</v>
      </c>
      <c r="I201">
        <v>1</v>
      </c>
      <c r="J201" s="10">
        <v>0.27083333333333331</v>
      </c>
      <c r="K201" s="10">
        <v>0.3840277777777778</v>
      </c>
      <c r="L201" s="10">
        <f t="shared" si="7"/>
        <v>0.11319444444444449</v>
      </c>
      <c r="M201" s="12">
        <f t="shared" si="6"/>
        <v>2.7166666666666677</v>
      </c>
      <c r="N201" s="12">
        <f>Table1[[#This Row],[Trip Hours]]*Table1[[#This Row],['#Angler]]</f>
        <v>2.7166666666666677</v>
      </c>
      <c r="O201" t="s">
        <v>342</v>
      </c>
      <c r="Q201" t="s">
        <v>247</v>
      </c>
      <c r="R201" s="11">
        <v>0</v>
      </c>
      <c r="S201">
        <v>2</v>
      </c>
      <c r="T201">
        <v>0</v>
      </c>
      <c r="U201">
        <v>0</v>
      </c>
      <c r="V201" s="11">
        <v>0</v>
      </c>
      <c r="W201">
        <v>0</v>
      </c>
      <c r="X201">
        <v>2</v>
      </c>
      <c r="Y201">
        <v>0</v>
      </c>
      <c r="Z201" s="11">
        <f>SUM(Table1[[#This Row],[Chi Kept]],Table1[[#This Row],[Chi Released]])</f>
        <v>0</v>
      </c>
      <c r="AA201">
        <f>SUM(Table1[[#This Row],[Co Kept]],Table1[[#This Row],[Co Released ]])</f>
        <v>2</v>
      </c>
      <c r="AB201">
        <f>SUM(Table1[[#This Row],[Pink Kept]],Table1[[#This Row],[Pink Released]])</f>
        <v>2</v>
      </c>
      <c r="AC201">
        <f>SUM(Table1[[#This Row],[Chu Kept]],Table1[[#This Row],[Chu Released]])</f>
        <v>0</v>
      </c>
    </row>
    <row r="202" spans="1:31" x14ac:dyDescent="0.3">
      <c r="A202" s="7">
        <v>45917</v>
      </c>
      <c r="B202">
        <v>5</v>
      </c>
      <c r="C202" t="s">
        <v>236</v>
      </c>
      <c r="D202" t="s">
        <v>26</v>
      </c>
      <c r="E202">
        <v>2</v>
      </c>
      <c r="F202">
        <v>1</v>
      </c>
      <c r="G202">
        <v>4</v>
      </c>
      <c r="H202" t="s">
        <v>241</v>
      </c>
      <c r="I202">
        <v>1</v>
      </c>
      <c r="J202" s="10">
        <v>0.29166666666666669</v>
      </c>
      <c r="K202" s="10">
        <v>0.39027777777777778</v>
      </c>
      <c r="L202" s="10">
        <f t="shared" si="7"/>
        <v>9.8611111111111094E-2</v>
      </c>
      <c r="M202" s="12">
        <f t="shared" si="6"/>
        <v>2.3666666666666663</v>
      </c>
      <c r="N202" s="12">
        <f>Table1[[#This Row],[Trip Hours]]*Table1[[#This Row],['#Angler]]</f>
        <v>2.3666666666666663</v>
      </c>
      <c r="O202" t="s">
        <v>342</v>
      </c>
      <c r="P202" t="s">
        <v>359</v>
      </c>
      <c r="R202" s="11">
        <v>0</v>
      </c>
      <c r="S202">
        <v>0</v>
      </c>
      <c r="T202">
        <v>2</v>
      </c>
      <c r="U202">
        <v>0</v>
      </c>
      <c r="V202" s="11">
        <v>0</v>
      </c>
      <c r="W202">
        <v>0</v>
      </c>
      <c r="X202">
        <v>2</v>
      </c>
      <c r="Y202">
        <v>0</v>
      </c>
      <c r="Z202" s="11">
        <f>SUM(Table1[[#This Row],[Chi Kept]],Table1[[#This Row],[Chi Released]])</f>
        <v>0</v>
      </c>
      <c r="AA202">
        <f>SUM(Table1[[#This Row],[Co Kept]],Table1[[#This Row],[Co Released ]])</f>
        <v>0</v>
      </c>
      <c r="AB202">
        <f>SUM(Table1[[#This Row],[Pink Kept]],Table1[[#This Row],[Pink Released]])</f>
        <v>4</v>
      </c>
      <c r="AC202">
        <f>SUM(Table1[[#This Row],[Chu Kept]],Table1[[#This Row],[Chu Released]])</f>
        <v>0</v>
      </c>
    </row>
    <row r="203" spans="1:31" x14ac:dyDescent="0.3">
      <c r="A203" s="7">
        <v>45917</v>
      </c>
      <c r="B203">
        <v>5</v>
      </c>
      <c r="C203" t="s">
        <v>236</v>
      </c>
      <c r="D203" t="s">
        <v>26</v>
      </c>
      <c r="E203">
        <v>3</v>
      </c>
      <c r="F203">
        <v>1</v>
      </c>
      <c r="G203">
        <v>4</v>
      </c>
      <c r="H203" t="s">
        <v>241</v>
      </c>
      <c r="I203">
        <v>2</v>
      </c>
      <c r="J203" s="10">
        <v>0.25</v>
      </c>
      <c r="K203" s="10">
        <v>0.3972222222222222</v>
      </c>
      <c r="L203" s="10">
        <f t="shared" si="7"/>
        <v>0.1472222222222222</v>
      </c>
      <c r="M203" s="12">
        <f t="shared" si="6"/>
        <v>3.5333333333333328</v>
      </c>
      <c r="N203" s="12">
        <f>Table1[[#This Row],[Trip Hours]]*Table1[[#This Row],['#Angler]]</f>
        <v>7.0666666666666655</v>
      </c>
      <c r="O203" t="s">
        <v>342</v>
      </c>
      <c r="P203" t="s">
        <v>112</v>
      </c>
      <c r="Q203" t="s">
        <v>247</v>
      </c>
      <c r="R203" s="11">
        <v>0</v>
      </c>
      <c r="S203">
        <v>0</v>
      </c>
      <c r="T203">
        <v>0</v>
      </c>
      <c r="U203">
        <v>0</v>
      </c>
      <c r="V203" s="11">
        <v>0</v>
      </c>
      <c r="W203">
        <v>0</v>
      </c>
      <c r="X203">
        <v>4</v>
      </c>
      <c r="Y203">
        <v>0</v>
      </c>
      <c r="Z203" s="11">
        <f>SUM(Table1[[#This Row],[Chi Kept]],Table1[[#This Row],[Chi Released]])</f>
        <v>0</v>
      </c>
      <c r="AA203">
        <f>SUM(Table1[[#This Row],[Co Kept]],Table1[[#This Row],[Co Released ]])</f>
        <v>0</v>
      </c>
      <c r="AB203">
        <f>SUM(Table1[[#This Row],[Pink Kept]],Table1[[#This Row],[Pink Released]])</f>
        <v>4</v>
      </c>
      <c r="AC203">
        <f>SUM(Table1[[#This Row],[Chu Kept]],Table1[[#This Row],[Chu Released]])</f>
        <v>0</v>
      </c>
    </row>
    <row r="204" spans="1:31" x14ac:dyDescent="0.3">
      <c r="A204" s="7">
        <v>45917</v>
      </c>
      <c r="B204">
        <v>5</v>
      </c>
      <c r="C204" t="s">
        <v>236</v>
      </c>
      <c r="D204" t="s">
        <v>26</v>
      </c>
      <c r="E204">
        <v>4</v>
      </c>
      <c r="F204">
        <v>1</v>
      </c>
      <c r="G204">
        <v>4</v>
      </c>
      <c r="H204" t="s">
        <v>241</v>
      </c>
      <c r="I204">
        <v>1</v>
      </c>
      <c r="J204" s="10">
        <v>0.35416666666666669</v>
      </c>
      <c r="K204" s="10">
        <v>0.40069444444444446</v>
      </c>
      <c r="L204" s="10">
        <f t="shared" si="7"/>
        <v>4.6527777777777779E-2</v>
      </c>
      <c r="M204" s="12">
        <f t="shared" si="6"/>
        <v>1.1166666666666667</v>
      </c>
      <c r="N204" s="12">
        <f>Table1[[#This Row],[Trip Hours]]*Table1[[#This Row],['#Angler]]</f>
        <v>1.1166666666666667</v>
      </c>
      <c r="O204" t="s">
        <v>342</v>
      </c>
      <c r="P204" t="s">
        <v>73</v>
      </c>
      <c r="Q204" t="s">
        <v>241</v>
      </c>
      <c r="R204" s="11">
        <v>0</v>
      </c>
      <c r="S204">
        <v>0</v>
      </c>
      <c r="T204">
        <v>1</v>
      </c>
      <c r="U204">
        <v>0</v>
      </c>
      <c r="V204" s="11">
        <v>0</v>
      </c>
      <c r="W204">
        <v>0</v>
      </c>
      <c r="X204">
        <v>0</v>
      </c>
      <c r="Y204">
        <v>0</v>
      </c>
      <c r="Z204" s="11">
        <f>SUM(Table1[[#This Row],[Chi Kept]],Table1[[#This Row],[Chi Released]])</f>
        <v>0</v>
      </c>
      <c r="AA204">
        <f>SUM(Table1[[#This Row],[Co Kept]],Table1[[#This Row],[Co Released ]])</f>
        <v>0</v>
      </c>
      <c r="AB204">
        <f>SUM(Table1[[#This Row],[Pink Kept]],Table1[[#This Row],[Pink Released]])</f>
        <v>1</v>
      </c>
      <c r="AC204">
        <f>SUM(Table1[[#This Row],[Chu Kept]],Table1[[#This Row],[Chu Released]])</f>
        <v>0</v>
      </c>
    </row>
    <row r="205" spans="1:31" x14ac:dyDescent="0.3">
      <c r="A205" s="7">
        <v>45917</v>
      </c>
      <c r="B205">
        <v>5</v>
      </c>
      <c r="C205" t="s">
        <v>236</v>
      </c>
      <c r="D205" t="s">
        <v>26</v>
      </c>
      <c r="E205">
        <v>5</v>
      </c>
      <c r="F205">
        <v>1</v>
      </c>
      <c r="G205">
        <v>4</v>
      </c>
      <c r="H205" t="s">
        <v>241</v>
      </c>
      <c r="I205">
        <v>2</v>
      </c>
      <c r="J205" s="10">
        <v>0.35416666666666669</v>
      </c>
      <c r="K205" s="10">
        <v>0.41458333333333336</v>
      </c>
      <c r="L205" s="10">
        <f t="shared" si="7"/>
        <v>6.0416666666666674E-2</v>
      </c>
      <c r="M205" s="12">
        <f t="shared" si="6"/>
        <v>1.4500000000000002</v>
      </c>
      <c r="N205" s="12">
        <f>Table1[[#This Row],[Trip Hours]]*Table1[[#This Row],['#Angler]]</f>
        <v>2.9000000000000004</v>
      </c>
      <c r="O205" t="s">
        <v>342</v>
      </c>
      <c r="P205" t="s">
        <v>347</v>
      </c>
      <c r="Q205" t="s">
        <v>343</v>
      </c>
      <c r="R205" s="11">
        <v>0</v>
      </c>
      <c r="S205">
        <v>0</v>
      </c>
      <c r="T205">
        <v>0</v>
      </c>
      <c r="U205">
        <v>0</v>
      </c>
      <c r="V205" s="11">
        <v>0</v>
      </c>
      <c r="W205">
        <v>0</v>
      </c>
      <c r="X205">
        <v>0</v>
      </c>
      <c r="Y205">
        <v>0</v>
      </c>
      <c r="Z205" s="11">
        <f>SUM(Table1[[#This Row],[Chi Kept]],Table1[[#This Row],[Chi Released]])</f>
        <v>0</v>
      </c>
      <c r="AA205">
        <f>SUM(Table1[[#This Row],[Co Kept]],Table1[[#This Row],[Co Released ]])</f>
        <v>0</v>
      </c>
      <c r="AB205">
        <f>SUM(Table1[[#This Row],[Pink Kept]],Table1[[#This Row],[Pink Released]])</f>
        <v>0</v>
      </c>
      <c r="AC205">
        <f>SUM(Table1[[#This Row],[Chu Kept]],Table1[[#This Row],[Chu Released]])</f>
        <v>0</v>
      </c>
    </row>
    <row r="206" spans="1:31" x14ac:dyDescent="0.3">
      <c r="A206" s="7">
        <v>45917</v>
      </c>
      <c r="B206">
        <v>5</v>
      </c>
      <c r="C206" t="s">
        <v>236</v>
      </c>
      <c r="D206" t="s">
        <v>26</v>
      </c>
      <c r="E206">
        <v>6</v>
      </c>
      <c r="F206">
        <v>1</v>
      </c>
      <c r="G206">
        <v>4</v>
      </c>
      <c r="H206" t="s">
        <v>241</v>
      </c>
      <c r="I206">
        <v>2</v>
      </c>
      <c r="J206" s="10">
        <v>0.35416666666666669</v>
      </c>
      <c r="K206" s="10">
        <v>0.42430555555555555</v>
      </c>
      <c r="L206" s="10">
        <f t="shared" si="7"/>
        <v>7.0138888888888862E-2</v>
      </c>
      <c r="M206" s="12">
        <f t="shared" si="6"/>
        <v>1.6833333333333327</v>
      </c>
      <c r="N206" s="12">
        <f>Table1[[#This Row],[Trip Hours]]*Table1[[#This Row],['#Angler]]</f>
        <v>3.3666666666666654</v>
      </c>
      <c r="O206" t="s">
        <v>342</v>
      </c>
      <c r="P206" t="s">
        <v>360</v>
      </c>
      <c r="Q206" t="s">
        <v>241</v>
      </c>
      <c r="R206" s="11">
        <v>0</v>
      </c>
      <c r="S206">
        <v>0</v>
      </c>
      <c r="T206">
        <v>0</v>
      </c>
      <c r="U206">
        <v>0</v>
      </c>
      <c r="V206" s="11">
        <v>0</v>
      </c>
      <c r="W206">
        <v>0</v>
      </c>
      <c r="X206">
        <v>0</v>
      </c>
      <c r="Y206">
        <v>0</v>
      </c>
      <c r="Z206" s="11">
        <f>SUM(Table1[[#This Row],[Chi Kept]],Table1[[#This Row],[Chi Released]])</f>
        <v>0</v>
      </c>
      <c r="AA206">
        <f>SUM(Table1[[#This Row],[Co Kept]],Table1[[#This Row],[Co Released ]])</f>
        <v>0</v>
      </c>
      <c r="AB206">
        <f>SUM(Table1[[#This Row],[Pink Kept]],Table1[[#This Row],[Pink Released]])</f>
        <v>0</v>
      </c>
      <c r="AC206">
        <f>SUM(Table1[[#This Row],[Chu Kept]],Table1[[#This Row],[Chu Released]])</f>
        <v>0</v>
      </c>
    </row>
    <row r="207" spans="1:31" x14ac:dyDescent="0.3">
      <c r="A207" s="7">
        <v>45917</v>
      </c>
      <c r="B207">
        <v>5</v>
      </c>
      <c r="C207" t="s">
        <v>236</v>
      </c>
      <c r="D207" t="s">
        <v>26</v>
      </c>
      <c r="E207">
        <v>7</v>
      </c>
      <c r="F207">
        <v>1</v>
      </c>
      <c r="G207">
        <v>4</v>
      </c>
      <c r="H207" t="s">
        <v>241</v>
      </c>
      <c r="I207">
        <v>2</v>
      </c>
      <c r="J207" s="10">
        <v>0.29166666666666669</v>
      </c>
      <c r="K207" s="10">
        <v>0.42569444444444443</v>
      </c>
      <c r="L207" s="10">
        <f t="shared" si="7"/>
        <v>0.13402777777777775</v>
      </c>
      <c r="M207" s="12">
        <f t="shared" si="6"/>
        <v>3.2166666666666659</v>
      </c>
      <c r="N207" s="12">
        <f>Table1[[#This Row],[Trip Hours]]*Table1[[#This Row],['#Angler]]</f>
        <v>6.4333333333333318</v>
      </c>
      <c r="O207" t="s">
        <v>342</v>
      </c>
      <c r="P207" t="s">
        <v>56</v>
      </c>
      <c r="Q207" t="s">
        <v>247</v>
      </c>
      <c r="R207" s="11">
        <v>0</v>
      </c>
      <c r="S207">
        <v>4</v>
      </c>
      <c r="T207">
        <v>0</v>
      </c>
      <c r="U207">
        <v>0</v>
      </c>
      <c r="V207" s="11">
        <v>0</v>
      </c>
      <c r="W207">
        <v>0</v>
      </c>
      <c r="X207">
        <v>0</v>
      </c>
      <c r="Y207">
        <v>0</v>
      </c>
      <c r="Z207" s="11">
        <f>SUM(Table1[[#This Row],[Chi Kept]],Table1[[#This Row],[Chi Released]])</f>
        <v>0</v>
      </c>
      <c r="AA207">
        <f>SUM(Table1[[#This Row],[Co Kept]],Table1[[#This Row],[Co Released ]])</f>
        <v>4</v>
      </c>
      <c r="AB207">
        <f>SUM(Table1[[#This Row],[Pink Kept]],Table1[[#This Row],[Pink Released]])</f>
        <v>0</v>
      </c>
      <c r="AC207">
        <f>SUM(Table1[[#This Row],[Chu Kept]],Table1[[#This Row],[Chu Released]])</f>
        <v>0</v>
      </c>
    </row>
    <row r="208" spans="1:31" x14ac:dyDescent="0.3">
      <c r="A208" s="7">
        <v>45917</v>
      </c>
      <c r="B208">
        <v>5</v>
      </c>
      <c r="C208" t="s">
        <v>236</v>
      </c>
      <c r="D208" t="s">
        <v>26</v>
      </c>
      <c r="E208">
        <v>8</v>
      </c>
      <c r="F208">
        <v>1</v>
      </c>
      <c r="G208">
        <v>4</v>
      </c>
      <c r="H208" t="s">
        <v>241</v>
      </c>
      <c r="I208">
        <v>1</v>
      </c>
      <c r="J208" s="10">
        <v>0.35416666666666669</v>
      </c>
      <c r="K208" s="10">
        <v>0.42777777777777776</v>
      </c>
      <c r="L208" s="10">
        <f t="shared" si="7"/>
        <v>7.3611111111111072E-2</v>
      </c>
      <c r="M208" s="12">
        <f t="shared" si="6"/>
        <v>1.7666666666666657</v>
      </c>
      <c r="N208" s="12">
        <f>Table1[[#This Row],[Trip Hours]]*Table1[[#This Row],['#Angler]]</f>
        <v>1.7666666666666657</v>
      </c>
      <c r="O208" t="s">
        <v>342</v>
      </c>
      <c r="Q208" t="s">
        <v>241</v>
      </c>
      <c r="R208" s="11">
        <v>0</v>
      </c>
      <c r="S208">
        <v>0</v>
      </c>
      <c r="T208">
        <v>0</v>
      </c>
      <c r="U208">
        <v>0</v>
      </c>
      <c r="V208" s="11">
        <v>0</v>
      </c>
      <c r="W208">
        <v>0</v>
      </c>
      <c r="X208">
        <v>0</v>
      </c>
      <c r="Y208">
        <v>0</v>
      </c>
      <c r="Z208" s="11">
        <f>SUM(Table1[[#This Row],[Chi Kept]],Table1[[#This Row],[Chi Released]])</f>
        <v>0</v>
      </c>
      <c r="AA208">
        <f>SUM(Table1[[#This Row],[Co Kept]],Table1[[#This Row],[Co Released ]])</f>
        <v>0</v>
      </c>
      <c r="AB208">
        <f>SUM(Table1[[#This Row],[Pink Kept]],Table1[[#This Row],[Pink Released]])</f>
        <v>0</v>
      </c>
      <c r="AC208">
        <f>SUM(Table1[[#This Row],[Chu Kept]],Table1[[#This Row],[Chu Released]])</f>
        <v>0</v>
      </c>
    </row>
    <row r="209" spans="1:29" x14ac:dyDescent="0.3">
      <c r="A209" s="7">
        <v>45917</v>
      </c>
      <c r="B209">
        <v>5</v>
      </c>
      <c r="C209" t="s">
        <v>236</v>
      </c>
      <c r="D209" t="s">
        <v>26</v>
      </c>
      <c r="E209">
        <v>9</v>
      </c>
      <c r="F209">
        <v>1</v>
      </c>
      <c r="G209">
        <v>4</v>
      </c>
      <c r="H209" t="s">
        <v>241</v>
      </c>
      <c r="I209">
        <v>2</v>
      </c>
      <c r="J209" s="10">
        <v>0.29166666666666669</v>
      </c>
      <c r="K209" s="10">
        <v>0.44791666666666669</v>
      </c>
      <c r="L209" s="10">
        <f t="shared" si="7"/>
        <v>0.15625</v>
      </c>
      <c r="M209" s="12">
        <f t="shared" si="6"/>
        <v>3.75</v>
      </c>
      <c r="N209" s="12">
        <f>Table1[[#This Row],[Trip Hours]]*Table1[[#This Row],['#Angler]]</f>
        <v>7.5</v>
      </c>
      <c r="O209" t="s">
        <v>342</v>
      </c>
      <c r="P209" t="s">
        <v>361</v>
      </c>
      <c r="Q209" t="s">
        <v>247</v>
      </c>
      <c r="R209" s="11">
        <v>0</v>
      </c>
      <c r="S209">
        <v>0</v>
      </c>
      <c r="T209">
        <v>0</v>
      </c>
      <c r="U209">
        <v>0</v>
      </c>
      <c r="V209" s="11">
        <v>0</v>
      </c>
      <c r="W209">
        <v>0</v>
      </c>
      <c r="X209">
        <v>2</v>
      </c>
      <c r="Y209">
        <v>0</v>
      </c>
      <c r="Z209" s="11">
        <f>SUM(Table1[[#This Row],[Chi Kept]],Table1[[#This Row],[Chi Released]])</f>
        <v>0</v>
      </c>
      <c r="AA209">
        <f>SUM(Table1[[#This Row],[Co Kept]],Table1[[#This Row],[Co Released ]])</f>
        <v>0</v>
      </c>
      <c r="AB209">
        <f>SUM(Table1[[#This Row],[Pink Kept]],Table1[[#This Row],[Pink Released]])</f>
        <v>2</v>
      </c>
      <c r="AC209">
        <f>SUM(Table1[[#This Row],[Chu Kept]],Table1[[#This Row],[Chu Released]])</f>
        <v>0</v>
      </c>
    </row>
    <row r="210" spans="1:29" x14ac:dyDescent="0.3">
      <c r="A210" s="7">
        <v>45917</v>
      </c>
      <c r="B210">
        <v>5</v>
      </c>
      <c r="C210" t="s">
        <v>236</v>
      </c>
      <c r="D210" t="s">
        <v>26</v>
      </c>
      <c r="E210">
        <v>10</v>
      </c>
      <c r="F210">
        <v>1</v>
      </c>
      <c r="G210">
        <v>4</v>
      </c>
      <c r="H210" t="s">
        <v>241</v>
      </c>
      <c r="I210">
        <v>2</v>
      </c>
      <c r="J210" s="10">
        <v>0.3125</v>
      </c>
      <c r="K210" s="10">
        <v>0.45</v>
      </c>
      <c r="L210" s="10">
        <f t="shared" si="7"/>
        <v>0.13750000000000001</v>
      </c>
      <c r="M210" s="12">
        <f t="shared" si="6"/>
        <v>3.3000000000000003</v>
      </c>
      <c r="N210" s="12">
        <f>Table1[[#This Row],[Trip Hours]]*Table1[[#This Row],['#Angler]]</f>
        <v>6.6000000000000005</v>
      </c>
      <c r="O210" t="s">
        <v>342</v>
      </c>
      <c r="P210" t="s">
        <v>347</v>
      </c>
      <c r="Q210" t="s">
        <v>343</v>
      </c>
      <c r="R210" s="11">
        <v>0</v>
      </c>
      <c r="S210">
        <v>0</v>
      </c>
      <c r="T210">
        <v>2</v>
      </c>
      <c r="U210">
        <v>0</v>
      </c>
      <c r="V210" s="11">
        <v>0</v>
      </c>
      <c r="W210">
        <v>0</v>
      </c>
      <c r="X210">
        <v>2</v>
      </c>
      <c r="Y210">
        <v>0</v>
      </c>
      <c r="Z210" s="11">
        <f>SUM(Table1[[#This Row],[Chi Kept]],Table1[[#This Row],[Chi Released]])</f>
        <v>0</v>
      </c>
      <c r="AA210">
        <f>SUM(Table1[[#This Row],[Co Kept]],Table1[[#This Row],[Co Released ]])</f>
        <v>0</v>
      </c>
      <c r="AB210">
        <f>SUM(Table1[[#This Row],[Pink Kept]],Table1[[#This Row],[Pink Released]])</f>
        <v>4</v>
      </c>
      <c r="AC210">
        <f>SUM(Table1[[#This Row],[Chu Kept]],Table1[[#This Row],[Chu Released]])</f>
        <v>0</v>
      </c>
    </row>
    <row r="211" spans="1:29" x14ac:dyDescent="0.3">
      <c r="A211" s="7">
        <v>45917</v>
      </c>
      <c r="B211">
        <v>5</v>
      </c>
      <c r="C211" t="s">
        <v>236</v>
      </c>
      <c r="D211" t="s">
        <v>26</v>
      </c>
      <c r="E211">
        <v>11</v>
      </c>
      <c r="F211">
        <v>1</v>
      </c>
      <c r="G211">
        <v>4</v>
      </c>
      <c r="H211" t="s">
        <v>241</v>
      </c>
      <c r="I211">
        <v>1</v>
      </c>
      <c r="J211" s="10">
        <v>0.30208333333333331</v>
      </c>
      <c r="K211" s="10">
        <v>0.45694444444444443</v>
      </c>
      <c r="L211" s="10">
        <f t="shared" si="7"/>
        <v>0.15486111111111112</v>
      </c>
      <c r="M211" s="12">
        <f t="shared" si="6"/>
        <v>3.7166666666666668</v>
      </c>
      <c r="N211" s="12">
        <f>Table1[[#This Row],[Trip Hours]]*Table1[[#This Row],['#Angler]]</f>
        <v>3.7166666666666668</v>
      </c>
      <c r="O211" t="s">
        <v>342</v>
      </c>
      <c r="P211" t="s">
        <v>347</v>
      </c>
      <c r="Q211" t="s">
        <v>345</v>
      </c>
      <c r="R211" s="11">
        <v>0</v>
      </c>
      <c r="S211">
        <v>0</v>
      </c>
      <c r="T211">
        <v>2</v>
      </c>
      <c r="U211">
        <v>0</v>
      </c>
      <c r="V211" s="11">
        <v>0</v>
      </c>
      <c r="W211">
        <v>0</v>
      </c>
      <c r="X211">
        <v>0</v>
      </c>
      <c r="Y211">
        <v>0</v>
      </c>
      <c r="Z211" s="11">
        <f>SUM(Table1[[#This Row],[Chi Kept]],Table1[[#This Row],[Chi Released]])</f>
        <v>0</v>
      </c>
      <c r="AA211">
        <f>SUM(Table1[[#This Row],[Co Kept]],Table1[[#This Row],[Co Released ]])</f>
        <v>0</v>
      </c>
      <c r="AB211">
        <f>SUM(Table1[[#This Row],[Pink Kept]],Table1[[#This Row],[Pink Released]])</f>
        <v>2</v>
      </c>
      <c r="AC211">
        <f>SUM(Table1[[#This Row],[Chu Kept]],Table1[[#This Row],[Chu Released]])</f>
        <v>0</v>
      </c>
    </row>
    <row r="212" spans="1:29" x14ac:dyDescent="0.3">
      <c r="A212" s="7">
        <v>45917</v>
      </c>
      <c r="B212">
        <v>5</v>
      </c>
      <c r="C212" t="s">
        <v>236</v>
      </c>
      <c r="D212" t="s">
        <v>42</v>
      </c>
      <c r="E212">
        <v>12</v>
      </c>
      <c r="F212">
        <v>3</v>
      </c>
      <c r="G212">
        <v>2</v>
      </c>
      <c r="H212" t="s">
        <v>241</v>
      </c>
      <c r="I212">
        <v>1</v>
      </c>
      <c r="J212" s="10">
        <v>0.58333333333333337</v>
      </c>
      <c r="K212" s="10">
        <v>0.71666666666666667</v>
      </c>
      <c r="L212" s="10">
        <f t="shared" si="7"/>
        <v>0.1333333333333333</v>
      </c>
      <c r="M212" s="12">
        <f t="shared" si="6"/>
        <v>3.1999999999999993</v>
      </c>
      <c r="N212" s="12">
        <f>Table1[[#This Row],[Trip Hours]]*Table1[[#This Row],['#Angler]]</f>
        <v>3.1999999999999993</v>
      </c>
      <c r="O212" t="s">
        <v>342</v>
      </c>
      <c r="Q212" t="s">
        <v>343</v>
      </c>
      <c r="R212" s="11">
        <v>0</v>
      </c>
      <c r="S212">
        <v>0</v>
      </c>
      <c r="T212">
        <v>2</v>
      </c>
      <c r="U212">
        <v>0</v>
      </c>
      <c r="V212" s="11">
        <v>0</v>
      </c>
      <c r="W212">
        <v>0</v>
      </c>
      <c r="X212">
        <v>0</v>
      </c>
      <c r="Y212">
        <v>0</v>
      </c>
      <c r="Z212" s="11">
        <f>SUM(Table1[[#This Row],[Chi Kept]],Table1[[#This Row],[Chi Released]])</f>
        <v>0</v>
      </c>
      <c r="AA212">
        <f>SUM(Table1[[#This Row],[Co Kept]],Table1[[#This Row],[Co Released ]])</f>
        <v>0</v>
      </c>
      <c r="AB212">
        <f>SUM(Table1[[#This Row],[Pink Kept]],Table1[[#This Row],[Pink Released]])</f>
        <v>2</v>
      </c>
      <c r="AC212">
        <f>SUM(Table1[[#This Row],[Chu Kept]],Table1[[#This Row],[Chu Released]])</f>
        <v>0</v>
      </c>
    </row>
    <row r="213" spans="1:29" x14ac:dyDescent="0.3">
      <c r="A213" s="7">
        <v>45917</v>
      </c>
      <c r="B213">
        <v>5</v>
      </c>
      <c r="C213" t="s">
        <v>236</v>
      </c>
      <c r="D213" t="s">
        <v>42</v>
      </c>
      <c r="E213">
        <v>13</v>
      </c>
      <c r="F213">
        <v>3</v>
      </c>
      <c r="G213">
        <v>6</v>
      </c>
      <c r="H213" t="s">
        <v>241</v>
      </c>
      <c r="I213">
        <v>2</v>
      </c>
      <c r="J213" s="10">
        <v>0.58333333333333337</v>
      </c>
      <c r="K213" s="10">
        <v>0.74652777777777779</v>
      </c>
      <c r="L213" s="10">
        <f t="shared" si="7"/>
        <v>0.16319444444444442</v>
      </c>
      <c r="M213" s="12">
        <f t="shared" si="6"/>
        <v>3.9166666666666661</v>
      </c>
      <c r="N213" s="12">
        <f>Table1[[#This Row],[Trip Hours]]*Table1[[#This Row],['#Angler]]</f>
        <v>7.8333333333333321</v>
      </c>
      <c r="O213" t="s">
        <v>342</v>
      </c>
      <c r="Q213" t="s">
        <v>241</v>
      </c>
      <c r="R213" s="11">
        <v>0</v>
      </c>
      <c r="S213">
        <v>0</v>
      </c>
      <c r="T213">
        <v>0</v>
      </c>
      <c r="U213">
        <v>0</v>
      </c>
      <c r="V213" s="11">
        <v>0</v>
      </c>
      <c r="W213">
        <v>0</v>
      </c>
      <c r="X213">
        <v>2</v>
      </c>
      <c r="Y213">
        <v>0</v>
      </c>
      <c r="Z213" s="11">
        <f>SUM(Table1[[#This Row],[Chi Kept]],Table1[[#This Row],[Chi Released]])</f>
        <v>0</v>
      </c>
      <c r="AA213">
        <f>SUM(Table1[[#This Row],[Co Kept]],Table1[[#This Row],[Co Released ]])</f>
        <v>0</v>
      </c>
      <c r="AB213">
        <f>SUM(Table1[[#This Row],[Pink Kept]],Table1[[#This Row],[Pink Released]])</f>
        <v>2</v>
      </c>
      <c r="AC213">
        <f>SUM(Table1[[#This Row],[Chu Kept]],Table1[[#This Row],[Chu Released]])</f>
        <v>0</v>
      </c>
    </row>
    <row r="214" spans="1:29" x14ac:dyDescent="0.3">
      <c r="A214" s="7">
        <v>45918</v>
      </c>
      <c r="B214">
        <v>5</v>
      </c>
      <c r="C214" t="s">
        <v>236</v>
      </c>
      <c r="D214" t="s">
        <v>26</v>
      </c>
      <c r="E214">
        <v>1</v>
      </c>
      <c r="F214">
        <v>2</v>
      </c>
      <c r="G214">
        <v>1</v>
      </c>
      <c r="H214" t="s">
        <v>241</v>
      </c>
      <c r="I214">
        <v>1</v>
      </c>
      <c r="J214" s="10">
        <v>0.27083333333333331</v>
      </c>
      <c r="K214" s="10">
        <v>0.31944444444444442</v>
      </c>
      <c r="L214" s="10">
        <f t="shared" si="7"/>
        <v>4.8611111111111105E-2</v>
      </c>
      <c r="M214" s="12">
        <f t="shared" si="6"/>
        <v>1.1666666666666665</v>
      </c>
      <c r="N214" s="12">
        <f>Table1[[#This Row],[Trip Hours]]*Table1[[#This Row],['#Angler]]</f>
        <v>1.1666666666666665</v>
      </c>
      <c r="O214" t="s">
        <v>342</v>
      </c>
      <c r="P214" t="s">
        <v>148</v>
      </c>
      <c r="R214" s="11">
        <v>0</v>
      </c>
      <c r="S214">
        <v>0</v>
      </c>
      <c r="T214">
        <v>2</v>
      </c>
      <c r="U214">
        <v>0</v>
      </c>
      <c r="V214" s="11">
        <v>0</v>
      </c>
      <c r="W214">
        <v>0</v>
      </c>
      <c r="X214">
        <v>0</v>
      </c>
      <c r="Y214">
        <v>0</v>
      </c>
      <c r="Z214" s="11">
        <f>SUM(Table1[[#This Row],[Chi Kept]],Table1[[#This Row],[Chi Released]])</f>
        <v>0</v>
      </c>
      <c r="AA214">
        <f>SUM(Table1[[#This Row],[Co Kept]],Table1[[#This Row],[Co Released ]])</f>
        <v>0</v>
      </c>
      <c r="AB214">
        <f>SUM(Table1[[#This Row],[Pink Kept]],Table1[[#This Row],[Pink Released]])</f>
        <v>2</v>
      </c>
      <c r="AC214">
        <f>SUM(Table1[[#This Row],[Chu Kept]],Table1[[#This Row],[Chu Released]])</f>
        <v>0</v>
      </c>
    </row>
    <row r="215" spans="1:29" x14ac:dyDescent="0.3">
      <c r="A215" s="7">
        <v>45918</v>
      </c>
      <c r="B215">
        <v>5</v>
      </c>
      <c r="C215" t="s">
        <v>236</v>
      </c>
      <c r="D215" t="s">
        <v>26</v>
      </c>
      <c r="E215">
        <v>2</v>
      </c>
      <c r="F215">
        <v>2</v>
      </c>
      <c r="G215">
        <v>1</v>
      </c>
      <c r="H215" t="s">
        <v>241</v>
      </c>
      <c r="I215">
        <v>1</v>
      </c>
      <c r="J215" s="10">
        <v>0.27083333333333331</v>
      </c>
      <c r="K215" s="10">
        <v>0.32361111111111113</v>
      </c>
      <c r="L215" s="10">
        <f t="shared" si="7"/>
        <v>5.2777777777777812E-2</v>
      </c>
      <c r="M215" s="12">
        <f t="shared" si="6"/>
        <v>1.2666666666666675</v>
      </c>
      <c r="N215" s="12">
        <f>Table1[[#This Row],[Trip Hours]]*Table1[[#This Row],['#Angler]]</f>
        <v>1.2666666666666675</v>
      </c>
      <c r="O215" t="s">
        <v>349</v>
      </c>
      <c r="P215" t="s">
        <v>56</v>
      </c>
      <c r="Q215" t="s">
        <v>247</v>
      </c>
      <c r="R215" s="11">
        <v>0</v>
      </c>
      <c r="S215">
        <v>0</v>
      </c>
      <c r="T215">
        <v>0</v>
      </c>
      <c r="U215">
        <v>0</v>
      </c>
      <c r="V215" s="11">
        <v>0</v>
      </c>
      <c r="W215">
        <v>0</v>
      </c>
      <c r="X215">
        <v>0</v>
      </c>
      <c r="Y215">
        <v>0</v>
      </c>
      <c r="Z215" s="11">
        <f>SUM(Table1[[#This Row],[Chi Kept]],Table1[[#This Row],[Chi Released]])</f>
        <v>0</v>
      </c>
      <c r="AA215">
        <f>SUM(Table1[[#This Row],[Co Kept]],Table1[[#This Row],[Co Released ]])</f>
        <v>0</v>
      </c>
      <c r="AB215">
        <f>SUM(Table1[[#This Row],[Pink Kept]],Table1[[#This Row],[Pink Released]])</f>
        <v>0</v>
      </c>
      <c r="AC215">
        <f>SUM(Table1[[#This Row],[Chu Kept]],Table1[[#This Row],[Chu Released]])</f>
        <v>0</v>
      </c>
    </row>
    <row r="216" spans="1:29" x14ac:dyDescent="0.3">
      <c r="A216" s="7">
        <v>45918</v>
      </c>
      <c r="B216">
        <v>5</v>
      </c>
      <c r="C216" t="s">
        <v>236</v>
      </c>
      <c r="D216" t="s">
        <v>26</v>
      </c>
      <c r="E216">
        <v>3</v>
      </c>
      <c r="F216">
        <v>2</v>
      </c>
      <c r="G216">
        <v>1</v>
      </c>
      <c r="H216" t="s">
        <v>241</v>
      </c>
      <c r="I216">
        <v>1</v>
      </c>
      <c r="J216" s="10">
        <v>0.29166666666666669</v>
      </c>
      <c r="K216" s="10">
        <v>0.32430555555555557</v>
      </c>
      <c r="L216" s="10">
        <f t="shared" si="7"/>
        <v>3.2638888888888884E-2</v>
      </c>
      <c r="M216" s="12">
        <f t="shared" si="6"/>
        <v>0.78333333333333321</v>
      </c>
      <c r="N216" s="12">
        <f>Table1[[#This Row],[Trip Hours]]*Table1[[#This Row],['#Angler]]</f>
        <v>0.78333333333333321</v>
      </c>
      <c r="O216" t="s">
        <v>349</v>
      </c>
      <c r="P216" t="s">
        <v>56</v>
      </c>
      <c r="Q216" t="s">
        <v>247</v>
      </c>
      <c r="R216" s="11">
        <v>0</v>
      </c>
      <c r="S216">
        <v>1</v>
      </c>
      <c r="T216">
        <v>0</v>
      </c>
      <c r="U216">
        <v>0</v>
      </c>
      <c r="V216" s="11">
        <v>0</v>
      </c>
      <c r="W216">
        <v>0</v>
      </c>
      <c r="X216">
        <v>0</v>
      </c>
      <c r="Y216">
        <v>0</v>
      </c>
      <c r="Z216" s="11">
        <f>SUM(Table1[[#This Row],[Chi Kept]],Table1[[#This Row],[Chi Released]])</f>
        <v>0</v>
      </c>
      <c r="AA216">
        <f>SUM(Table1[[#This Row],[Co Kept]],Table1[[#This Row],[Co Released ]])</f>
        <v>1</v>
      </c>
      <c r="AB216">
        <f>SUM(Table1[[#This Row],[Pink Kept]],Table1[[#This Row],[Pink Released]])</f>
        <v>0</v>
      </c>
      <c r="AC216">
        <f>SUM(Table1[[#This Row],[Chu Kept]],Table1[[#This Row],[Chu Released]])</f>
        <v>0</v>
      </c>
    </row>
    <row r="217" spans="1:29" x14ac:dyDescent="0.3">
      <c r="A217" s="7">
        <v>45918</v>
      </c>
      <c r="B217">
        <v>5</v>
      </c>
      <c r="C217" t="s">
        <v>236</v>
      </c>
      <c r="D217" t="s">
        <v>26</v>
      </c>
      <c r="E217">
        <v>4</v>
      </c>
      <c r="F217">
        <v>2</v>
      </c>
      <c r="G217">
        <v>1</v>
      </c>
      <c r="H217" t="s">
        <v>241</v>
      </c>
      <c r="I217">
        <v>1</v>
      </c>
      <c r="J217" s="10">
        <v>0.27083333333333331</v>
      </c>
      <c r="K217" s="10">
        <v>0.3263888888888889</v>
      </c>
      <c r="L217" s="10">
        <f t="shared" si="7"/>
        <v>5.555555555555558E-2</v>
      </c>
      <c r="M217" s="12">
        <f t="shared" si="6"/>
        <v>1.3333333333333339</v>
      </c>
      <c r="N217" s="12">
        <f>Table1[[#This Row],[Trip Hours]]*Table1[[#This Row],['#Angler]]</f>
        <v>1.3333333333333339</v>
      </c>
      <c r="O217" t="s">
        <v>349</v>
      </c>
      <c r="P217" t="s">
        <v>56</v>
      </c>
      <c r="Q217" t="s">
        <v>247</v>
      </c>
      <c r="R217" s="11">
        <v>0</v>
      </c>
      <c r="S217">
        <v>0</v>
      </c>
      <c r="T217">
        <v>0</v>
      </c>
      <c r="U217">
        <v>0</v>
      </c>
      <c r="V217" s="11">
        <v>0</v>
      </c>
      <c r="W217">
        <v>0</v>
      </c>
      <c r="X217">
        <v>0</v>
      </c>
      <c r="Y217">
        <v>0</v>
      </c>
      <c r="Z217" s="11">
        <f>SUM(Table1[[#This Row],[Chi Kept]],Table1[[#This Row],[Chi Released]])</f>
        <v>0</v>
      </c>
      <c r="AA217">
        <f>SUM(Table1[[#This Row],[Co Kept]],Table1[[#This Row],[Co Released ]])</f>
        <v>0</v>
      </c>
      <c r="AB217">
        <f>SUM(Table1[[#This Row],[Pink Kept]],Table1[[#This Row],[Pink Released]])</f>
        <v>0</v>
      </c>
      <c r="AC217">
        <f>SUM(Table1[[#This Row],[Chu Kept]],Table1[[#This Row],[Chu Released]])</f>
        <v>0</v>
      </c>
    </row>
    <row r="218" spans="1:29" x14ac:dyDescent="0.3">
      <c r="A218" s="7">
        <v>45918</v>
      </c>
      <c r="B218">
        <v>5</v>
      </c>
      <c r="C218" t="s">
        <v>236</v>
      </c>
      <c r="D218" t="s">
        <v>26</v>
      </c>
      <c r="E218">
        <v>5</v>
      </c>
      <c r="F218">
        <v>2</v>
      </c>
      <c r="G218">
        <v>1</v>
      </c>
      <c r="H218" t="s">
        <v>241</v>
      </c>
      <c r="I218">
        <v>3</v>
      </c>
      <c r="J218" s="10">
        <v>0.27083333333333331</v>
      </c>
      <c r="K218" s="10">
        <v>0.32777777777777778</v>
      </c>
      <c r="L218" s="10">
        <f t="shared" si="7"/>
        <v>5.6944444444444464E-2</v>
      </c>
      <c r="M218" s="12">
        <f t="shared" si="6"/>
        <v>1.3666666666666671</v>
      </c>
      <c r="N218" s="12">
        <f>Table1[[#This Row],[Trip Hours]]*Table1[[#This Row],['#Angler]]</f>
        <v>4.1000000000000014</v>
      </c>
      <c r="O218" t="s">
        <v>349</v>
      </c>
      <c r="P218" t="s">
        <v>56</v>
      </c>
      <c r="Q218" t="s">
        <v>247</v>
      </c>
      <c r="R218" s="11">
        <v>0</v>
      </c>
      <c r="S218">
        <v>3</v>
      </c>
      <c r="T218">
        <v>0</v>
      </c>
      <c r="U218">
        <v>0</v>
      </c>
      <c r="V218" s="11">
        <v>0</v>
      </c>
      <c r="W218">
        <v>0</v>
      </c>
      <c r="X218">
        <v>0</v>
      </c>
      <c r="Y218">
        <v>0</v>
      </c>
      <c r="Z218" s="11">
        <f>SUM(Table1[[#This Row],[Chi Kept]],Table1[[#This Row],[Chi Released]])</f>
        <v>0</v>
      </c>
      <c r="AA218">
        <f>SUM(Table1[[#This Row],[Co Kept]],Table1[[#This Row],[Co Released ]])</f>
        <v>3</v>
      </c>
      <c r="AB218">
        <f>SUM(Table1[[#This Row],[Pink Kept]],Table1[[#This Row],[Pink Released]])</f>
        <v>0</v>
      </c>
      <c r="AC218">
        <f>SUM(Table1[[#This Row],[Chu Kept]],Table1[[#This Row],[Chu Released]])</f>
        <v>0</v>
      </c>
    </row>
    <row r="219" spans="1:29" x14ac:dyDescent="0.3">
      <c r="A219" s="7">
        <v>45918</v>
      </c>
      <c r="B219">
        <v>5</v>
      </c>
      <c r="C219" t="s">
        <v>236</v>
      </c>
      <c r="D219" t="s">
        <v>26</v>
      </c>
      <c r="E219">
        <v>6</v>
      </c>
      <c r="F219">
        <v>2</v>
      </c>
      <c r="G219">
        <v>2</v>
      </c>
      <c r="H219" t="s">
        <v>241</v>
      </c>
      <c r="I219">
        <v>1</v>
      </c>
      <c r="J219" s="10">
        <v>0.29166666666666669</v>
      </c>
      <c r="K219" s="10">
        <v>0.33680555555555558</v>
      </c>
      <c r="L219" s="10">
        <f t="shared" si="7"/>
        <v>4.5138888888888895E-2</v>
      </c>
      <c r="M219" s="12">
        <f t="shared" si="6"/>
        <v>1.0833333333333335</v>
      </c>
      <c r="N219" s="12">
        <f>Table1[[#This Row],[Trip Hours]]*Table1[[#This Row],['#Angler]]</f>
        <v>1.0833333333333335</v>
      </c>
      <c r="O219" t="s">
        <v>349</v>
      </c>
      <c r="P219" t="s">
        <v>56</v>
      </c>
      <c r="Q219" t="s">
        <v>247</v>
      </c>
      <c r="R219" s="11">
        <v>0</v>
      </c>
      <c r="S219">
        <v>2</v>
      </c>
      <c r="T219">
        <v>0</v>
      </c>
      <c r="U219">
        <v>0</v>
      </c>
      <c r="V219" s="11">
        <v>0</v>
      </c>
      <c r="W219">
        <v>0</v>
      </c>
      <c r="X219">
        <v>0</v>
      </c>
      <c r="Y219">
        <v>0</v>
      </c>
      <c r="Z219" s="11">
        <f>SUM(Table1[[#This Row],[Chi Kept]],Table1[[#This Row],[Chi Released]])</f>
        <v>0</v>
      </c>
      <c r="AA219">
        <f>SUM(Table1[[#This Row],[Co Kept]],Table1[[#This Row],[Co Released ]])</f>
        <v>2</v>
      </c>
      <c r="AB219">
        <f>SUM(Table1[[#This Row],[Pink Kept]],Table1[[#This Row],[Pink Released]])</f>
        <v>0</v>
      </c>
      <c r="AC219">
        <f>SUM(Table1[[#This Row],[Chu Kept]],Table1[[#This Row],[Chu Released]])</f>
        <v>0</v>
      </c>
    </row>
    <row r="220" spans="1:29" x14ac:dyDescent="0.3">
      <c r="A220" s="7">
        <v>45918</v>
      </c>
      <c r="B220">
        <v>5</v>
      </c>
      <c r="C220" t="s">
        <v>236</v>
      </c>
      <c r="D220" t="s">
        <v>26</v>
      </c>
      <c r="E220">
        <v>7</v>
      </c>
      <c r="F220">
        <v>2</v>
      </c>
      <c r="G220">
        <v>2</v>
      </c>
      <c r="H220" t="s">
        <v>241</v>
      </c>
      <c r="I220">
        <v>1</v>
      </c>
      <c r="J220" s="10">
        <v>0.29166666666666669</v>
      </c>
      <c r="K220" s="10">
        <v>0.33680555555555558</v>
      </c>
      <c r="L220" s="10">
        <f t="shared" si="7"/>
        <v>4.5138888888888895E-2</v>
      </c>
      <c r="M220" s="12">
        <f t="shared" si="6"/>
        <v>1.0833333333333335</v>
      </c>
      <c r="N220" s="12">
        <f>Table1[[#This Row],[Trip Hours]]*Table1[[#This Row],['#Angler]]</f>
        <v>1.0833333333333335</v>
      </c>
      <c r="O220" t="s">
        <v>349</v>
      </c>
      <c r="P220" t="s">
        <v>56</v>
      </c>
      <c r="Q220" t="s">
        <v>247</v>
      </c>
      <c r="R220" s="11">
        <v>0</v>
      </c>
      <c r="S220">
        <v>1</v>
      </c>
      <c r="T220">
        <v>0</v>
      </c>
      <c r="U220">
        <v>0</v>
      </c>
      <c r="V220" s="11">
        <v>0</v>
      </c>
      <c r="W220">
        <v>0</v>
      </c>
      <c r="X220">
        <v>0</v>
      </c>
      <c r="Y220">
        <v>0</v>
      </c>
      <c r="Z220" s="11">
        <f>SUM(Table1[[#This Row],[Chi Kept]],Table1[[#This Row],[Chi Released]])</f>
        <v>0</v>
      </c>
      <c r="AA220">
        <f>SUM(Table1[[#This Row],[Co Kept]],Table1[[#This Row],[Co Released ]])</f>
        <v>1</v>
      </c>
      <c r="AB220">
        <f>SUM(Table1[[#This Row],[Pink Kept]],Table1[[#This Row],[Pink Released]])</f>
        <v>0</v>
      </c>
      <c r="AC220">
        <f>SUM(Table1[[#This Row],[Chu Kept]],Table1[[#This Row],[Chu Released]])</f>
        <v>0</v>
      </c>
    </row>
    <row r="221" spans="1:29" x14ac:dyDescent="0.3">
      <c r="A221" s="7">
        <v>45918</v>
      </c>
      <c r="B221">
        <v>5</v>
      </c>
      <c r="C221" t="s">
        <v>236</v>
      </c>
      <c r="D221" t="s">
        <v>26</v>
      </c>
      <c r="E221">
        <v>8</v>
      </c>
      <c r="F221">
        <v>2</v>
      </c>
      <c r="G221">
        <v>2</v>
      </c>
      <c r="H221" t="s">
        <v>241</v>
      </c>
      <c r="I221">
        <v>1</v>
      </c>
      <c r="J221" s="10">
        <v>0.29166666666666669</v>
      </c>
      <c r="K221" s="10">
        <v>0.33680555555555558</v>
      </c>
      <c r="L221" s="10">
        <f t="shared" si="7"/>
        <v>4.5138888888888895E-2</v>
      </c>
      <c r="M221" s="12">
        <f t="shared" si="6"/>
        <v>1.0833333333333335</v>
      </c>
      <c r="N221" s="12">
        <f>Table1[[#This Row],[Trip Hours]]*Table1[[#This Row],['#Angler]]</f>
        <v>1.0833333333333335</v>
      </c>
      <c r="O221" t="s">
        <v>349</v>
      </c>
      <c r="P221" t="s">
        <v>56</v>
      </c>
      <c r="Q221" t="s">
        <v>241</v>
      </c>
      <c r="R221" s="11">
        <v>0</v>
      </c>
      <c r="S221">
        <v>0</v>
      </c>
      <c r="T221">
        <v>0</v>
      </c>
      <c r="U221">
        <v>0</v>
      </c>
      <c r="V221" s="11">
        <v>0</v>
      </c>
      <c r="W221">
        <v>0</v>
      </c>
      <c r="X221">
        <v>0</v>
      </c>
      <c r="Y221">
        <v>0</v>
      </c>
      <c r="Z221" s="11">
        <f>SUM(Table1[[#This Row],[Chi Kept]],Table1[[#This Row],[Chi Released]])</f>
        <v>0</v>
      </c>
      <c r="AA221">
        <f>SUM(Table1[[#This Row],[Co Kept]],Table1[[#This Row],[Co Released ]])</f>
        <v>0</v>
      </c>
      <c r="AB221">
        <f>SUM(Table1[[#This Row],[Pink Kept]],Table1[[#This Row],[Pink Released]])</f>
        <v>0</v>
      </c>
      <c r="AC221">
        <f>SUM(Table1[[#This Row],[Chu Kept]],Table1[[#This Row],[Chu Released]])</f>
        <v>0</v>
      </c>
    </row>
    <row r="222" spans="1:29" x14ac:dyDescent="0.3">
      <c r="A222" s="7">
        <v>45918</v>
      </c>
      <c r="B222">
        <v>5</v>
      </c>
      <c r="C222" t="s">
        <v>236</v>
      </c>
      <c r="D222" t="s">
        <v>26</v>
      </c>
      <c r="E222">
        <v>9</v>
      </c>
      <c r="F222">
        <v>2</v>
      </c>
      <c r="G222">
        <v>2</v>
      </c>
      <c r="H222" t="s">
        <v>241</v>
      </c>
      <c r="I222">
        <v>2</v>
      </c>
      <c r="J222" s="10">
        <v>0.23958333333333334</v>
      </c>
      <c r="K222" s="10">
        <v>0.3659722222222222</v>
      </c>
      <c r="L222" s="10">
        <f t="shared" si="7"/>
        <v>0.12638888888888886</v>
      </c>
      <c r="M222" s="12">
        <f t="shared" si="6"/>
        <v>3.0333333333333323</v>
      </c>
      <c r="N222" s="12">
        <f>Table1[[#This Row],[Trip Hours]]*Table1[[#This Row],['#Angler]]</f>
        <v>6.0666666666666647</v>
      </c>
      <c r="O222" t="s">
        <v>342</v>
      </c>
      <c r="P222" t="s">
        <v>112</v>
      </c>
      <c r="Q222" t="s">
        <v>247</v>
      </c>
      <c r="R222" s="11">
        <v>0</v>
      </c>
      <c r="S222">
        <v>1</v>
      </c>
      <c r="T222">
        <v>0</v>
      </c>
      <c r="U222">
        <v>0</v>
      </c>
      <c r="V222" s="11">
        <v>0</v>
      </c>
      <c r="W222">
        <v>0</v>
      </c>
      <c r="X222">
        <v>0</v>
      </c>
      <c r="Y222">
        <v>0</v>
      </c>
      <c r="Z222" s="11">
        <f>SUM(Table1[[#This Row],[Chi Kept]],Table1[[#This Row],[Chi Released]])</f>
        <v>0</v>
      </c>
      <c r="AA222">
        <f>SUM(Table1[[#This Row],[Co Kept]],Table1[[#This Row],[Co Released ]])</f>
        <v>1</v>
      </c>
      <c r="AB222">
        <f>SUM(Table1[[#This Row],[Pink Kept]],Table1[[#This Row],[Pink Released]])</f>
        <v>0</v>
      </c>
      <c r="AC222">
        <f>SUM(Table1[[#This Row],[Chu Kept]],Table1[[#This Row],[Chu Released]])</f>
        <v>0</v>
      </c>
    </row>
    <row r="223" spans="1:29" x14ac:dyDescent="0.3">
      <c r="A223" s="7">
        <v>45918</v>
      </c>
      <c r="B223">
        <v>5</v>
      </c>
      <c r="C223" t="s">
        <v>236</v>
      </c>
      <c r="D223" t="s">
        <v>26</v>
      </c>
      <c r="E223">
        <v>10</v>
      </c>
      <c r="F223">
        <v>2</v>
      </c>
      <c r="G223">
        <v>2</v>
      </c>
      <c r="H223" t="s">
        <v>241</v>
      </c>
      <c r="I223">
        <v>1</v>
      </c>
      <c r="J223" s="10">
        <v>0.27083333333333331</v>
      </c>
      <c r="K223" s="10">
        <v>0.37430555555555556</v>
      </c>
      <c r="L223" s="10">
        <f t="shared" si="7"/>
        <v>0.10347222222222224</v>
      </c>
      <c r="M223" s="12">
        <f t="shared" si="6"/>
        <v>2.4833333333333338</v>
      </c>
      <c r="N223" s="12">
        <f>Table1[[#This Row],[Trip Hours]]*Table1[[#This Row],['#Angler]]</f>
        <v>2.4833333333333338</v>
      </c>
      <c r="O223" t="s">
        <v>342</v>
      </c>
      <c r="P223" t="s">
        <v>56</v>
      </c>
      <c r="Q223" t="s">
        <v>247</v>
      </c>
      <c r="R223" s="11">
        <v>0</v>
      </c>
      <c r="S223">
        <v>3</v>
      </c>
      <c r="T223">
        <v>0</v>
      </c>
      <c r="U223">
        <v>0</v>
      </c>
      <c r="V223" s="11">
        <v>0</v>
      </c>
      <c r="W223">
        <v>0</v>
      </c>
      <c r="X223">
        <v>0</v>
      </c>
      <c r="Y223">
        <v>0</v>
      </c>
      <c r="Z223" s="11">
        <f>SUM(Table1[[#This Row],[Chi Kept]],Table1[[#This Row],[Chi Released]])</f>
        <v>0</v>
      </c>
      <c r="AA223">
        <f>SUM(Table1[[#This Row],[Co Kept]],Table1[[#This Row],[Co Released ]])</f>
        <v>3</v>
      </c>
      <c r="AB223">
        <f>SUM(Table1[[#This Row],[Pink Kept]],Table1[[#This Row],[Pink Released]])</f>
        <v>0</v>
      </c>
      <c r="AC223">
        <f>SUM(Table1[[#This Row],[Chu Kept]],Table1[[#This Row],[Chu Released]])</f>
        <v>0</v>
      </c>
    </row>
    <row r="224" spans="1:29" x14ac:dyDescent="0.3">
      <c r="A224" s="7">
        <v>45918</v>
      </c>
      <c r="B224">
        <v>5</v>
      </c>
      <c r="C224" t="s">
        <v>236</v>
      </c>
      <c r="D224" t="s">
        <v>26</v>
      </c>
      <c r="E224">
        <v>11</v>
      </c>
      <c r="F224">
        <v>2</v>
      </c>
      <c r="G224">
        <v>2</v>
      </c>
      <c r="H224" t="s">
        <v>241</v>
      </c>
      <c r="I224">
        <v>1</v>
      </c>
      <c r="J224" s="10">
        <v>0.3125</v>
      </c>
      <c r="K224" s="10">
        <v>0.38263888888888886</v>
      </c>
      <c r="L224" s="10">
        <f t="shared" si="7"/>
        <v>7.0138888888888862E-2</v>
      </c>
      <c r="M224" s="12">
        <f t="shared" si="6"/>
        <v>1.6833333333333327</v>
      </c>
      <c r="N224" s="12">
        <f>Table1[[#This Row],[Trip Hours]]*Table1[[#This Row],['#Angler]]</f>
        <v>1.6833333333333327</v>
      </c>
      <c r="O224" t="s">
        <v>342</v>
      </c>
      <c r="P224" t="s">
        <v>112</v>
      </c>
      <c r="Q224" t="s">
        <v>247</v>
      </c>
      <c r="R224" s="11">
        <v>0</v>
      </c>
      <c r="S224">
        <v>0</v>
      </c>
      <c r="T224">
        <v>0</v>
      </c>
      <c r="U224">
        <v>0</v>
      </c>
      <c r="V224" s="11">
        <v>0</v>
      </c>
      <c r="W224">
        <v>0</v>
      </c>
      <c r="X224">
        <v>0</v>
      </c>
      <c r="Y224">
        <v>0</v>
      </c>
      <c r="Z224" s="11">
        <f>SUM(Table1[[#This Row],[Chi Kept]],Table1[[#This Row],[Chi Released]])</f>
        <v>0</v>
      </c>
      <c r="AA224">
        <f>SUM(Table1[[#This Row],[Co Kept]],Table1[[#This Row],[Co Released ]])</f>
        <v>0</v>
      </c>
      <c r="AB224">
        <f>SUM(Table1[[#This Row],[Pink Kept]],Table1[[#This Row],[Pink Released]])</f>
        <v>0</v>
      </c>
      <c r="AC224">
        <f>SUM(Table1[[#This Row],[Chu Kept]],Table1[[#This Row],[Chu Released]])</f>
        <v>0</v>
      </c>
    </row>
    <row r="225" spans="1:31" x14ac:dyDescent="0.3">
      <c r="A225" s="7">
        <v>45918</v>
      </c>
      <c r="B225">
        <v>5</v>
      </c>
      <c r="C225" t="s">
        <v>236</v>
      </c>
      <c r="D225" t="s">
        <v>26</v>
      </c>
      <c r="E225">
        <v>12</v>
      </c>
      <c r="F225">
        <v>2</v>
      </c>
      <c r="G225">
        <v>2</v>
      </c>
      <c r="H225" t="s">
        <v>241</v>
      </c>
      <c r="I225">
        <v>2</v>
      </c>
      <c r="J225" s="10">
        <v>0.33333333333333331</v>
      </c>
      <c r="K225" s="10">
        <v>0.40277777777777779</v>
      </c>
      <c r="L225" s="10">
        <f t="shared" si="7"/>
        <v>6.9444444444444475E-2</v>
      </c>
      <c r="M225" s="12">
        <f t="shared" si="6"/>
        <v>1.6666666666666674</v>
      </c>
      <c r="N225" s="12">
        <f>Table1[[#This Row],[Trip Hours]]*Table1[[#This Row],['#Angler]]</f>
        <v>3.3333333333333348</v>
      </c>
      <c r="O225" t="s">
        <v>342</v>
      </c>
      <c r="P225" t="s">
        <v>56</v>
      </c>
      <c r="Q225" t="s">
        <v>247</v>
      </c>
      <c r="R225" s="11">
        <v>0</v>
      </c>
      <c r="S225">
        <v>2</v>
      </c>
      <c r="T225">
        <v>0</v>
      </c>
      <c r="U225">
        <v>0</v>
      </c>
      <c r="V225" s="11">
        <v>0</v>
      </c>
      <c r="W225">
        <v>0</v>
      </c>
      <c r="X225">
        <v>0</v>
      </c>
      <c r="Y225">
        <v>0</v>
      </c>
      <c r="Z225" s="11">
        <f>SUM(Table1[[#This Row],[Chi Kept]],Table1[[#This Row],[Chi Released]])</f>
        <v>0</v>
      </c>
      <c r="AA225">
        <f>SUM(Table1[[#This Row],[Co Kept]],Table1[[#This Row],[Co Released ]])</f>
        <v>2</v>
      </c>
      <c r="AB225">
        <f>SUM(Table1[[#This Row],[Pink Kept]],Table1[[#This Row],[Pink Released]])</f>
        <v>0</v>
      </c>
      <c r="AC225">
        <f>SUM(Table1[[#This Row],[Chu Kept]],Table1[[#This Row],[Chu Released]])</f>
        <v>0</v>
      </c>
    </row>
    <row r="226" spans="1:31" x14ac:dyDescent="0.3">
      <c r="A226" s="7">
        <v>45918</v>
      </c>
      <c r="B226">
        <v>5</v>
      </c>
      <c r="C226" t="s">
        <v>236</v>
      </c>
      <c r="D226" t="s">
        <v>26</v>
      </c>
      <c r="E226">
        <v>13</v>
      </c>
      <c r="F226">
        <v>2</v>
      </c>
      <c r="G226">
        <v>2</v>
      </c>
      <c r="H226" t="s">
        <v>241</v>
      </c>
      <c r="I226">
        <v>1</v>
      </c>
      <c r="J226" s="10">
        <v>0.29166666666666669</v>
      </c>
      <c r="K226" s="10">
        <v>0.41180555555555554</v>
      </c>
      <c r="L226" s="10">
        <f t="shared" si="7"/>
        <v>0.12013888888888885</v>
      </c>
      <c r="M226" s="12">
        <f t="shared" si="6"/>
        <v>2.8833333333333324</v>
      </c>
      <c r="N226" s="12">
        <f>Table1[[#This Row],[Trip Hours]]*Table1[[#This Row],['#Angler]]</f>
        <v>2.8833333333333324</v>
      </c>
      <c r="O226" t="s">
        <v>342</v>
      </c>
      <c r="P226" t="s">
        <v>56</v>
      </c>
      <c r="Q226" t="s">
        <v>247</v>
      </c>
      <c r="R226" s="11">
        <v>0</v>
      </c>
      <c r="S226">
        <v>2</v>
      </c>
      <c r="T226">
        <v>0</v>
      </c>
      <c r="U226">
        <v>0</v>
      </c>
      <c r="V226" s="11">
        <v>0</v>
      </c>
      <c r="W226">
        <v>0</v>
      </c>
      <c r="X226">
        <v>0</v>
      </c>
      <c r="Y226">
        <v>0</v>
      </c>
      <c r="Z226" s="11">
        <f>SUM(Table1[[#This Row],[Chi Kept]],Table1[[#This Row],[Chi Released]])</f>
        <v>0</v>
      </c>
      <c r="AA226">
        <f>SUM(Table1[[#This Row],[Co Kept]],Table1[[#This Row],[Co Released ]])</f>
        <v>2</v>
      </c>
      <c r="AB226">
        <f>SUM(Table1[[#This Row],[Pink Kept]],Table1[[#This Row],[Pink Released]])</f>
        <v>0</v>
      </c>
      <c r="AC226">
        <f>SUM(Table1[[#This Row],[Chu Kept]],Table1[[#This Row],[Chu Released]])</f>
        <v>0</v>
      </c>
    </row>
    <row r="227" spans="1:31" x14ac:dyDescent="0.3">
      <c r="A227" s="7">
        <v>45918</v>
      </c>
      <c r="B227">
        <v>5</v>
      </c>
      <c r="C227" t="s">
        <v>236</v>
      </c>
      <c r="D227" t="s">
        <v>26</v>
      </c>
      <c r="E227">
        <v>14</v>
      </c>
      <c r="F227">
        <v>2</v>
      </c>
      <c r="G227">
        <v>2</v>
      </c>
      <c r="H227" t="s">
        <v>241</v>
      </c>
      <c r="I227">
        <v>1</v>
      </c>
      <c r="J227" s="10">
        <v>0.29166666666666669</v>
      </c>
      <c r="K227" s="10">
        <v>0.44166666666666665</v>
      </c>
      <c r="L227" s="10">
        <f t="shared" si="7"/>
        <v>0.14999999999999997</v>
      </c>
      <c r="M227" s="12">
        <f t="shared" si="6"/>
        <v>3.5999999999999992</v>
      </c>
      <c r="N227" s="12">
        <f>Table1[[#This Row],[Trip Hours]]*Table1[[#This Row],['#Angler]]</f>
        <v>3.5999999999999992</v>
      </c>
      <c r="O227" t="s">
        <v>342</v>
      </c>
      <c r="P227" t="s">
        <v>56</v>
      </c>
      <c r="Q227" t="s">
        <v>247</v>
      </c>
      <c r="R227" s="11">
        <v>0</v>
      </c>
      <c r="S227">
        <v>1</v>
      </c>
      <c r="T227">
        <v>0</v>
      </c>
      <c r="U227">
        <v>0</v>
      </c>
      <c r="V227" s="11">
        <v>0</v>
      </c>
      <c r="W227">
        <v>0</v>
      </c>
      <c r="X227">
        <v>0</v>
      </c>
      <c r="Y227">
        <v>0</v>
      </c>
      <c r="Z227" s="11">
        <f>SUM(Table1[[#This Row],[Chi Kept]],Table1[[#This Row],[Chi Released]])</f>
        <v>0</v>
      </c>
      <c r="AA227">
        <f>SUM(Table1[[#This Row],[Co Kept]],Table1[[#This Row],[Co Released ]])</f>
        <v>1</v>
      </c>
      <c r="AB227">
        <f>SUM(Table1[[#This Row],[Pink Kept]],Table1[[#This Row],[Pink Released]])</f>
        <v>0</v>
      </c>
      <c r="AC227">
        <f>SUM(Table1[[#This Row],[Chu Kept]],Table1[[#This Row],[Chu Released]])</f>
        <v>0</v>
      </c>
    </row>
    <row r="228" spans="1:31" x14ac:dyDescent="0.3">
      <c r="A228" s="7">
        <v>45918</v>
      </c>
      <c r="B228">
        <v>5</v>
      </c>
      <c r="C228" t="s">
        <v>236</v>
      </c>
      <c r="D228" t="s">
        <v>26</v>
      </c>
      <c r="E228">
        <v>15</v>
      </c>
      <c r="F228">
        <v>2</v>
      </c>
      <c r="G228">
        <v>2</v>
      </c>
      <c r="H228" t="s">
        <v>241</v>
      </c>
      <c r="I228">
        <v>1</v>
      </c>
      <c r="J228" s="10">
        <v>0.29166666666666669</v>
      </c>
      <c r="K228" s="10">
        <v>0.45416666666666666</v>
      </c>
      <c r="L228" s="10">
        <f t="shared" si="7"/>
        <v>0.16249999999999998</v>
      </c>
      <c r="M228" s="12">
        <f t="shared" si="6"/>
        <v>3.8999999999999995</v>
      </c>
      <c r="N228" s="12">
        <f>Table1[[#This Row],[Trip Hours]]*Table1[[#This Row],['#Angler]]</f>
        <v>3.8999999999999995</v>
      </c>
      <c r="O228" t="s">
        <v>342</v>
      </c>
      <c r="Q228" t="s">
        <v>247</v>
      </c>
      <c r="R228" s="11">
        <v>0</v>
      </c>
      <c r="S228">
        <v>1</v>
      </c>
      <c r="T228">
        <v>0</v>
      </c>
      <c r="U228">
        <v>0</v>
      </c>
      <c r="V228" s="11">
        <v>0</v>
      </c>
      <c r="W228">
        <v>0</v>
      </c>
      <c r="X228">
        <v>0</v>
      </c>
      <c r="Y228">
        <v>0</v>
      </c>
      <c r="Z228" s="11">
        <f>SUM(Table1[[#This Row],[Chi Kept]],Table1[[#This Row],[Chi Released]])</f>
        <v>0</v>
      </c>
      <c r="AA228">
        <f>SUM(Table1[[#This Row],[Co Kept]],Table1[[#This Row],[Co Released ]])</f>
        <v>1</v>
      </c>
      <c r="AB228">
        <f>SUM(Table1[[#This Row],[Pink Kept]],Table1[[#This Row],[Pink Released]])</f>
        <v>0</v>
      </c>
      <c r="AC228">
        <f>SUM(Table1[[#This Row],[Chu Kept]],Table1[[#This Row],[Chu Released]])</f>
        <v>0</v>
      </c>
      <c r="AE228" t="s">
        <v>175</v>
      </c>
    </row>
    <row r="229" spans="1:31" x14ac:dyDescent="0.3">
      <c r="A229" s="7">
        <v>45918</v>
      </c>
      <c r="B229">
        <v>5</v>
      </c>
      <c r="C229" t="s">
        <v>236</v>
      </c>
      <c r="D229" t="s">
        <v>26</v>
      </c>
      <c r="E229">
        <v>16</v>
      </c>
      <c r="F229">
        <v>2</v>
      </c>
      <c r="G229">
        <v>2</v>
      </c>
      <c r="H229" t="s">
        <v>241</v>
      </c>
      <c r="I229">
        <v>1</v>
      </c>
      <c r="J229" s="10">
        <v>0.33333333333333331</v>
      </c>
      <c r="K229" s="10">
        <v>0.45555555555555555</v>
      </c>
      <c r="L229" s="10">
        <f t="shared" si="7"/>
        <v>0.12222222222222223</v>
      </c>
      <c r="M229" s="12">
        <f t="shared" si="6"/>
        <v>2.9333333333333336</v>
      </c>
      <c r="N229" s="12">
        <f>Table1[[#This Row],[Trip Hours]]*Table1[[#This Row],['#Angler]]</f>
        <v>2.9333333333333336</v>
      </c>
      <c r="O229" t="s">
        <v>342</v>
      </c>
      <c r="Q229" t="s">
        <v>241</v>
      </c>
      <c r="R229" s="11">
        <v>0</v>
      </c>
      <c r="S229">
        <v>0</v>
      </c>
      <c r="T229">
        <v>0</v>
      </c>
      <c r="U229">
        <v>0</v>
      </c>
      <c r="V229" s="11">
        <v>0</v>
      </c>
      <c r="W229">
        <v>0</v>
      </c>
      <c r="X229">
        <v>0</v>
      </c>
      <c r="Y229">
        <v>0</v>
      </c>
      <c r="Z229" s="11">
        <f>SUM(Table1[[#This Row],[Chi Kept]],Table1[[#This Row],[Chi Released]])</f>
        <v>0</v>
      </c>
      <c r="AA229">
        <f>SUM(Table1[[#This Row],[Co Kept]],Table1[[#This Row],[Co Released ]])</f>
        <v>0</v>
      </c>
      <c r="AB229">
        <f>SUM(Table1[[#This Row],[Pink Kept]],Table1[[#This Row],[Pink Released]])</f>
        <v>0</v>
      </c>
      <c r="AC229">
        <f>SUM(Table1[[#This Row],[Chu Kept]],Table1[[#This Row],[Chu Released]])</f>
        <v>0</v>
      </c>
    </row>
    <row r="230" spans="1:31" x14ac:dyDescent="0.3">
      <c r="A230" s="7">
        <v>45918</v>
      </c>
      <c r="B230">
        <v>5</v>
      </c>
      <c r="C230" t="s">
        <v>236</v>
      </c>
      <c r="D230" t="s">
        <v>26</v>
      </c>
      <c r="E230">
        <v>17</v>
      </c>
      <c r="F230">
        <v>2</v>
      </c>
      <c r="G230">
        <v>2</v>
      </c>
      <c r="H230" t="s">
        <v>241</v>
      </c>
      <c r="I230">
        <v>3</v>
      </c>
      <c r="J230" s="10">
        <v>0.41666666666666669</v>
      </c>
      <c r="K230" s="10">
        <v>0.45763888888888887</v>
      </c>
      <c r="L230" s="10">
        <f t="shared" si="7"/>
        <v>4.0972222222222188E-2</v>
      </c>
      <c r="M230" s="12">
        <f t="shared" si="6"/>
        <v>0.9833333333333325</v>
      </c>
      <c r="N230" s="12">
        <f>Table1[[#This Row],[Trip Hours]]*Table1[[#This Row],['#Angler]]</f>
        <v>2.9499999999999975</v>
      </c>
      <c r="O230" t="s">
        <v>342</v>
      </c>
      <c r="P230" t="s">
        <v>56</v>
      </c>
      <c r="R230" s="11">
        <v>0</v>
      </c>
      <c r="S230">
        <v>0</v>
      </c>
      <c r="T230">
        <v>0</v>
      </c>
      <c r="U230">
        <v>0</v>
      </c>
      <c r="V230" s="11">
        <v>0</v>
      </c>
      <c r="W230">
        <v>0</v>
      </c>
      <c r="X230">
        <v>0</v>
      </c>
      <c r="Y230">
        <v>0</v>
      </c>
      <c r="Z230" s="11">
        <f>SUM(Table1[[#This Row],[Chi Kept]],Table1[[#This Row],[Chi Released]])</f>
        <v>0</v>
      </c>
      <c r="AA230">
        <f>SUM(Table1[[#This Row],[Co Kept]],Table1[[#This Row],[Co Released ]])</f>
        <v>0</v>
      </c>
      <c r="AB230">
        <f>SUM(Table1[[#This Row],[Pink Kept]],Table1[[#This Row],[Pink Released]])</f>
        <v>0</v>
      </c>
      <c r="AC230">
        <f>SUM(Table1[[#This Row],[Chu Kept]],Table1[[#This Row],[Chu Released]])</f>
        <v>0</v>
      </c>
    </row>
    <row r="231" spans="1:31" x14ac:dyDescent="0.3">
      <c r="A231" s="7">
        <v>45918</v>
      </c>
      <c r="B231">
        <v>5</v>
      </c>
      <c r="C231" t="s">
        <v>236</v>
      </c>
      <c r="D231" t="s">
        <v>26</v>
      </c>
      <c r="E231">
        <v>18</v>
      </c>
      <c r="F231">
        <v>2</v>
      </c>
      <c r="G231">
        <v>2</v>
      </c>
      <c r="H231" t="s">
        <v>241</v>
      </c>
      <c r="I231">
        <v>1</v>
      </c>
      <c r="J231" s="10">
        <v>0.375</v>
      </c>
      <c r="K231" s="10">
        <v>0.47083333333333333</v>
      </c>
      <c r="L231" s="10">
        <f t="shared" si="7"/>
        <v>9.5833333333333326E-2</v>
      </c>
      <c r="M231" s="12">
        <f t="shared" si="6"/>
        <v>2.2999999999999998</v>
      </c>
      <c r="N231" s="12">
        <f>Table1[[#This Row],[Trip Hours]]*Table1[[#This Row],['#Angler]]</f>
        <v>2.2999999999999998</v>
      </c>
      <c r="O231" t="s">
        <v>342</v>
      </c>
      <c r="P231" t="s">
        <v>56</v>
      </c>
      <c r="Q231" t="s">
        <v>247</v>
      </c>
      <c r="R231" s="11">
        <v>0</v>
      </c>
      <c r="S231">
        <v>0</v>
      </c>
      <c r="T231">
        <v>0</v>
      </c>
      <c r="U231">
        <v>0</v>
      </c>
      <c r="V231" s="11">
        <v>0</v>
      </c>
      <c r="W231">
        <v>0</v>
      </c>
      <c r="X231">
        <v>0</v>
      </c>
      <c r="Y231">
        <v>0</v>
      </c>
      <c r="Z231" s="11">
        <f>SUM(Table1[[#This Row],[Chi Kept]],Table1[[#This Row],[Chi Released]])</f>
        <v>0</v>
      </c>
      <c r="AA231">
        <f>SUM(Table1[[#This Row],[Co Kept]],Table1[[#This Row],[Co Released ]])</f>
        <v>0</v>
      </c>
      <c r="AB231">
        <f>SUM(Table1[[#This Row],[Pink Kept]],Table1[[#This Row],[Pink Released]])</f>
        <v>0</v>
      </c>
      <c r="AC231">
        <f>SUM(Table1[[#This Row],[Chu Kept]],Table1[[#This Row],[Chu Released]])</f>
        <v>0</v>
      </c>
    </row>
    <row r="232" spans="1:31" x14ac:dyDescent="0.3">
      <c r="A232" s="7">
        <v>45918</v>
      </c>
      <c r="B232">
        <v>5</v>
      </c>
      <c r="C232" t="s">
        <v>236</v>
      </c>
      <c r="D232" t="s">
        <v>26</v>
      </c>
      <c r="E232">
        <v>19</v>
      </c>
      <c r="F232">
        <v>2</v>
      </c>
      <c r="G232">
        <v>2</v>
      </c>
      <c r="H232" t="s">
        <v>241</v>
      </c>
      <c r="I232">
        <v>2</v>
      </c>
      <c r="J232" s="10">
        <v>0.41666666666666669</v>
      </c>
      <c r="K232" s="10">
        <v>0.47291666666666665</v>
      </c>
      <c r="L232" s="10">
        <f t="shared" si="7"/>
        <v>5.6249999999999967E-2</v>
      </c>
      <c r="M232" s="12">
        <f t="shared" si="6"/>
        <v>1.3499999999999992</v>
      </c>
      <c r="N232" s="12">
        <f>Table1[[#This Row],[Trip Hours]]*Table1[[#This Row],['#Angler]]</f>
        <v>2.6999999999999984</v>
      </c>
      <c r="O232" t="s">
        <v>349</v>
      </c>
      <c r="P232" t="s">
        <v>73</v>
      </c>
      <c r="Q232" t="s">
        <v>241</v>
      </c>
      <c r="R232" s="11">
        <v>0</v>
      </c>
      <c r="S232">
        <v>0</v>
      </c>
      <c r="T232">
        <v>0</v>
      </c>
      <c r="U232">
        <v>0</v>
      </c>
      <c r="V232" s="11">
        <v>0</v>
      </c>
      <c r="W232">
        <v>0</v>
      </c>
      <c r="X232">
        <v>0</v>
      </c>
      <c r="Y232">
        <v>0</v>
      </c>
      <c r="Z232" s="11">
        <f>SUM(Table1[[#This Row],[Chi Kept]],Table1[[#This Row],[Chi Released]])</f>
        <v>0</v>
      </c>
      <c r="AA232">
        <f>SUM(Table1[[#This Row],[Co Kept]],Table1[[#This Row],[Co Released ]])</f>
        <v>0</v>
      </c>
      <c r="AB232">
        <f>SUM(Table1[[#This Row],[Pink Kept]],Table1[[#This Row],[Pink Released]])</f>
        <v>0</v>
      </c>
      <c r="AC232">
        <f>SUM(Table1[[#This Row],[Chu Kept]],Table1[[#This Row],[Chu Released]])</f>
        <v>0</v>
      </c>
    </row>
    <row r="233" spans="1:31" x14ac:dyDescent="0.3">
      <c r="A233" s="7">
        <v>45918</v>
      </c>
      <c r="B233">
        <v>5</v>
      </c>
      <c r="C233" t="s">
        <v>236</v>
      </c>
      <c r="D233" t="s">
        <v>26</v>
      </c>
      <c r="E233">
        <v>20</v>
      </c>
      <c r="F233">
        <v>2</v>
      </c>
      <c r="G233">
        <v>2</v>
      </c>
      <c r="H233" t="s">
        <v>241</v>
      </c>
      <c r="I233">
        <v>1</v>
      </c>
      <c r="J233" s="10">
        <v>0.4375</v>
      </c>
      <c r="K233" s="10">
        <v>0.47291666666666665</v>
      </c>
      <c r="L233" s="10">
        <f t="shared" si="7"/>
        <v>3.5416666666666652E-2</v>
      </c>
      <c r="M233" s="12">
        <f t="shared" si="6"/>
        <v>0.84999999999999964</v>
      </c>
      <c r="N233" s="12">
        <f>Table1[[#This Row],[Trip Hours]]*Table1[[#This Row],['#Angler]]</f>
        <v>0.84999999999999964</v>
      </c>
      <c r="O233" t="s">
        <v>349</v>
      </c>
      <c r="P233" t="s">
        <v>56</v>
      </c>
      <c r="R233" s="11">
        <v>0</v>
      </c>
      <c r="S233">
        <v>0</v>
      </c>
      <c r="T233">
        <v>0</v>
      </c>
      <c r="U233">
        <v>0</v>
      </c>
      <c r="V233" s="11">
        <v>0</v>
      </c>
      <c r="W233">
        <v>0</v>
      </c>
      <c r="X233">
        <v>0</v>
      </c>
      <c r="Y233">
        <v>0</v>
      </c>
      <c r="Z233" s="11">
        <f>SUM(Table1[[#This Row],[Chi Kept]],Table1[[#This Row],[Chi Released]])</f>
        <v>0</v>
      </c>
      <c r="AA233">
        <f>SUM(Table1[[#This Row],[Co Kept]],Table1[[#This Row],[Co Released ]])</f>
        <v>0</v>
      </c>
      <c r="AB233">
        <f>SUM(Table1[[#This Row],[Pink Kept]],Table1[[#This Row],[Pink Released]])</f>
        <v>0</v>
      </c>
      <c r="AC233">
        <f>SUM(Table1[[#This Row],[Chu Kept]],Table1[[#This Row],[Chu Released]])</f>
        <v>0</v>
      </c>
    </row>
    <row r="234" spans="1:31" x14ac:dyDescent="0.3">
      <c r="A234" s="7">
        <v>45918</v>
      </c>
      <c r="B234">
        <v>5</v>
      </c>
      <c r="C234" t="s">
        <v>236</v>
      </c>
      <c r="D234" t="s">
        <v>42</v>
      </c>
      <c r="E234">
        <v>21</v>
      </c>
      <c r="F234">
        <v>2</v>
      </c>
      <c r="G234">
        <v>4</v>
      </c>
      <c r="H234" t="s">
        <v>241</v>
      </c>
      <c r="I234">
        <v>1</v>
      </c>
      <c r="J234" s="10">
        <v>0.5625</v>
      </c>
      <c r="K234" s="10">
        <v>0.6743055555555556</v>
      </c>
      <c r="L234" s="10">
        <f t="shared" si="7"/>
        <v>0.1118055555555556</v>
      </c>
      <c r="M234" s="12">
        <f t="shared" si="6"/>
        <v>2.6833333333333345</v>
      </c>
      <c r="N234" s="12">
        <f>Table1[[#This Row],[Trip Hours]]*Table1[[#This Row],['#Angler]]</f>
        <v>2.6833333333333345</v>
      </c>
      <c r="O234" t="s">
        <v>342</v>
      </c>
      <c r="Q234" t="s">
        <v>247</v>
      </c>
      <c r="R234" s="11">
        <v>0</v>
      </c>
      <c r="S234">
        <v>1</v>
      </c>
      <c r="T234">
        <v>0</v>
      </c>
      <c r="U234">
        <v>0</v>
      </c>
      <c r="V234" s="11">
        <v>0</v>
      </c>
      <c r="W234">
        <v>0</v>
      </c>
      <c r="X234">
        <v>0</v>
      </c>
      <c r="Y234">
        <v>0</v>
      </c>
      <c r="Z234" s="11">
        <f>SUM(Table1[[#This Row],[Chi Kept]],Table1[[#This Row],[Chi Released]])</f>
        <v>0</v>
      </c>
      <c r="AA234">
        <f>SUM(Table1[[#This Row],[Co Kept]],Table1[[#This Row],[Co Released ]])</f>
        <v>1</v>
      </c>
      <c r="AB234">
        <f>SUM(Table1[[#This Row],[Pink Kept]],Table1[[#This Row],[Pink Released]])</f>
        <v>0</v>
      </c>
      <c r="AC234">
        <f>SUM(Table1[[#This Row],[Chu Kept]],Table1[[#This Row],[Chu Released]])</f>
        <v>0</v>
      </c>
    </row>
    <row r="235" spans="1:31" x14ac:dyDescent="0.3">
      <c r="A235" s="7">
        <v>45919</v>
      </c>
      <c r="B235">
        <v>5</v>
      </c>
      <c r="C235" t="s">
        <v>236</v>
      </c>
      <c r="D235" t="s">
        <v>26</v>
      </c>
      <c r="E235">
        <v>1</v>
      </c>
      <c r="F235">
        <v>2</v>
      </c>
      <c r="G235">
        <v>4</v>
      </c>
      <c r="H235" t="s">
        <v>241</v>
      </c>
      <c r="I235">
        <v>3</v>
      </c>
      <c r="J235" s="10">
        <v>0.25</v>
      </c>
      <c r="K235" s="10">
        <v>0.38124999999999998</v>
      </c>
      <c r="L235" s="10">
        <f t="shared" si="7"/>
        <v>0.13124999999999998</v>
      </c>
      <c r="M235" s="12">
        <f t="shared" si="6"/>
        <v>3.1499999999999995</v>
      </c>
      <c r="N235" s="12">
        <f>Table1[[#This Row],[Trip Hours]]*Table1[[#This Row],['#Angler]]</f>
        <v>9.4499999999999993</v>
      </c>
      <c r="O235" t="s">
        <v>342</v>
      </c>
      <c r="P235" t="s">
        <v>148</v>
      </c>
      <c r="Q235" t="s">
        <v>241</v>
      </c>
      <c r="R235" s="11">
        <v>0</v>
      </c>
      <c r="S235">
        <v>0</v>
      </c>
      <c r="T235">
        <v>0</v>
      </c>
      <c r="U235">
        <v>0</v>
      </c>
      <c r="V235" s="11">
        <v>0</v>
      </c>
      <c r="W235">
        <v>0</v>
      </c>
      <c r="X235">
        <v>0</v>
      </c>
      <c r="Y235">
        <v>0</v>
      </c>
      <c r="Z235" s="11">
        <f>SUM(Table1[[#This Row],[Chi Kept]],Table1[[#This Row],[Chi Released]])</f>
        <v>0</v>
      </c>
      <c r="AA235">
        <f>SUM(Table1[[#This Row],[Co Kept]],Table1[[#This Row],[Co Released ]])</f>
        <v>0</v>
      </c>
      <c r="AB235">
        <f>SUM(Table1[[#This Row],[Pink Kept]],Table1[[#This Row],[Pink Released]])</f>
        <v>0</v>
      </c>
      <c r="AC235">
        <f>SUM(Table1[[#This Row],[Chu Kept]],Table1[[#This Row],[Chu Released]])</f>
        <v>0</v>
      </c>
    </row>
    <row r="236" spans="1:31" x14ac:dyDescent="0.3">
      <c r="A236" s="7">
        <v>45919</v>
      </c>
      <c r="B236">
        <v>5</v>
      </c>
      <c r="C236" t="s">
        <v>236</v>
      </c>
      <c r="D236" t="s">
        <v>26</v>
      </c>
      <c r="E236">
        <v>2</v>
      </c>
      <c r="F236">
        <v>2</v>
      </c>
      <c r="G236">
        <v>4</v>
      </c>
      <c r="H236" t="s">
        <v>241</v>
      </c>
      <c r="I236">
        <v>2</v>
      </c>
      <c r="J236" s="10">
        <v>0.29166666666666669</v>
      </c>
      <c r="K236" s="10">
        <v>0.38124999999999998</v>
      </c>
      <c r="L236" s="10">
        <f t="shared" si="7"/>
        <v>8.9583333333333293E-2</v>
      </c>
      <c r="M236" s="12">
        <f t="shared" si="6"/>
        <v>2.149999999999999</v>
      </c>
      <c r="N236" s="12">
        <f>Table1[[#This Row],[Trip Hours]]*Table1[[#This Row],['#Angler]]</f>
        <v>4.299999999999998</v>
      </c>
      <c r="O236" t="s">
        <v>342</v>
      </c>
      <c r="Q236" t="s">
        <v>241</v>
      </c>
      <c r="R236" s="11">
        <v>0</v>
      </c>
      <c r="S236">
        <v>0</v>
      </c>
      <c r="T236">
        <v>0</v>
      </c>
      <c r="U236">
        <v>0</v>
      </c>
      <c r="V236" s="11">
        <v>0</v>
      </c>
      <c r="W236">
        <v>0</v>
      </c>
      <c r="X236">
        <v>0</v>
      </c>
      <c r="Y236">
        <v>0</v>
      </c>
      <c r="Z236" s="11">
        <f>SUM(Table1[[#This Row],[Chi Kept]],Table1[[#This Row],[Chi Released]])</f>
        <v>0</v>
      </c>
      <c r="AA236">
        <f>SUM(Table1[[#This Row],[Co Kept]],Table1[[#This Row],[Co Released ]])</f>
        <v>0</v>
      </c>
      <c r="AB236">
        <f>SUM(Table1[[#This Row],[Pink Kept]],Table1[[#This Row],[Pink Released]])</f>
        <v>0</v>
      </c>
      <c r="AC236">
        <f>SUM(Table1[[#This Row],[Chu Kept]],Table1[[#This Row],[Chu Released]])</f>
        <v>0</v>
      </c>
    </row>
    <row r="237" spans="1:31" x14ac:dyDescent="0.3">
      <c r="A237" s="7">
        <v>45919</v>
      </c>
      <c r="B237">
        <v>5</v>
      </c>
      <c r="C237" t="s">
        <v>236</v>
      </c>
      <c r="D237" t="s">
        <v>26</v>
      </c>
      <c r="E237">
        <v>3</v>
      </c>
      <c r="F237">
        <v>3</v>
      </c>
      <c r="G237">
        <v>8</v>
      </c>
      <c r="H237" t="s">
        <v>241</v>
      </c>
      <c r="I237">
        <v>1</v>
      </c>
      <c r="J237" s="10">
        <v>0.375</v>
      </c>
      <c r="K237" s="10">
        <v>0.46458333333333335</v>
      </c>
      <c r="L237" s="10">
        <f t="shared" si="7"/>
        <v>8.9583333333333348E-2</v>
      </c>
      <c r="M237" s="12">
        <f t="shared" si="6"/>
        <v>2.1500000000000004</v>
      </c>
      <c r="N237" s="12">
        <f>Table1[[#This Row],[Trip Hours]]*Table1[[#This Row],['#Angler]]</f>
        <v>2.1500000000000004</v>
      </c>
      <c r="O237" t="s">
        <v>342</v>
      </c>
      <c r="Q237" t="s">
        <v>343</v>
      </c>
      <c r="R237" s="11">
        <v>0</v>
      </c>
      <c r="S237">
        <v>0</v>
      </c>
      <c r="T237">
        <v>0</v>
      </c>
      <c r="U237">
        <v>0</v>
      </c>
      <c r="V237" s="11">
        <v>0</v>
      </c>
      <c r="W237">
        <v>0</v>
      </c>
      <c r="X237">
        <v>6</v>
      </c>
      <c r="Y237">
        <v>0</v>
      </c>
      <c r="Z237" s="11">
        <f>SUM(Table1[[#This Row],[Chi Kept]],Table1[[#This Row],[Chi Released]])</f>
        <v>0</v>
      </c>
      <c r="AA237">
        <f>SUM(Table1[[#This Row],[Co Kept]],Table1[[#This Row],[Co Released ]])</f>
        <v>0</v>
      </c>
      <c r="AB237">
        <f>SUM(Table1[[#This Row],[Pink Kept]],Table1[[#This Row],[Pink Released]])</f>
        <v>6</v>
      </c>
      <c r="AC237">
        <f>SUM(Table1[[#This Row],[Chu Kept]],Table1[[#This Row],[Chu Released]])</f>
        <v>0</v>
      </c>
    </row>
    <row r="238" spans="1:31" x14ac:dyDescent="0.3">
      <c r="A238" s="7">
        <v>45919</v>
      </c>
      <c r="B238">
        <v>5</v>
      </c>
      <c r="C238" t="s">
        <v>236</v>
      </c>
      <c r="D238" t="s">
        <v>26</v>
      </c>
      <c r="E238">
        <v>4</v>
      </c>
      <c r="F238">
        <v>3</v>
      </c>
      <c r="G238">
        <v>8</v>
      </c>
      <c r="H238" t="s">
        <v>241</v>
      </c>
      <c r="I238">
        <v>2</v>
      </c>
      <c r="J238" s="10">
        <v>0.33333333333333331</v>
      </c>
      <c r="K238" s="10">
        <v>0.46527777777777779</v>
      </c>
      <c r="L238" s="10">
        <f t="shared" si="7"/>
        <v>0.13194444444444448</v>
      </c>
      <c r="M238" s="12">
        <f t="shared" si="6"/>
        <v>3.1666666666666674</v>
      </c>
      <c r="N238" s="12">
        <f>Table1[[#This Row],[Trip Hours]]*Table1[[#This Row],['#Angler]]</f>
        <v>6.3333333333333348</v>
      </c>
      <c r="O238" t="s">
        <v>342</v>
      </c>
      <c r="P238" t="s">
        <v>347</v>
      </c>
      <c r="Q238" t="s">
        <v>343</v>
      </c>
      <c r="R238" s="11">
        <v>0</v>
      </c>
      <c r="S238">
        <v>0</v>
      </c>
      <c r="T238">
        <v>0</v>
      </c>
      <c r="U238">
        <v>0</v>
      </c>
      <c r="V238" s="11">
        <v>0</v>
      </c>
      <c r="W238">
        <v>0</v>
      </c>
      <c r="X238">
        <v>4</v>
      </c>
      <c r="Y238">
        <v>0</v>
      </c>
      <c r="Z238" s="11">
        <f>SUM(Table1[[#This Row],[Chi Kept]],Table1[[#This Row],[Chi Released]])</f>
        <v>0</v>
      </c>
      <c r="AA238">
        <f>SUM(Table1[[#This Row],[Co Kept]],Table1[[#This Row],[Co Released ]])</f>
        <v>0</v>
      </c>
      <c r="AB238">
        <f>SUM(Table1[[#This Row],[Pink Kept]],Table1[[#This Row],[Pink Released]])</f>
        <v>4</v>
      </c>
      <c r="AC238">
        <f>SUM(Table1[[#This Row],[Chu Kept]],Table1[[#This Row],[Chu Released]])</f>
        <v>0</v>
      </c>
    </row>
    <row r="239" spans="1:31" x14ac:dyDescent="0.3">
      <c r="A239" s="7">
        <v>45919</v>
      </c>
      <c r="B239">
        <v>5</v>
      </c>
      <c r="C239" t="s">
        <v>236</v>
      </c>
      <c r="D239" t="s">
        <v>26</v>
      </c>
      <c r="E239">
        <v>5</v>
      </c>
      <c r="F239">
        <v>3</v>
      </c>
      <c r="G239">
        <v>8</v>
      </c>
      <c r="H239" t="s">
        <v>241</v>
      </c>
      <c r="I239">
        <v>1</v>
      </c>
      <c r="J239" s="10">
        <v>0.375</v>
      </c>
      <c r="K239" s="10">
        <v>0.46527777777777779</v>
      </c>
      <c r="L239" s="10">
        <f t="shared" si="7"/>
        <v>9.027777777777779E-2</v>
      </c>
      <c r="M239" s="12">
        <f t="shared" si="6"/>
        <v>2.166666666666667</v>
      </c>
      <c r="N239" s="12">
        <f>Table1[[#This Row],[Trip Hours]]*Table1[[#This Row],['#Angler]]</f>
        <v>2.166666666666667</v>
      </c>
      <c r="O239" t="s">
        <v>342</v>
      </c>
      <c r="P239" t="s">
        <v>347</v>
      </c>
      <c r="Q239" t="s">
        <v>343</v>
      </c>
      <c r="R239" s="11">
        <v>0</v>
      </c>
      <c r="S239">
        <v>0</v>
      </c>
      <c r="T239">
        <v>2</v>
      </c>
      <c r="U239">
        <v>0</v>
      </c>
      <c r="V239" s="11">
        <v>0</v>
      </c>
      <c r="W239">
        <v>0</v>
      </c>
      <c r="X239">
        <v>0</v>
      </c>
      <c r="Y239">
        <v>0</v>
      </c>
      <c r="Z239" s="11">
        <f>SUM(Table1[[#This Row],[Chi Kept]],Table1[[#This Row],[Chi Released]])</f>
        <v>0</v>
      </c>
      <c r="AA239">
        <f>SUM(Table1[[#This Row],[Co Kept]],Table1[[#This Row],[Co Released ]])</f>
        <v>0</v>
      </c>
      <c r="AB239">
        <f>SUM(Table1[[#This Row],[Pink Kept]],Table1[[#This Row],[Pink Released]])</f>
        <v>2</v>
      </c>
      <c r="AC239">
        <f>SUM(Table1[[#This Row],[Chu Kept]],Table1[[#This Row],[Chu Released]])</f>
        <v>0</v>
      </c>
    </row>
    <row r="240" spans="1:31" x14ac:dyDescent="0.3">
      <c r="A240" s="7">
        <v>45919</v>
      </c>
      <c r="B240">
        <v>5</v>
      </c>
      <c r="C240" t="s">
        <v>236</v>
      </c>
      <c r="D240" t="s">
        <v>26</v>
      </c>
      <c r="E240">
        <v>6</v>
      </c>
      <c r="F240">
        <v>3</v>
      </c>
      <c r="G240">
        <v>8</v>
      </c>
      <c r="H240" t="s">
        <v>241</v>
      </c>
      <c r="I240">
        <v>2</v>
      </c>
      <c r="J240" s="10">
        <v>0.375</v>
      </c>
      <c r="K240" s="10">
        <v>0.46875</v>
      </c>
      <c r="L240" s="10">
        <f t="shared" si="7"/>
        <v>9.375E-2</v>
      </c>
      <c r="M240" s="12">
        <f t="shared" si="6"/>
        <v>2.25</v>
      </c>
      <c r="N240" s="12">
        <f>Table1[[#This Row],[Trip Hours]]*Table1[[#This Row],['#Angler]]</f>
        <v>4.5</v>
      </c>
      <c r="O240" t="s">
        <v>342</v>
      </c>
      <c r="Q240" t="s">
        <v>241</v>
      </c>
      <c r="R240" s="11">
        <v>0</v>
      </c>
      <c r="S240">
        <v>0</v>
      </c>
      <c r="T240">
        <v>0</v>
      </c>
      <c r="U240">
        <v>0</v>
      </c>
      <c r="V240" s="11">
        <v>0</v>
      </c>
      <c r="W240">
        <v>0</v>
      </c>
      <c r="X240">
        <v>3</v>
      </c>
      <c r="Y240">
        <v>0</v>
      </c>
      <c r="Z240" s="11">
        <f>SUM(Table1[[#This Row],[Chi Kept]],Table1[[#This Row],[Chi Released]])</f>
        <v>0</v>
      </c>
      <c r="AA240">
        <f>SUM(Table1[[#This Row],[Co Kept]],Table1[[#This Row],[Co Released ]])</f>
        <v>0</v>
      </c>
      <c r="AB240">
        <f>SUM(Table1[[#This Row],[Pink Kept]],Table1[[#This Row],[Pink Released]])</f>
        <v>3</v>
      </c>
      <c r="AC240">
        <f>SUM(Table1[[#This Row],[Chu Kept]],Table1[[#This Row],[Chu Released]])</f>
        <v>0</v>
      </c>
    </row>
    <row r="241" spans="1:29" x14ac:dyDescent="0.3">
      <c r="A241" s="7">
        <v>45919</v>
      </c>
      <c r="B241">
        <v>5</v>
      </c>
      <c r="C241" t="s">
        <v>236</v>
      </c>
      <c r="D241" t="s">
        <v>26</v>
      </c>
      <c r="E241">
        <v>7</v>
      </c>
      <c r="F241">
        <v>3</v>
      </c>
      <c r="G241">
        <v>8</v>
      </c>
      <c r="H241" t="s">
        <v>241</v>
      </c>
      <c r="I241">
        <v>1</v>
      </c>
      <c r="J241" s="10">
        <v>0.29166666666666669</v>
      </c>
      <c r="K241" s="10">
        <v>0.47291666666666665</v>
      </c>
      <c r="L241" s="10">
        <f t="shared" si="7"/>
        <v>0.18124999999999997</v>
      </c>
      <c r="M241" s="12">
        <f t="shared" si="6"/>
        <v>4.3499999999999996</v>
      </c>
      <c r="N241" s="12">
        <f>Table1[[#This Row],[Trip Hours]]*Table1[[#This Row],['#Angler]]</f>
        <v>4.3499999999999996</v>
      </c>
      <c r="O241" t="s">
        <v>349</v>
      </c>
      <c r="R241" s="11">
        <v>0</v>
      </c>
      <c r="S241">
        <v>1</v>
      </c>
      <c r="T241">
        <v>0</v>
      </c>
      <c r="U241">
        <v>0</v>
      </c>
      <c r="V241" s="11">
        <v>0</v>
      </c>
      <c r="W241">
        <v>0</v>
      </c>
      <c r="X241">
        <v>5</v>
      </c>
      <c r="Y241">
        <v>0</v>
      </c>
      <c r="Z241" s="11">
        <f>SUM(Table1[[#This Row],[Chi Kept]],Table1[[#This Row],[Chi Released]])</f>
        <v>0</v>
      </c>
      <c r="AA241">
        <f>SUM(Table1[[#This Row],[Co Kept]],Table1[[#This Row],[Co Released ]])</f>
        <v>1</v>
      </c>
      <c r="AB241">
        <f>SUM(Table1[[#This Row],[Pink Kept]],Table1[[#This Row],[Pink Released]])</f>
        <v>5</v>
      </c>
      <c r="AC241">
        <f>SUM(Table1[[#This Row],[Chu Kept]],Table1[[#This Row],[Chu Released]])</f>
        <v>0</v>
      </c>
    </row>
    <row r="242" spans="1:29" x14ac:dyDescent="0.3">
      <c r="A242" s="7">
        <v>45919</v>
      </c>
      <c r="B242">
        <v>5</v>
      </c>
      <c r="C242" t="s">
        <v>236</v>
      </c>
      <c r="D242" t="s">
        <v>42</v>
      </c>
      <c r="E242">
        <v>8</v>
      </c>
      <c r="F242">
        <v>1</v>
      </c>
      <c r="G242">
        <v>1</v>
      </c>
      <c r="H242" t="s">
        <v>344</v>
      </c>
      <c r="I242">
        <v>1</v>
      </c>
      <c r="J242" s="10">
        <v>0.52083333333333337</v>
      </c>
      <c r="K242" s="10">
        <v>0.65625</v>
      </c>
      <c r="L242" s="10">
        <f t="shared" si="7"/>
        <v>0.13541666666666663</v>
      </c>
      <c r="M242" s="12">
        <f t="shared" si="6"/>
        <v>3.2499999999999991</v>
      </c>
      <c r="N242" s="12">
        <f>Table1[[#This Row],[Trip Hours]]*Table1[[#This Row],['#Angler]]</f>
        <v>3.2499999999999991</v>
      </c>
      <c r="O242" t="s">
        <v>342</v>
      </c>
      <c r="Q242" t="s">
        <v>247</v>
      </c>
      <c r="R242" s="11">
        <v>0</v>
      </c>
      <c r="S242">
        <v>3</v>
      </c>
      <c r="T242">
        <v>0</v>
      </c>
      <c r="U242">
        <v>0</v>
      </c>
      <c r="V242" s="11">
        <v>0</v>
      </c>
      <c r="W242">
        <v>0</v>
      </c>
      <c r="X242">
        <v>1</v>
      </c>
      <c r="Y242">
        <v>0</v>
      </c>
      <c r="Z242" s="11">
        <f>SUM(Table1[[#This Row],[Chi Kept]],Table1[[#This Row],[Chi Released]])</f>
        <v>0</v>
      </c>
      <c r="AA242">
        <f>SUM(Table1[[#This Row],[Co Kept]],Table1[[#This Row],[Co Released ]])</f>
        <v>3</v>
      </c>
      <c r="AB242">
        <f>SUM(Table1[[#This Row],[Pink Kept]],Table1[[#This Row],[Pink Released]])</f>
        <v>1</v>
      </c>
      <c r="AC242">
        <f>SUM(Table1[[#This Row],[Chu Kept]],Table1[[#This Row],[Chu Released]])</f>
        <v>0</v>
      </c>
    </row>
    <row r="243" spans="1:29" x14ac:dyDescent="0.3">
      <c r="A243" s="7">
        <v>45919</v>
      </c>
      <c r="B243">
        <v>5</v>
      </c>
      <c r="C243" t="s">
        <v>236</v>
      </c>
      <c r="D243" t="s">
        <v>42</v>
      </c>
      <c r="E243">
        <v>9</v>
      </c>
      <c r="F243">
        <v>1</v>
      </c>
      <c r="G243">
        <v>1</v>
      </c>
      <c r="H243" t="s">
        <v>344</v>
      </c>
      <c r="I243">
        <v>2</v>
      </c>
      <c r="J243" s="10">
        <v>0.5</v>
      </c>
      <c r="K243" s="10">
        <v>0.72222222222222221</v>
      </c>
      <c r="L243" s="10">
        <f t="shared" si="7"/>
        <v>0.22222222222222221</v>
      </c>
      <c r="M243" s="12">
        <f t="shared" si="6"/>
        <v>5.333333333333333</v>
      </c>
      <c r="N243" s="12">
        <f>Table1[[#This Row],[Trip Hours]]*Table1[[#This Row],['#Angler]]</f>
        <v>10.666666666666666</v>
      </c>
      <c r="O243" t="s">
        <v>342</v>
      </c>
      <c r="Q243" t="s">
        <v>247</v>
      </c>
      <c r="R243" s="11">
        <v>0</v>
      </c>
      <c r="S243">
        <v>0</v>
      </c>
      <c r="T243">
        <v>0</v>
      </c>
      <c r="U243">
        <v>0</v>
      </c>
      <c r="V243" s="11">
        <v>0</v>
      </c>
      <c r="W243">
        <v>1</v>
      </c>
      <c r="X243">
        <v>0</v>
      </c>
      <c r="Y243">
        <v>0</v>
      </c>
      <c r="Z243" s="11">
        <f>SUM(Table1[[#This Row],[Chi Kept]],Table1[[#This Row],[Chi Released]])</f>
        <v>0</v>
      </c>
      <c r="AA243">
        <f>SUM(Table1[[#This Row],[Co Kept]],Table1[[#This Row],[Co Released ]])</f>
        <v>1</v>
      </c>
      <c r="AB243">
        <f>SUM(Table1[[#This Row],[Pink Kept]],Table1[[#This Row],[Pink Released]])</f>
        <v>0</v>
      </c>
      <c r="AC243">
        <f>SUM(Table1[[#This Row],[Chu Kept]],Table1[[#This Row],[Chu Released]])</f>
        <v>0</v>
      </c>
    </row>
    <row r="244" spans="1:29" x14ac:dyDescent="0.3">
      <c r="A244" s="7">
        <v>45919</v>
      </c>
      <c r="B244">
        <v>5</v>
      </c>
      <c r="C244" t="s">
        <v>236</v>
      </c>
      <c r="D244" t="s">
        <v>42</v>
      </c>
      <c r="E244">
        <v>10</v>
      </c>
      <c r="F244">
        <v>1</v>
      </c>
      <c r="G244">
        <v>1</v>
      </c>
      <c r="H244" t="s">
        <v>344</v>
      </c>
      <c r="I244">
        <v>1</v>
      </c>
      <c r="J244" s="10">
        <v>0.58333333333333337</v>
      </c>
      <c r="K244" s="10">
        <v>0.73333333333333328</v>
      </c>
      <c r="L244" s="10">
        <f t="shared" si="7"/>
        <v>0.14999999999999991</v>
      </c>
      <c r="M244" s="12">
        <f t="shared" si="6"/>
        <v>3.5999999999999979</v>
      </c>
      <c r="N244" s="12">
        <f>Table1[[#This Row],[Trip Hours]]*Table1[[#This Row],['#Angler]]</f>
        <v>3.5999999999999979</v>
      </c>
      <c r="O244" t="s">
        <v>342</v>
      </c>
      <c r="Q244" t="s">
        <v>247</v>
      </c>
      <c r="R244" s="11">
        <v>0</v>
      </c>
      <c r="S244">
        <v>1</v>
      </c>
      <c r="T244">
        <v>0</v>
      </c>
      <c r="U244">
        <v>0</v>
      </c>
      <c r="V244" s="11">
        <v>0</v>
      </c>
      <c r="W244">
        <v>0</v>
      </c>
      <c r="X244">
        <v>0</v>
      </c>
      <c r="Y244">
        <v>0</v>
      </c>
      <c r="Z244" s="11">
        <f>SUM(Table1[[#This Row],[Chi Kept]],Table1[[#This Row],[Chi Released]])</f>
        <v>0</v>
      </c>
      <c r="AA244">
        <f>SUM(Table1[[#This Row],[Co Kept]],Table1[[#This Row],[Co Released ]])</f>
        <v>1</v>
      </c>
      <c r="AB244">
        <f>SUM(Table1[[#This Row],[Pink Kept]],Table1[[#This Row],[Pink Released]])</f>
        <v>0</v>
      </c>
      <c r="AC244">
        <f>SUM(Table1[[#This Row],[Chu Kept]],Table1[[#This Row],[Chu Released]])</f>
        <v>0</v>
      </c>
    </row>
    <row r="245" spans="1:29" x14ac:dyDescent="0.3">
      <c r="A245" s="7">
        <v>45919</v>
      </c>
      <c r="B245">
        <v>5</v>
      </c>
      <c r="C245" t="s">
        <v>236</v>
      </c>
      <c r="D245" t="s">
        <v>42</v>
      </c>
      <c r="E245">
        <v>11</v>
      </c>
      <c r="F245">
        <v>1</v>
      </c>
      <c r="G245">
        <v>1</v>
      </c>
      <c r="H245" t="s">
        <v>344</v>
      </c>
      <c r="I245">
        <v>2</v>
      </c>
      <c r="J245" s="10">
        <v>0.70833333333333337</v>
      </c>
      <c r="K245" s="10">
        <v>0.78472222222222221</v>
      </c>
      <c r="L245" s="10">
        <f t="shared" si="7"/>
        <v>7.638888888888884E-2</v>
      </c>
      <c r="M245" s="12">
        <f t="shared" si="6"/>
        <v>1.8333333333333321</v>
      </c>
      <c r="N245" s="12">
        <f>Table1[[#This Row],[Trip Hours]]*Table1[[#This Row],['#Angler]]</f>
        <v>3.6666666666666643</v>
      </c>
      <c r="O245" t="s">
        <v>342</v>
      </c>
      <c r="P245" t="s">
        <v>347</v>
      </c>
      <c r="Q245" t="s">
        <v>345</v>
      </c>
      <c r="R245" s="11">
        <v>0</v>
      </c>
      <c r="S245">
        <v>0</v>
      </c>
      <c r="T245">
        <v>1</v>
      </c>
      <c r="U245">
        <v>0</v>
      </c>
      <c r="V245" s="11">
        <v>0</v>
      </c>
      <c r="W245">
        <v>0</v>
      </c>
      <c r="X245">
        <v>0</v>
      </c>
      <c r="Y245">
        <v>0</v>
      </c>
      <c r="Z245" s="11">
        <f>SUM(Table1[[#This Row],[Chi Kept]],Table1[[#This Row],[Chi Released]])</f>
        <v>0</v>
      </c>
      <c r="AA245">
        <f>SUM(Table1[[#This Row],[Co Kept]],Table1[[#This Row],[Co Released ]])</f>
        <v>0</v>
      </c>
      <c r="AB245">
        <f>SUM(Table1[[#This Row],[Pink Kept]],Table1[[#This Row],[Pink Released]])</f>
        <v>1</v>
      </c>
      <c r="AC245">
        <f>SUM(Table1[[#This Row],[Chu Kept]],Table1[[#This Row],[Chu Released]])</f>
        <v>0</v>
      </c>
    </row>
    <row r="246" spans="1:29" x14ac:dyDescent="0.3">
      <c r="A246" s="7">
        <v>45919</v>
      </c>
      <c r="B246">
        <v>5</v>
      </c>
      <c r="C246" t="s">
        <v>236</v>
      </c>
      <c r="D246" t="s">
        <v>42</v>
      </c>
      <c r="E246">
        <v>12</v>
      </c>
      <c r="F246">
        <v>1</v>
      </c>
      <c r="G246">
        <v>1</v>
      </c>
      <c r="H246" t="s">
        <v>344</v>
      </c>
      <c r="I246">
        <v>2</v>
      </c>
      <c r="J246" s="10">
        <v>0.66666666666666663</v>
      </c>
      <c r="K246" s="10">
        <v>0.78749999999999998</v>
      </c>
      <c r="L246" s="10">
        <f t="shared" si="7"/>
        <v>0.12083333333333335</v>
      </c>
      <c r="M246" s="12">
        <f t="shared" si="6"/>
        <v>2.9000000000000004</v>
      </c>
      <c r="N246" s="12">
        <f>Table1[[#This Row],[Trip Hours]]*Table1[[#This Row],['#Angler]]</f>
        <v>5.8000000000000007</v>
      </c>
      <c r="O246" t="s">
        <v>342</v>
      </c>
      <c r="Q246" t="s">
        <v>345</v>
      </c>
      <c r="R246" s="11">
        <v>0</v>
      </c>
      <c r="S246">
        <v>0</v>
      </c>
      <c r="T246">
        <v>0</v>
      </c>
      <c r="U246">
        <v>0</v>
      </c>
      <c r="V246" s="11">
        <v>0</v>
      </c>
      <c r="W246">
        <v>0</v>
      </c>
      <c r="X246">
        <v>0</v>
      </c>
      <c r="Y246">
        <v>0</v>
      </c>
      <c r="Z246" s="11">
        <f>SUM(Table1[[#This Row],[Chi Kept]],Table1[[#This Row],[Chi Released]])</f>
        <v>0</v>
      </c>
      <c r="AA246">
        <f>SUM(Table1[[#This Row],[Co Kept]],Table1[[#This Row],[Co Released ]])</f>
        <v>0</v>
      </c>
      <c r="AB246">
        <f>SUM(Table1[[#This Row],[Pink Kept]],Table1[[#This Row],[Pink Released]])</f>
        <v>0</v>
      </c>
      <c r="AC246">
        <f>SUM(Table1[[#This Row],[Chu Kept]],Table1[[#This Row],[Chu Released]])</f>
        <v>0</v>
      </c>
    </row>
    <row r="247" spans="1:29" x14ac:dyDescent="0.3">
      <c r="A247" s="7">
        <v>45919</v>
      </c>
      <c r="B247">
        <v>5</v>
      </c>
      <c r="C247" t="s">
        <v>236</v>
      </c>
      <c r="D247" t="s">
        <v>42</v>
      </c>
      <c r="E247">
        <v>13</v>
      </c>
      <c r="F247">
        <v>1</v>
      </c>
      <c r="G247">
        <v>1</v>
      </c>
      <c r="H247" t="s">
        <v>344</v>
      </c>
      <c r="I247">
        <v>2</v>
      </c>
      <c r="J247" s="10">
        <v>0.70833333333333337</v>
      </c>
      <c r="K247" s="10">
        <v>0.78749999999999998</v>
      </c>
      <c r="L247" s="10">
        <f t="shared" si="7"/>
        <v>7.9166666666666607E-2</v>
      </c>
      <c r="M247" s="12">
        <f t="shared" si="6"/>
        <v>1.8999999999999986</v>
      </c>
      <c r="N247" s="12">
        <f>Table1[[#This Row],[Trip Hours]]*Table1[[#This Row],['#Angler]]</f>
        <v>3.7999999999999972</v>
      </c>
      <c r="O247" t="s">
        <v>342</v>
      </c>
      <c r="P247" t="s">
        <v>277</v>
      </c>
      <c r="Q247" t="s">
        <v>247</v>
      </c>
      <c r="R247" s="11">
        <v>0</v>
      </c>
      <c r="S247">
        <v>1</v>
      </c>
      <c r="T247">
        <v>0</v>
      </c>
      <c r="U247">
        <v>0</v>
      </c>
      <c r="V247" s="11">
        <v>0</v>
      </c>
      <c r="W247">
        <v>0</v>
      </c>
      <c r="X247">
        <v>0</v>
      </c>
      <c r="Y247">
        <v>0</v>
      </c>
      <c r="Z247" s="11">
        <f>SUM(Table1[[#This Row],[Chi Kept]],Table1[[#This Row],[Chi Released]])</f>
        <v>0</v>
      </c>
      <c r="AA247">
        <f>SUM(Table1[[#This Row],[Co Kept]],Table1[[#This Row],[Co Released ]])</f>
        <v>1</v>
      </c>
      <c r="AB247">
        <f>SUM(Table1[[#This Row],[Pink Kept]],Table1[[#This Row],[Pink Released]])</f>
        <v>0</v>
      </c>
      <c r="AC247">
        <f>SUM(Table1[[#This Row],[Chu Kept]],Table1[[#This Row],[Chu Released]])</f>
        <v>0</v>
      </c>
    </row>
    <row r="248" spans="1:29" x14ac:dyDescent="0.3">
      <c r="A248" s="7">
        <v>45920</v>
      </c>
      <c r="B248">
        <v>5</v>
      </c>
      <c r="C248" t="s">
        <v>250</v>
      </c>
      <c r="D248" t="s">
        <v>26</v>
      </c>
      <c r="E248">
        <v>1</v>
      </c>
      <c r="F248">
        <v>1</v>
      </c>
      <c r="G248">
        <v>2</v>
      </c>
      <c r="H248" t="s">
        <v>241</v>
      </c>
      <c r="I248">
        <v>1</v>
      </c>
      <c r="J248" s="10">
        <v>0.27083333333333331</v>
      </c>
      <c r="K248" s="10">
        <v>0.30972222222222223</v>
      </c>
      <c r="L248" s="10">
        <f t="shared" si="7"/>
        <v>3.8888888888888917E-2</v>
      </c>
      <c r="M248" s="12">
        <f t="shared" si="6"/>
        <v>0.93333333333333401</v>
      </c>
      <c r="N248" s="12">
        <f>Table1[[#This Row],[Trip Hours]]*Table1[[#This Row],['#Angler]]</f>
        <v>0.93333333333333401</v>
      </c>
      <c r="O248" t="s">
        <v>349</v>
      </c>
      <c r="Q248" t="s">
        <v>247</v>
      </c>
      <c r="R248" s="11">
        <v>0</v>
      </c>
      <c r="S248">
        <v>1</v>
      </c>
      <c r="T248">
        <v>0</v>
      </c>
      <c r="U248">
        <v>0</v>
      </c>
      <c r="V248" s="11">
        <v>0</v>
      </c>
      <c r="W248">
        <v>0</v>
      </c>
      <c r="X248">
        <v>0</v>
      </c>
      <c r="Y248">
        <v>0</v>
      </c>
      <c r="Z248" s="11">
        <f>SUM(Table1[[#This Row],[Chi Kept]],Table1[[#This Row],[Chi Released]])</f>
        <v>0</v>
      </c>
      <c r="AA248">
        <f>SUM(Table1[[#This Row],[Co Kept]],Table1[[#This Row],[Co Released ]])</f>
        <v>1</v>
      </c>
      <c r="AB248">
        <f>SUM(Table1[[#This Row],[Pink Kept]],Table1[[#This Row],[Pink Released]])</f>
        <v>0</v>
      </c>
      <c r="AC248">
        <f>SUM(Table1[[#This Row],[Chu Kept]],Table1[[#This Row],[Chu Released]])</f>
        <v>0</v>
      </c>
    </row>
    <row r="249" spans="1:29" x14ac:dyDescent="0.3">
      <c r="A249" s="7">
        <v>45920</v>
      </c>
      <c r="B249">
        <v>5</v>
      </c>
      <c r="C249" t="s">
        <v>250</v>
      </c>
      <c r="D249" t="s">
        <v>26</v>
      </c>
      <c r="E249">
        <v>2</v>
      </c>
      <c r="F249">
        <v>3</v>
      </c>
      <c r="G249">
        <v>5</v>
      </c>
      <c r="H249" t="s">
        <v>241</v>
      </c>
      <c r="I249">
        <v>3</v>
      </c>
      <c r="J249" s="10">
        <v>0.44791666666666669</v>
      </c>
      <c r="K249" s="10">
        <v>0.48125000000000001</v>
      </c>
      <c r="L249" s="10">
        <f t="shared" si="7"/>
        <v>3.3333333333333326E-2</v>
      </c>
      <c r="M249" s="12">
        <f t="shared" si="6"/>
        <v>0.79999999999999982</v>
      </c>
      <c r="N249" s="12">
        <f>Table1[[#This Row],[Trip Hours]]*Table1[[#This Row],['#Angler]]</f>
        <v>2.3999999999999995</v>
      </c>
      <c r="O249" t="s">
        <v>342</v>
      </c>
      <c r="R249" s="11">
        <v>0</v>
      </c>
      <c r="S249">
        <v>0</v>
      </c>
      <c r="T249">
        <v>0</v>
      </c>
      <c r="U249">
        <v>0</v>
      </c>
      <c r="V249" s="11">
        <v>0</v>
      </c>
      <c r="W249">
        <v>0</v>
      </c>
      <c r="X249">
        <v>0</v>
      </c>
      <c r="Y249">
        <v>0</v>
      </c>
      <c r="Z249" s="11">
        <f>SUM(Table1[[#This Row],[Chi Kept]],Table1[[#This Row],[Chi Released]])</f>
        <v>0</v>
      </c>
      <c r="AA249">
        <f>SUM(Table1[[#This Row],[Co Kept]],Table1[[#This Row],[Co Released ]])</f>
        <v>0</v>
      </c>
      <c r="AB249">
        <f>SUM(Table1[[#This Row],[Pink Kept]],Table1[[#This Row],[Pink Released]])</f>
        <v>0</v>
      </c>
      <c r="AC249">
        <f>SUM(Table1[[#This Row],[Chu Kept]],Table1[[#This Row],[Chu Released]])</f>
        <v>0</v>
      </c>
    </row>
    <row r="250" spans="1:29" x14ac:dyDescent="0.3">
      <c r="A250" s="7">
        <v>45920</v>
      </c>
      <c r="B250">
        <v>5</v>
      </c>
      <c r="C250" t="s">
        <v>250</v>
      </c>
      <c r="D250" t="s">
        <v>26</v>
      </c>
      <c r="E250">
        <v>3</v>
      </c>
      <c r="F250">
        <v>3</v>
      </c>
      <c r="G250">
        <v>6</v>
      </c>
      <c r="H250" t="s">
        <v>241</v>
      </c>
      <c r="I250">
        <v>1</v>
      </c>
      <c r="J250" s="10">
        <v>0.39583333333333331</v>
      </c>
      <c r="K250" s="10">
        <v>0.48958333333333331</v>
      </c>
      <c r="L250" s="10">
        <f t="shared" si="7"/>
        <v>9.375E-2</v>
      </c>
      <c r="M250" s="12">
        <f t="shared" si="6"/>
        <v>2.25</v>
      </c>
      <c r="N250" s="12">
        <f>Table1[[#This Row],[Trip Hours]]*Table1[[#This Row],['#Angler]]</f>
        <v>2.25</v>
      </c>
      <c r="O250" t="s">
        <v>342</v>
      </c>
      <c r="Q250" t="s">
        <v>343</v>
      </c>
      <c r="R250" s="11">
        <v>0</v>
      </c>
      <c r="S250">
        <v>0</v>
      </c>
      <c r="T250">
        <v>0</v>
      </c>
      <c r="U250">
        <v>0</v>
      </c>
      <c r="V250" s="11">
        <v>0</v>
      </c>
      <c r="W250">
        <v>0</v>
      </c>
      <c r="X250">
        <v>0</v>
      </c>
      <c r="Y250">
        <v>0</v>
      </c>
      <c r="Z250" s="11">
        <f>SUM(Table1[[#This Row],[Chi Kept]],Table1[[#This Row],[Chi Released]])</f>
        <v>0</v>
      </c>
      <c r="AA250">
        <f>SUM(Table1[[#This Row],[Co Kept]],Table1[[#This Row],[Co Released ]])</f>
        <v>0</v>
      </c>
      <c r="AB250">
        <f>SUM(Table1[[#This Row],[Pink Kept]],Table1[[#This Row],[Pink Released]])</f>
        <v>0</v>
      </c>
      <c r="AC250">
        <f>SUM(Table1[[#This Row],[Chu Kept]],Table1[[#This Row],[Chu Released]])</f>
        <v>0</v>
      </c>
    </row>
    <row r="251" spans="1:29" x14ac:dyDescent="0.3">
      <c r="A251" s="7">
        <v>45920</v>
      </c>
      <c r="B251">
        <v>5</v>
      </c>
      <c r="C251" t="s">
        <v>250</v>
      </c>
      <c r="D251" t="s">
        <v>26</v>
      </c>
      <c r="E251">
        <v>4</v>
      </c>
      <c r="F251">
        <v>3</v>
      </c>
      <c r="G251">
        <v>8</v>
      </c>
      <c r="H251" t="s">
        <v>241</v>
      </c>
      <c r="I251">
        <v>1</v>
      </c>
      <c r="J251" s="10">
        <v>0.28125</v>
      </c>
      <c r="K251" s="10">
        <v>0.51736111111111116</v>
      </c>
      <c r="L251" s="10">
        <f t="shared" si="7"/>
        <v>0.23611111111111116</v>
      </c>
      <c r="M251" s="12">
        <f t="shared" si="6"/>
        <v>5.6666666666666679</v>
      </c>
      <c r="N251" s="12">
        <f>Table1[[#This Row],[Trip Hours]]*Table1[[#This Row],['#Angler]]</f>
        <v>5.6666666666666679</v>
      </c>
      <c r="O251" t="s">
        <v>342</v>
      </c>
      <c r="Q251" t="s">
        <v>247</v>
      </c>
      <c r="R251" s="11">
        <v>0</v>
      </c>
      <c r="S251">
        <v>0</v>
      </c>
      <c r="T251">
        <v>1</v>
      </c>
      <c r="U251">
        <v>0</v>
      </c>
      <c r="V251" s="11">
        <v>0</v>
      </c>
      <c r="W251">
        <v>0</v>
      </c>
      <c r="X251">
        <v>0</v>
      </c>
      <c r="Y251">
        <v>0</v>
      </c>
      <c r="Z251" s="11">
        <f>SUM(Table1[[#This Row],[Chi Kept]],Table1[[#This Row],[Chi Released]])</f>
        <v>0</v>
      </c>
      <c r="AA251">
        <f>SUM(Table1[[#This Row],[Co Kept]],Table1[[#This Row],[Co Released ]])</f>
        <v>0</v>
      </c>
      <c r="AB251">
        <f>SUM(Table1[[#This Row],[Pink Kept]],Table1[[#This Row],[Pink Released]])</f>
        <v>1</v>
      </c>
      <c r="AC251">
        <f>SUM(Table1[[#This Row],[Chu Kept]],Table1[[#This Row],[Chu Released]])</f>
        <v>0</v>
      </c>
    </row>
    <row r="252" spans="1:29" x14ac:dyDescent="0.3">
      <c r="A252" s="7">
        <v>45920</v>
      </c>
      <c r="B252">
        <v>5</v>
      </c>
      <c r="C252" t="s">
        <v>250</v>
      </c>
      <c r="D252" t="s">
        <v>26</v>
      </c>
      <c r="E252">
        <v>5</v>
      </c>
      <c r="F252">
        <v>3</v>
      </c>
      <c r="G252">
        <v>8</v>
      </c>
      <c r="H252" t="s">
        <v>241</v>
      </c>
      <c r="I252">
        <v>2</v>
      </c>
      <c r="J252" s="10">
        <v>0.29166666666666669</v>
      </c>
      <c r="K252" s="10">
        <v>0.51736111111111116</v>
      </c>
      <c r="L252" s="10">
        <f t="shared" si="7"/>
        <v>0.22569444444444448</v>
      </c>
      <c r="M252" s="12">
        <f t="shared" si="6"/>
        <v>5.4166666666666679</v>
      </c>
      <c r="N252" s="12">
        <f>Table1[[#This Row],[Trip Hours]]*Table1[[#This Row],['#Angler]]</f>
        <v>10.833333333333336</v>
      </c>
      <c r="O252" t="s">
        <v>342</v>
      </c>
      <c r="R252" s="11">
        <v>0</v>
      </c>
      <c r="S252">
        <v>1</v>
      </c>
      <c r="T252">
        <v>2</v>
      </c>
      <c r="U252">
        <v>0</v>
      </c>
      <c r="V252" s="11">
        <v>0</v>
      </c>
      <c r="W252">
        <v>0</v>
      </c>
      <c r="X252">
        <v>0</v>
      </c>
      <c r="Y252">
        <v>0</v>
      </c>
      <c r="Z252" s="11">
        <f>SUM(Table1[[#This Row],[Chi Kept]],Table1[[#This Row],[Chi Released]])</f>
        <v>0</v>
      </c>
      <c r="AA252">
        <f>SUM(Table1[[#This Row],[Co Kept]],Table1[[#This Row],[Co Released ]])</f>
        <v>1</v>
      </c>
      <c r="AB252">
        <f>SUM(Table1[[#This Row],[Pink Kept]],Table1[[#This Row],[Pink Released]])</f>
        <v>2</v>
      </c>
      <c r="AC252">
        <f>SUM(Table1[[#This Row],[Chu Kept]],Table1[[#This Row],[Chu Released]])</f>
        <v>0</v>
      </c>
    </row>
    <row r="253" spans="1:29" x14ac:dyDescent="0.3">
      <c r="A253" s="7">
        <v>45920</v>
      </c>
      <c r="B253">
        <v>5</v>
      </c>
      <c r="C253" t="s">
        <v>250</v>
      </c>
      <c r="D253" t="s">
        <v>26</v>
      </c>
      <c r="E253">
        <v>6</v>
      </c>
      <c r="F253">
        <v>3</v>
      </c>
      <c r="G253">
        <v>8</v>
      </c>
      <c r="H253" t="s">
        <v>241</v>
      </c>
      <c r="I253">
        <v>2</v>
      </c>
      <c r="J253" s="10">
        <v>0.375</v>
      </c>
      <c r="K253" s="10">
        <v>0.52083333333333337</v>
      </c>
      <c r="L253" s="10">
        <f t="shared" si="7"/>
        <v>0.14583333333333337</v>
      </c>
      <c r="M253" s="12">
        <f t="shared" si="6"/>
        <v>3.5000000000000009</v>
      </c>
      <c r="N253" s="12">
        <f>Table1[[#This Row],[Trip Hours]]*Table1[[#This Row],['#Angler]]</f>
        <v>7.0000000000000018</v>
      </c>
      <c r="O253" t="s">
        <v>342</v>
      </c>
      <c r="P253" t="s">
        <v>347</v>
      </c>
      <c r="Q253" t="s">
        <v>238</v>
      </c>
      <c r="R253" s="11">
        <v>0</v>
      </c>
      <c r="S253">
        <v>0</v>
      </c>
      <c r="T253">
        <v>0</v>
      </c>
      <c r="U253">
        <v>0</v>
      </c>
      <c r="V253" s="11">
        <v>0</v>
      </c>
      <c r="W253">
        <v>0</v>
      </c>
      <c r="X253">
        <v>0</v>
      </c>
      <c r="Y253">
        <v>0</v>
      </c>
      <c r="Z253" s="11">
        <f>SUM(Table1[[#This Row],[Chi Kept]],Table1[[#This Row],[Chi Released]])</f>
        <v>0</v>
      </c>
      <c r="AA253">
        <f>SUM(Table1[[#This Row],[Co Kept]],Table1[[#This Row],[Co Released ]])</f>
        <v>0</v>
      </c>
      <c r="AB253">
        <f>SUM(Table1[[#This Row],[Pink Kept]],Table1[[#This Row],[Pink Released]])</f>
        <v>0</v>
      </c>
      <c r="AC253">
        <f>SUM(Table1[[#This Row],[Chu Kept]],Table1[[#This Row],[Chu Released]])</f>
        <v>0</v>
      </c>
    </row>
    <row r="254" spans="1:29" x14ac:dyDescent="0.3">
      <c r="A254" s="7">
        <v>45920</v>
      </c>
      <c r="B254">
        <v>5</v>
      </c>
      <c r="C254" t="s">
        <v>250</v>
      </c>
      <c r="D254" t="s">
        <v>26</v>
      </c>
      <c r="E254">
        <v>7</v>
      </c>
      <c r="F254">
        <v>3</v>
      </c>
      <c r="G254">
        <v>8</v>
      </c>
      <c r="H254" t="s">
        <v>241</v>
      </c>
      <c r="I254">
        <v>1</v>
      </c>
      <c r="J254" s="10">
        <v>0.51041666666666663</v>
      </c>
      <c r="K254" s="10">
        <v>0.52083333333333337</v>
      </c>
      <c r="L254" s="10">
        <f t="shared" si="7"/>
        <v>1.0416666666666741E-2</v>
      </c>
      <c r="M254" s="12">
        <f t="shared" si="6"/>
        <v>0.25000000000000178</v>
      </c>
      <c r="N254" s="12">
        <f>Table1[[#This Row],[Trip Hours]]*Table1[[#This Row],['#Angler]]</f>
        <v>0.25000000000000178</v>
      </c>
      <c r="O254" t="s">
        <v>342</v>
      </c>
      <c r="Q254" t="s">
        <v>241</v>
      </c>
      <c r="R254" s="11">
        <v>0</v>
      </c>
      <c r="S254">
        <v>0</v>
      </c>
      <c r="T254">
        <v>0</v>
      </c>
      <c r="U254">
        <v>0</v>
      </c>
      <c r="V254" s="11">
        <v>0</v>
      </c>
      <c r="W254">
        <v>0</v>
      </c>
      <c r="X254">
        <v>0</v>
      </c>
      <c r="Y254">
        <v>0</v>
      </c>
      <c r="Z254" s="11">
        <f>SUM(Table1[[#This Row],[Chi Kept]],Table1[[#This Row],[Chi Released]])</f>
        <v>0</v>
      </c>
      <c r="AA254">
        <f>SUM(Table1[[#This Row],[Co Kept]],Table1[[#This Row],[Co Released ]])</f>
        <v>0</v>
      </c>
      <c r="AB254">
        <f>SUM(Table1[[#This Row],[Pink Kept]],Table1[[#This Row],[Pink Released]])</f>
        <v>0</v>
      </c>
      <c r="AC254">
        <f>SUM(Table1[[#This Row],[Chu Kept]],Table1[[#This Row],[Chu Released]])</f>
        <v>0</v>
      </c>
    </row>
    <row r="255" spans="1:29" x14ac:dyDescent="0.3">
      <c r="A255" s="7">
        <v>45920</v>
      </c>
      <c r="B255">
        <v>5</v>
      </c>
      <c r="C255" t="s">
        <v>250</v>
      </c>
      <c r="D255" t="s">
        <v>42</v>
      </c>
      <c r="E255">
        <v>8</v>
      </c>
      <c r="F255">
        <v>2</v>
      </c>
      <c r="G255">
        <v>4</v>
      </c>
      <c r="H255" t="s">
        <v>241</v>
      </c>
      <c r="I255">
        <v>2</v>
      </c>
      <c r="J255" s="10">
        <v>0.54166666666666663</v>
      </c>
      <c r="K255" s="10">
        <v>0.68055555555555558</v>
      </c>
      <c r="L255" s="10">
        <f t="shared" si="7"/>
        <v>0.13888888888888895</v>
      </c>
      <c r="M255" s="12">
        <f t="shared" si="6"/>
        <v>3.3333333333333348</v>
      </c>
      <c r="N255" s="12">
        <f>Table1[[#This Row],[Trip Hours]]*Table1[[#This Row],['#Angler]]</f>
        <v>6.6666666666666696</v>
      </c>
      <c r="O255" t="s">
        <v>342</v>
      </c>
      <c r="Q255" t="s">
        <v>345</v>
      </c>
      <c r="R255" s="11">
        <v>0</v>
      </c>
      <c r="S255">
        <v>0</v>
      </c>
      <c r="T255">
        <v>0</v>
      </c>
      <c r="U255">
        <v>0</v>
      </c>
      <c r="V255" s="11">
        <v>0</v>
      </c>
      <c r="W255">
        <v>0</v>
      </c>
      <c r="X255">
        <v>2</v>
      </c>
      <c r="Y255">
        <v>0</v>
      </c>
      <c r="Z255" s="11">
        <f>SUM(Table1[[#This Row],[Chi Kept]],Table1[[#This Row],[Chi Released]])</f>
        <v>0</v>
      </c>
      <c r="AA255">
        <f>SUM(Table1[[#This Row],[Co Kept]],Table1[[#This Row],[Co Released ]])</f>
        <v>0</v>
      </c>
      <c r="AB255">
        <f>SUM(Table1[[#This Row],[Pink Kept]],Table1[[#This Row],[Pink Released]])</f>
        <v>2</v>
      </c>
      <c r="AC255">
        <f>SUM(Table1[[#This Row],[Chu Kept]],Table1[[#This Row],[Chu Released]])</f>
        <v>0</v>
      </c>
    </row>
    <row r="256" spans="1:29" x14ac:dyDescent="0.3">
      <c r="A256" s="7">
        <v>45920</v>
      </c>
      <c r="B256">
        <v>5</v>
      </c>
      <c r="C256" t="s">
        <v>250</v>
      </c>
      <c r="D256" t="s">
        <v>42</v>
      </c>
      <c r="E256">
        <v>9</v>
      </c>
      <c r="F256">
        <v>2</v>
      </c>
      <c r="G256">
        <v>4</v>
      </c>
      <c r="H256" t="s">
        <v>241</v>
      </c>
      <c r="I256">
        <v>1</v>
      </c>
      <c r="J256" s="10">
        <v>0.64583333333333337</v>
      </c>
      <c r="K256" s="10">
        <v>0.68611111111111112</v>
      </c>
      <c r="L256" s="10">
        <f t="shared" si="7"/>
        <v>4.0277777777777746E-2</v>
      </c>
      <c r="M256" s="12">
        <f t="shared" si="6"/>
        <v>0.9666666666666659</v>
      </c>
      <c r="N256" s="12">
        <f>Table1[[#This Row],[Trip Hours]]*Table1[[#This Row],['#Angler]]</f>
        <v>0.9666666666666659</v>
      </c>
      <c r="O256" t="s">
        <v>342</v>
      </c>
      <c r="P256" t="s">
        <v>347</v>
      </c>
      <c r="Q256" t="s">
        <v>241</v>
      </c>
      <c r="R256" s="11">
        <v>0</v>
      </c>
      <c r="S256">
        <v>0</v>
      </c>
      <c r="T256">
        <v>0</v>
      </c>
      <c r="U256">
        <v>0</v>
      </c>
      <c r="V256" s="11">
        <v>0</v>
      </c>
      <c r="W256">
        <v>0</v>
      </c>
      <c r="X256">
        <v>0</v>
      </c>
      <c r="Y256">
        <v>0</v>
      </c>
      <c r="Z256" s="11">
        <f>SUM(Table1[[#This Row],[Chi Kept]],Table1[[#This Row],[Chi Released]])</f>
        <v>0</v>
      </c>
      <c r="AA256">
        <f>SUM(Table1[[#This Row],[Co Kept]],Table1[[#This Row],[Co Released ]])</f>
        <v>0</v>
      </c>
      <c r="AB256">
        <f>SUM(Table1[[#This Row],[Pink Kept]],Table1[[#This Row],[Pink Released]])</f>
        <v>0</v>
      </c>
      <c r="AC256">
        <f>SUM(Table1[[#This Row],[Chu Kept]],Table1[[#This Row],[Chu Released]])</f>
        <v>0</v>
      </c>
    </row>
    <row r="257" spans="1:29" x14ac:dyDescent="0.3">
      <c r="A257" s="7">
        <v>45920</v>
      </c>
      <c r="B257">
        <v>5</v>
      </c>
      <c r="C257" t="s">
        <v>250</v>
      </c>
      <c r="D257" t="s">
        <v>42</v>
      </c>
      <c r="E257">
        <v>10</v>
      </c>
      <c r="F257">
        <v>2</v>
      </c>
      <c r="G257">
        <v>4</v>
      </c>
      <c r="H257" t="s">
        <v>241</v>
      </c>
      <c r="I257">
        <v>1</v>
      </c>
      <c r="J257" s="10">
        <v>0.58333333333333337</v>
      </c>
      <c r="K257" s="10">
        <v>0.68611111111111112</v>
      </c>
      <c r="L257" s="10">
        <f t="shared" si="7"/>
        <v>0.10277777777777775</v>
      </c>
      <c r="M257" s="12">
        <f t="shared" si="6"/>
        <v>2.4666666666666659</v>
      </c>
      <c r="N257" s="12">
        <f>Table1[[#This Row],[Trip Hours]]*Table1[[#This Row],['#Angler]]</f>
        <v>2.4666666666666659</v>
      </c>
      <c r="O257" t="s">
        <v>342</v>
      </c>
      <c r="Q257" t="s">
        <v>241</v>
      </c>
      <c r="R257" s="11">
        <v>0</v>
      </c>
      <c r="S257">
        <v>0</v>
      </c>
      <c r="T257">
        <v>0</v>
      </c>
      <c r="U257">
        <v>0</v>
      </c>
      <c r="V257" s="11">
        <v>0</v>
      </c>
      <c r="W257">
        <v>0</v>
      </c>
      <c r="X257">
        <v>0</v>
      </c>
      <c r="Y257">
        <v>0</v>
      </c>
      <c r="Z257" s="11">
        <f>SUM(Table1[[#This Row],[Chi Kept]],Table1[[#This Row],[Chi Released]])</f>
        <v>0</v>
      </c>
      <c r="AA257">
        <f>SUM(Table1[[#This Row],[Co Kept]],Table1[[#This Row],[Co Released ]])</f>
        <v>0</v>
      </c>
      <c r="AB257">
        <f>SUM(Table1[[#This Row],[Pink Kept]],Table1[[#This Row],[Pink Released]])</f>
        <v>0</v>
      </c>
      <c r="AC257">
        <f>SUM(Table1[[#This Row],[Chu Kept]],Table1[[#This Row],[Chu Released]])</f>
        <v>0</v>
      </c>
    </row>
    <row r="258" spans="1:29" x14ac:dyDescent="0.3">
      <c r="A258" s="7">
        <v>45920</v>
      </c>
      <c r="B258">
        <v>5</v>
      </c>
      <c r="C258" t="s">
        <v>250</v>
      </c>
      <c r="D258" t="s">
        <v>42</v>
      </c>
      <c r="E258">
        <v>11</v>
      </c>
      <c r="F258">
        <v>2</v>
      </c>
      <c r="G258">
        <v>4</v>
      </c>
      <c r="H258" t="s">
        <v>241</v>
      </c>
      <c r="I258">
        <v>3</v>
      </c>
      <c r="J258" s="10">
        <v>0.64583333333333337</v>
      </c>
      <c r="K258" s="10">
        <v>0.69791666666666663</v>
      </c>
      <c r="L258" s="10">
        <f t="shared" si="7"/>
        <v>5.2083333333333259E-2</v>
      </c>
      <c r="M258" s="12">
        <f t="shared" ref="M258:M321" si="8">L258*24</f>
        <v>1.2499999999999982</v>
      </c>
      <c r="N258" s="12">
        <f>Table1[[#This Row],[Trip Hours]]*Table1[[#This Row],['#Angler]]</f>
        <v>3.7499999999999947</v>
      </c>
      <c r="O258" t="s">
        <v>342</v>
      </c>
      <c r="P258" t="s">
        <v>29</v>
      </c>
      <c r="R258" s="11">
        <v>0</v>
      </c>
      <c r="S258">
        <v>0</v>
      </c>
      <c r="T258">
        <v>0</v>
      </c>
      <c r="U258">
        <v>0</v>
      </c>
      <c r="V258" s="11">
        <v>0</v>
      </c>
      <c r="W258">
        <v>0</v>
      </c>
      <c r="X258">
        <v>0</v>
      </c>
      <c r="Y258">
        <v>0</v>
      </c>
      <c r="Z258" s="11">
        <f>SUM(Table1[[#This Row],[Chi Kept]],Table1[[#This Row],[Chi Released]])</f>
        <v>0</v>
      </c>
      <c r="AA258">
        <f>SUM(Table1[[#This Row],[Co Kept]],Table1[[#This Row],[Co Released ]])</f>
        <v>0</v>
      </c>
      <c r="AB258">
        <f>SUM(Table1[[#This Row],[Pink Kept]],Table1[[#This Row],[Pink Released]])</f>
        <v>0</v>
      </c>
      <c r="AC258">
        <f>SUM(Table1[[#This Row],[Chu Kept]],Table1[[#This Row],[Chu Released]])</f>
        <v>0</v>
      </c>
    </row>
    <row r="259" spans="1:29" x14ac:dyDescent="0.3">
      <c r="A259" s="7">
        <v>45920</v>
      </c>
      <c r="B259">
        <v>5</v>
      </c>
      <c r="C259" t="s">
        <v>250</v>
      </c>
      <c r="D259" t="s">
        <v>42</v>
      </c>
      <c r="E259">
        <v>12</v>
      </c>
      <c r="F259">
        <v>2</v>
      </c>
      <c r="G259">
        <v>4</v>
      </c>
      <c r="H259" t="s">
        <v>241</v>
      </c>
      <c r="I259">
        <v>1</v>
      </c>
      <c r="J259" s="10">
        <v>0.60416666666666663</v>
      </c>
      <c r="K259" s="10">
        <v>0.73611111111111116</v>
      </c>
      <c r="L259" s="10">
        <f t="shared" ref="L259:L322" si="9">K259-J259</f>
        <v>0.13194444444444453</v>
      </c>
      <c r="M259" s="12">
        <f t="shared" si="8"/>
        <v>3.1666666666666687</v>
      </c>
      <c r="N259" s="12">
        <f>Table1[[#This Row],[Trip Hours]]*Table1[[#This Row],['#Angler]]</f>
        <v>3.1666666666666687</v>
      </c>
      <c r="O259" t="s">
        <v>342</v>
      </c>
      <c r="P259" t="s">
        <v>56</v>
      </c>
      <c r="Q259" t="s">
        <v>247</v>
      </c>
      <c r="R259" s="11">
        <v>0</v>
      </c>
      <c r="S259">
        <v>0</v>
      </c>
      <c r="T259">
        <v>0</v>
      </c>
      <c r="U259">
        <v>0</v>
      </c>
      <c r="V259" s="11">
        <v>0</v>
      </c>
      <c r="W259">
        <v>0</v>
      </c>
      <c r="X259">
        <v>0</v>
      </c>
      <c r="Y259">
        <v>0</v>
      </c>
      <c r="Z259" s="11">
        <f>SUM(Table1[[#This Row],[Chi Kept]],Table1[[#This Row],[Chi Released]])</f>
        <v>0</v>
      </c>
      <c r="AA259">
        <f>SUM(Table1[[#This Row],[Co Kept]],Table1[[#This Row],[Co Released ]])</f>
        <v>0</v>
      </c>
      <c r="AB259">
        <f>SUM(Table1[[#This Row],[Pink Kept]],Table1[[#This Row],[Pink Released]])</f>
        <v>0</v>
      </c>
      <c r="AC259">
        <f>SUM(Table1[[#This Row],[Chu Kept]],Table1[[#This Row],[Chu Released]])</f>
        <v>0</v>
      </c>
    </row>
    <row r="260" spans="1:29" x14ac:dyDescent="0.3">
      <c r="A260" s="7">
        <v>45920</v>
      </c>
      <c r="B260">
        <v>5</v>
      </c>
      <c r="C260" t="s">
        <v>250</v>
      </c>
      <c r="D260" t="s">
        <v>42</v>
      </c>
      <c r="E260">
        <v>13</v>
      </c>
      <c r="F260">
        <v>2</v>
      </c>
      <c r="G260">
        <v>4</v>
      </c>
      <c r="H260" t="s">
        <v>241</v>
      </c>
      <c r="I260">
        <v>1</v>
      </c>
      <c r="J260" s="10">
        <v>0.72916666666666663</v>
      </c>
      <c r="K260" s="10">
        <v>0.75347222222222221</v>
      </c>
      <c r="L260" s="10">
        <f t="shared" si="9"/>
        <v>2.430555555555558E-2</v>
      </c>
      <c r="M260" s="12">
        <f t="shared" si="8"/>
        <v>0.58333333333333393</v>
      </c>
      <c r="N260" s="12">
        <f>Table1[[#This Row],[Trip Hours]]*Table1[[#This Row],['#Angler]]</f>
        <v>0.58333333333333393</v>
      </c>
      <c r="O260" t="s">
        <v>342</v>
      </c>
      <c r="Q260" t="s">
        <v>343</v>
      </c>
      <c r="R260" s="11">
        <v>0</v>
      </c>
      <c r="S260">
        <v>0</v>
      </c>
      <c r="T260">
        <v>0</v>
      </c>
      <c r="U260">
        <v>0</v>
      </c>
      <c r="V260" s="11">
        <v>0</v>
      </c>
      <c r="W260">
        <v>0</v>
      </c>
      <c r="X260">
        <v>0</v>
      </c>
      <c r="Y260">
        <v>0</v>
      </c>
      <c r="Z260" s="11">
        <f>SUM(Table1[[#This Row],[Chi Kept]],Table1[[#This Row],[Chi Released]])</f>
        <v>0</v>
      </c>
      <c r="AA260">
        <f>SUM(Table1[[#This Row],[Co Kept]],Table1[[#This Row],[Co Released ]])</f>
        <v>0</v>
      </c>
      <c r="AB260">
        <f>SUM(Table1[[#This Row],[Pink Kept]],Table1[[#This Row],[Pink Released]])</f>
        <v>0</v>
      </c>
      <c r="AC260">
        <f>SUM(Table1[[#This Row],[Chu Kept]],Table1[[#This Row],[Chu Released]])</f>
        <v>0</v>
      </c>
    </row>
    <row r="261" spans="1:29" x14ac:dyDescent="0.3">
      <c r="A261" s="7">
        <v>45920</v>
      </c>
      <c r="B261">
        <v>5</v>
      </c>
      <c r="C261" t="s">
        <v>250</v>
      </c>
      <c r="D261" t="s">
        <v>42</v>
      </c>
      <c r="E261">
        <v>14</v>
      </c>
      <c r="F261">
        <v>2</v>
      </c>
      <c r="G261">
        <v>4</v>
      </c>
      <c r="H261" t="s">
        <v>241</v>
      </c>
      <c r="I261">
        <v>1</v>
      </c>
      <c r="J261" s="10">
        <v>0.70833333333333337</v>
      </c>
      <c r="K261" s="10">
        <v>0.76041666666666663</v>
      </c>
      <c r="L261" s="10">
        <f t="shared" si="9"/>
        <v>5.2083333333333259E-2</v>
      </c>
      <c r="M261" s="12">
        <f t="shared" si="8"/>
        <v>1.2499999999999982</v>
      </c>
      <c r="N261" s="12">
        <f>Table1[[#This Row],[Trip Hours]]*Table1[[#This Row],['#Angler]]</f>
        <v>1.2499999999999982</v>
      </c>
      <c r="O261" t="s">
        <v>342</v>
      </c>
      <c r="Q261" t="s">
        <v>241</v>
      </c>
      <c r="R261" s="11">
        <v>0</v>
      </c>
      <c r="S261">
        <v>0</v>
      </c>
      <c r="T261">
        <v>0</v>
      </c>
      <c r="U261">
        <v>0</v>
      </c>
      <c r="V261" s="11">
        <v>0</v>
      </c>
      <c r="W261">
        <v>0</v>
      </c>
      <c r="X261">
        <v>0</v>
      </c>
      <c r="Y261">
        <v>0</v>
      </c>
      <c r="Z261" s="11">
        <f>SUM(Table1[[#This Row],[Chi Kept]],Table1[[#This Row],[Chi Released]])</f>
        <v>0</v>
      </c>
      <c r="AA261">
        <f>SUM(Table1[[#This Row],[Co Kept]],Table1[[#This Row],[Co Released ]])</f>
        <v>0</v>
      </c>
      <c r="AB261">
        <f>SUM(Table1[[#This Row],[Pink Kept]],Table1[[#This Row],[Pink Released]])</f>
        <v>0</v>
      </c>
      <c r="AC261">
        <f>SUM(Table1[[#This Row],[Chu Kept]],Table1[[#This Row],[Chu Released]])</f>
        <v>0</v>
      </c>
    </row>
    <row r="262" spans="1:29" x14ac:dyDescent="0.3">
      <c r="A262" s="7">
        <v>45924</v>
      </c>
      <c r="B262">
        <v>6</v>
      </c>
      <c r="C262" t="s">
        <v>236</v>
      </c>
      <c r="D262" t="s">
        <v>26</v>
      </c>
      <c r="E262">
        <v>1</v>
      </c>
      <c r="F262">
        <v>3</v>
      </c>
      <c r="G262">
        <v>2</v>
      </c>
      <c r="H262" t="s">
        <v>241</v>
      </c>
      <c r="I262">
        <v>1</v>
      </c>
      <c r="J262" s="10">
        <v>0.33333333333333331</v>
      </c>
      <c r="K262" s="10">
        <v>0.43194444444444446</v>
      </c>
      <c r="L262" s="10">
        <f t="shared" si="9"/>
        <v>9.8611111111111149E-2</v>
      </c>
      <c r="M262" s="12">
        <f t="shared" si="8"/>
        <v>2.3666666666666676</v>
      </c>
      <c r="N262" s="12">
        <f>Table1[[#This Row],[Trip Hours]]*Table1[[#This Row],['#Angler]]</f>
        <v>2.3666666666666676</v>
      </c>
      <c r="O262" t="s">
        <v>342</v>
      </c>
      <c r="P262" t="s">
        <v>347</v>
      </c>
      <c r="Q262" t="s">
        <v>247</v>
      </c>
      <c r="R262" s="11">
        <v>0</v>
      </c>
      <c r="S262">
        <v>0</v>
      </c>
      <c r="T262">
        <v>0</v>
      </c>
      <c r="U262">
        <v>0</v>
      </c>
      <c r="V262" s="11">
        <v>0</v>
      </c>
      <c r="W262">
        <v>0</v>
      </c>
      <c r="X262">
        <v>2</v>
      </c>
      <c r="Y262">
        <v>0</v>
      </c>
      <c r="Z262" s="11">
        <f>SUM(Table1[[#This Row],[Chi Kept]],Table1[[#This Row],[Chi Released]])</f>
        <v>0</v>
      </c>
      <c r="AA262">
        <f>SUM(Table1[[#This Row],[Co Kept]],Table1[[#This Row],[Co Released ]])</f>
        <v>0</v>
      </c>
      <c r="AB262">
        <f>SUM(Table1[[#This Row],[Pink Kept]],Table1[[#This Row],[Pink Released]])</f>
        <v>2</v>
      </c>
      <c r="AC262">
        <f>SUM(Table1[[#This Row],[Chu Kept]],Table1[[#This Row],[Chu Released]])</f>
        <v>0</v>
      </c>
    </row>
    <row r="263" spans="1:29" x14ac:dyDescent="0.3">
      <c r="A263" s="7">
        <v>45924</v>
      </c>
      <c r="B263">
        <v>6</v>
      </c>
      <c r="C263" t="s">
        <v>236</v>
      </c>
      <c r="D263" t="s">
        <v>26</v>
      </c>
      <c r="E263">
        <v>2</v>
      </c>
      <c r="F263">
        <v>3</v>
      </c>
      <c r="G263">
        <v>5</v>
      </c>
      <c r="H263" t="s">
        <v>241</v>
      </c>
      <c r="I263">
        <v>1</v>
      </c>
      <c r="J263" s="10">
        <v>0.43402777777777779</v>
      </c>
      <c r="K263" s="10">
        <v>0.44791666666666669</v>
      </c>
      <c r="L263" s="10">
        <f t="shared" si="9"/>
        <v>1.3888888888888895E-2</v>
      </c>
      <c r="M263" s="12">
        <f t="shared" si="8"/>
        <v>0.33333333333333348</v>
      </c>
      <c r="N263" s="12">
        <f>Table1[[#This Row],[Trip Hours]]*Table1[[#This Row],['#Angler]]</f>
        <v>0.33333333333333348</v>
      </c>
      <c r="O263" t="s">
        <v>342</v>
      </c>
      <c r="R263" s="11">
        <v>0</v>
      </c>
      <c r="S263">
        <v>0</v>
      </c>
      <c r="T263">
        <v>0</v>
      </c>
      <c r="U263">
        <v>0</v>
      </c>
      <c r="V263" s="11">
        <v>0</v>
      </c>
      <c r="W263">
        <v>0</v>
      </c>
      <c r="X263">
        <v>0</v>
      </c>
      <c r="Y263">
        <v>0</v>
      </c>
      <c r="Z263" s="11">
        <f>SUM(Table1[[#This Row],[Chi Kept]],Table1[[#This Row],[Chi Released]])</f>
        <v>0</v>
      </c>
      <c r="AA263">
        <f>SUM(Table1[[#This Row],[Co Kept]],Table1[[#This Row],[Co Released ]])</f>
        <v>0</v>
      </c>
      <c r="AB263">
        <f>SUM(Table1[[#This Row],[Pink Kept]],Table1[[#This Row],[Pink Released]])</f>
        <v>0</v>
      </c>
      <c r="AC263">
        <f>SUM(Table1[[#This Row],[Chu Kept]],Table1[[#This Row],[Chu Released]])</f>
        <v>0</v>
      </c>
    </row>
    <row r="264" spans="1:29" x14ac:dyDescent="0.3">
      <c r="A264" s="7">
        <v>45924</v>
      </c>
      <c r="B264">
        <v>6</v>
      </c>
      <c r="C264" t="s">
        <v>236</v>
      </c>
      <c r="D264" t="s">
        <v>26</v>
      </c>
      <c r="E264">
        <v>3</v>
      </c>
      <c r="F264">
        <v>3</v>
      </c>
      <c r="G264">
        <v>6</v>
      </c>
      <c r="H264" t="s">
        <v>241</v>
      </c>
      <c r="I264">
        <v>1</v>
      </c>
      <c r="J264" s="10">
        <v>0.32291666666666669</v>
      </c>
      <c r="K264" s="10">
        <v>0.46111111111111114</v>
      </c>
      <c r="L264" s="10">
        <f t="shared" si="9"/>
        <v>0.13819444444444445</v>
      </c>
      <c r="M264" s="12">
        <f t="shared" si="8"/>
        <v>3.3166666666666669</v>
      </c>
      <c r="N264" s="12">
        <f>Table1[[#This Row],[Trip Hours]]*Table1[[#This Row],['#Angler]]</f>
        <v>3.3166666666666669</v>
      </c>
      <c r="O264" t="s">
        <v>342</v>
      </c>
      <c r="P264" t="s">
        <v>347</v>
      </c>
      <c r="Q264" t="s">
        <v>241</v>
      </c>
      <c r="R264" s="11">
        <v>0</v>
      </c>
      <c r="S264">
        <v>0</v>
      </c>
      <c r="T264">
        <v>0</v>
      </c>
      <c r="U264">
        <v>0</v>
      </c>
      <c r="V264" s="11">
        <v>0</v>
      </c>
      <c r="W264">
        <v>0</v>
      </c>
      <c r="X264">
        <v>0</v>
      </c>
      <c r="Y264">
        <v>0</v>
      </c>
      <c r="Z264" s="11">
        <f>SUM(Table1[[#This Row],[Chi Kept]],Table1[[#This Row],[Chi Released]])</f>
        <v>0</v>
      </c>
      <c r="AA264">
        <f>SUM(Table1[[#This Row],[Co Kept]],Table1[[#This Row],[Co Released ]])</f>
        <v>0</v>
      </c>
      <c r="AB264">
        <f>SUM(Table1[[#This Row],[Pink Kept]],Table1[[#This Row],[Pink Released]])</f>
        <v>0</v>
      </c>
      <c r="AC264">
        <f>SUM(Table1[[#This Row],[Chu Kept]],Table1[[#This Row],[Chu Released]])</f>
        <v>0</v>
      </c>
    </row>
    <row r="265" spans="1:29" x14ac:dyDescent="0.3">
      <c r="A265" s="7">
        <v>45924</v>
      </c>
      <c r="B265">
        <v>6</v>
      </c>
      <c r="C265" t="s">
        <v>236</v>
      </c>
      <c r="D265" t="s">
        <v>26</v>
      </c>
      <c r="E265">
        <v>4</v>
      </c>
      <c r="F265">
        <v>3</v>
      </c>
      <c r="G265">
        <v>8</v>
      </c>
      <c r="H265" t="s">
        <v>241</v>
      </c>
      <c r="I265">
        <v>1</v>
      </c>
      <c r="J265" s="10">
        <v>0.41666666666666669</v>
      </c>
      <c r="K265" s="10">
        <v>0.48819444444444443</v>
      </c>
      <c r="L265" s="10">
        <f t="shared" si="9"/>
        <v>7.1527777777777746E-2</v>
      </c>
      <c r="M265" s="12">
        <f t="shared" si="8"/>
        <v>1.7166666666666659</v>
      </c>
      <c r="N265" s="12">
        <f>Table1[[#This Row],[Trip Hours]]*Table1[[#This Row],['#Angler]]</f>
        <v>1.7166666666666659</v>
      </c>
      <c r="O265" t="s">
        <v>342</v>
      </c>
      <c r="R265" s="11">
        <v>0</v>
      </c>
      <c r="S265">
        <v>2</v>
      </c>
      <c r="T265">
        <v>2</v>
      </c>
      <c r="U265">
        <v>0</v>
      </c>
      <c r="V265" s="11">
        <v>0</v>
      </c>
      <c r="W265">
        <v>0</v>
      </c>
      <c r="X265">
        <v>0</v>
      </c>
      <c r="Y265">
        <v>0</v>
      </c>
      <c r="Z265" s="11">
        <f>SUM(Table1[[#This Row],[Chi Kept]],Table1[[#This Row],[Chi Released]])</f>
        <v>0</v>
      </c>
      <c r="AA265">
        <f>SUM(Table1[[#This Row],[Co Kept]],Table1[[#This Row],[Co Released ]])</f>
        <v>2</v>
      </c>
      <c r="AB265">
        <f>SUM(Table1[[#This Row],[Pink Kept]],Table1[[#This Row],[Pink Released]])</f>
        <v>2</v>
      </c>
      <c r="AC265">
        <f>SUM(Table1[[#This Row],[Chu Kept]],Table1[[#This Row],[Chu Released]])</f>
        <v>0</v>
      </c>
    </row>
    <row r="266" spans="1:29" x14ac:dyDescent="0.3">
      <c r="A266" s="7">
        <v>45924</v>
      </c>
      <c r="B266">
        <v>6</v>
      </c>
      <c r="C266" t="s">
        <v>236</v>
      </c>
      <c r="D266" t="s">
        <v>26</v>
      </c>
      <c r="E266">
        <v>5</v>
      </c>
      <c r="F266">
        <v>3</v>
      </c>
      <c r="G266">
        <v>8</v>
      </c>
      <c r="H266" t="s">
        <v>241</v>
      </c>
      <c r="I266">
        <v>1</v>
      </c>
      <c r="J266" s="10">
        <v>0.29166666666666669</v>
      </c>
      <c r="K266" s="10">
        <v>0.48819444444444443</v>
      </c>
      <c r="L266" s="10">
        <f t="shared" si="9"/>
        <v>0.19652777777777775</v>
      </c>
      <c r="M266" s="12">
        <f t="shared" si="8"/>
        <v>4.7166666666666659</v>
      </c>
      <c r="N266" s="12">
        <f>Table1[[#This Row],[Trip Hours]]*Table1[[#This Row],['#Angler]]</f>
        <v>4.7166666666666659</v>
      </c>
      <c r="O266" t="s">
        <v>342</v>
      </c>
      <c r="R266" s="11">
        <v>0</v>
      </c>
      <c r="S266">
        <v>0</v>
      </c>
      <c r="T266">
        <v>0</v>
      </c>
      <c r="U266">
        <v>0</v>
      </c>
      <c r="V266" s="11">
        <v>0</v>
      </c>
      <c r="W266">
        <v>0</v>
      </c>
      <c r="X266">
        <v>0</v>
      </c>
      <c r="Y266">
        <v>0</v>
      </c>
      <c r="Z266" s="11">
        <f>SUM(Table1[[#This Row],[Chi Kept]],Table1[[#This Row],[Chi Released]])</f>
        <v>0</v>
      </c>
      <c r="AA266">
        <f>SUM(Table1[[#This Row],[Co Kept]],Table1[[#This Row],[Co Released ]])</f>
        <v>0</v>
      </c>
      <c r="AB266">
        <f>SUM(Table1[[#This Row],[Pink Kept]],Table1[[#This Row],[Pink Released]])</f>
        <v>0</v>
      </c>
      <c r="AC266">
        <f>SUM(Table1[[#This Row],[Chu Kept]],Table1[[#This Row],[Chu Released]])</f>
        <v>0</v>
      </c>
    </row>
    <row r="267" spans="1:29" x14ac:dyDescent="0.3">
      <c r="A267" s="7">
        <v>45924</v>
      </c>
      <c r="B267">
        <v>6</v>
      </c>
      <c r="C267" t="s">
        <v>236</v>
      </c>
      <c r="D267" t="s">
        <v>26</v>
      </c>
      <c r="E267">
        <v>6</v>
      </c>
      <c r="F267">
        <v>3</v>
      </c>
      <c r="G267">
        <v>8</v>
      </c>
      <c r="H267" t="s">
        <v>241</v>
      </c>
      <c r="I267">
        <v>1</v>
      </c>
      <c r="J267" s="10">
        <v>0.39583333333333331</v>
      </c>
      <c r="K267" s="10">
        <v>0.49236111111111114</v>
      </c>
      <c r="L267" s="10">
        <f t="shared" si="9"/>
        <v>9.6527777777777823E-2</v>
      </c>
      <c r="M267" s="12">
        <f t="shared" si="8"/>
        <v>2.3166666666666678</v>
      </c>
      <c r="N267" s="12">
        <f>Table1[[#This Row],[Trip Hours]]*Table1[[#This Row],['#Angler]]</f>
        <v>2.3166666666666678</v>
      </c>
      <c r="O267" t="s">
        <v>342</v>
      </c>
      <c r="Q267" t="s">
        <v>247</v>
      </c>
      <c r="R267" s="11">
        <v>0</v>
      </c>
      <c r="S267">
        <v>0</v>
      </c>
      <c r="T267">
        <v>0</v>
      </c>
      <c r="U267">
        <v>0</v>
      </c>
      <c r="V267" s="11">
        <v>0</v>
      </c>
      <c r="W267">
        <v>0</v>
      </c>
      <c r="X267">
        <v>2</v>
      </c>
      <c r="Y267">
        <v>0</v>
      </c>
      <c r="Z267" s="11">
        <f>SUM(Table1[[#This Row],[Chi Kept]],Table1[[#This Row],[Chi Released]])</f>
        <v>0</v>
      </c>
      <c r="AA267">
        <f>SUM(Table1[[#This Row],[Co Kept]],Table1[[#This Row],[Co Released ]])</f>
        <v>0</v>
      </c>
      <c r="AB267">
        <f>SUM(Table1[[#This Row],[Pink Kept]],Table1[[#This Row],[Pink Released]])</f>
        <v>2</v>
      </c>
      <c r="AC267">
        <f>SUM(Table1[[#This Row],[Chu Kept]],Table1[[#This Row],[Chu Released]])</f>
        <v>0</v>
      </c>
    </row>
    <row r="268" spans="1:29" x14ac:dyDescent="0.3">
      <c r="A268" s="7">
        <v>45924</v>
      </c>
      <c r="B268">
        <v>6</v>
      </c>
      <c r="C268" t="s">
        <v>236</v>
      </c>
      <c r="D268" t="s">
        <v>42</v>
      </c>
      <c r="E268">
        <v>7</v>
      </c>
      <c r="F268">
        <v>3</v>
      </c>
      <c r="G268">
        <v>6</v>
      </c>
      <c r="H268" t="s">
        <v>241</v>
      </c>
      <c r="I268">
        <v>2</v>
      </c>
      <c r="J268" s="10">
        <v>0.58333333333333337</v>
      </c>
      <c r="K268" s="10">
        <v>0.67013888888888884</v>
      </c>
      <c r="L268" s="10">
        <f t="shared" si="9"/>
        <v>8.6805555555555469E-2</v>
      </c>
      <c r="M268" s="12">
        <f t="shared" si="8"/>
        <v>2.0833333333333313</v>
      </c>
      <c r="N268" s="12">
        <f>Table1[[#This Row],[Trip Hours]]*Table1[[#This Row],['#Angler]]</f>
        <v>4.1666666666666625</v>
      </c>
      <c r="O268" t="s">
        <v>342</v>
      </c>
      <c r="P268" t="s">
        <v>347</v>
      </c>
      <c r="Q268" t="s">
        <v>247</v>
      </c>
      <c r="R268" s="11">
        <v>0</v>
      </c>
      <c r="S268">
        <v>0</v>
      </c>
      <c r="T268">
        <v>0</v>
      </c>
      <c r="U268">
        <v>0</v>
      </c>
      <c r="V268" s="11">
        <v>0</v>
      </c>
      <c r="W268">
        <v>0</v>
      </c>
      <c r="X268">
        <v>1</v>
      </c>
      <c r="Y268">
        <v>0</v>
      </c>
      <c r="Z268" s="11">
        <f>SUM(Table1[[#This Row],[Chi Kept]],Table1[[#This Row],[Chi Released]])</f>
        <v>0</v>
      </c>
      <c r="AA268">
        <f>SUM(Table1[[#This Row],[Co Kept]],Table1[[#This Row],[Co Released ]])</f>
        <v>0</v>
      </c>
      <c r="AB268">
        <f>SUM(Table1[[#This Row],[Pink Kept]],Table1[[#This Row],[Pink Released]])</f>
        <v>1</v>
      </c>
      <c r="AC268">
        <f>SUM(Table1[[#This Row],[Chu Kept]],Table1[[#This Row],[Chu Released]])</f>
        <v>0</v>
      </c>
    </row>
    <row r="269" spans="1:29" x14ac:dyDescent="0.3">
      <c r="A269" s="7">
        <v>45924</v>
      </c>
      <c r="B269">
        <v>6</v>
      </c>
      <c r="C269" t="s">
        <v>236</v>
      </c>
      <c r="D269" t="s">
        <v>42</v>
      </c>
      <c r="E269">
        <v>8</v>
      </c>
      <c r="F269">
        <v>3</v>
      </c>
      <c r="G269">
        <v>6</v>
      </c>
      <c r="H269" t="s">
        <v>241</v>
      </c>
      <c r="I269">
        <v>2</v>
      </c>
      <c r="J269" s="10">
        <v>0.5625</v>
      </c>
      <c r="K269" s="10">
        <v>0.68055555555555558</v>
      </c>
      <c r="L269" s="10">
        <f t="shared" si="9"/>
        <v>0.11805555555555558</v>
      </c>
      <c r="M269" s="12">
        <f t="shared" si="8"/>
        <v>2.8333333333333339</v>
      </c>
      <c r="N269" s="12">
        <f>Table1[[#This Row],[Trip Hours]]*Table1[[#This Row],['#Angler]]</f>
        <v>5.6666666666666679</v>
      </c>
      <c r="O269" t="s">
        <v>342</v>
      </c>
      <c r="Q269" t="s">
        <v>247</v>
      </c>
      <c r="R269" s="11">
        <v>0</v>
      </c>
      <c r="S269">
        <v>2</v>
      </c>
      <c r="T269">
        <v>0</v>
      </c>
      <c r="U269">
        <v>0</v>
      </c>
      <c r="V269" s="11">
        <v>0</v>
      </c>
      <c r="W269">
        <v>0</v>
      </c>
      <c r="X269">
        <v>0</v>
      </c>
      <c r="Y269">
        <v>0</v>
      </c>
      <c r="Z269" s="11">
        <f>SUM(Table1[[#This Row],[Chi Kept]],Table1[[#This Row],[Chi Released]])</f>
        <v>0</v>
      </c>
      <c r="AA269">
        <f>SUM(Table1[[#This Row],[Co Kept]],Table1[[#This Row],[Co Released ]])</f>
        <v>2</v>
      </c>
      <c r="AB269">
        <f>SUM(Table1[[#This Row],[Pink Kept]],Table1[[#This Row],[Pink Released]])</f>
        <v>0</v>
      </c>
      <c r="AC269">
        <f>SUM(Table1[[#This Row],[Chu Kept]],Table1[[#This Row],[Chu Released]])</f>
        <v>0</v>
      </c>
    </row>
    <row r="270" spans="1:29" x14ac:dyDescent="0.3">
      <c r="A270" s="7">
        <v>45924</v>
      </c>
      <c r="B270">
        <v>6</v>
      </c>
      <c r="C270" t="s">
        <v>236</v>
      </c>
      <c r="D270" t="s">
        <v>42</v>
      </c>
      <c r="E270">
        <v>9</v>
      </c>
      <c r="F270">
        <v>3</v>
      </c>
      <c r="G270">
        <v>6</v>
      </c>
      <c r="H270" t="s">
        <v>241</v>
      </c>
      <c r="I270">
        <v>1</v>
      </c>
      <c r="J270" s="10">
        <v>0.625</v>
      </c>
      <c r="K270" s="10">
        <v>0.70138888888888884</v>
      </c>
      <c r="L270" s="10">
        <f t="shared" si="9"/>
        <v>7.638888888888884E-2</v>
      </c>
      <c r="M270" s="12">
        <f t="shared" si="8"/>
        <v>1.8333333333333321</v>
      </c>
      <c r="N270" s="12">
        <f>Table1[[#This Row],[Trip Hours]]*Table1[[#This Row],['#Angler]]</f>
        <v>1.8333333333333321</v>
      </c>
      <c r="O270" t="s">
        <v>342</v>
      </c>
      <c r="Q270" t="s">
        <v>247</v>
      </c>
      <c r="R270" s="11">
        <v>0</v>
      </c>
      <c r="S270">
        <v>0</v>
      </c>
      <c r="T270">
        <v>0</v>
      </c>
      <c r="U270">
        <v>0</v>
      </c>
      <c r="V270" s="11">
        <v>0</v>
      </c>
      <c r="W270">
        <v>0</v>
      </c>
      <c r="X270">
        <v>8</v>
      </c>
      <c r="Y270">
        <v>0</v>
      </c>
      <c r="Z270" s="11">
        <f>SUM(Table1[[#This Row],[Chi Kept]],Table1[[#This Row],[Chi Released]])</f>
        <v>0</v>
      </c>
      <c r="AA270">
        <f>SUM(Table1[[#This Row],[Co Kept]],Table1[[#This Row],[Co Released ]])</f>
        <v>0</v>
      </c>
      <c r="AB270">
        <f>SUM(Table1[[#This Row],[Pink Kept]],Table1[[#This Row],[Pink Released]])</f>
        <v>8</v>
      </c>
      <c r="AC270">
        <f>SUM(Table1[[#This Row],[Chu Kept]],Table1[[#This Row],[Chu Released]])</f>
        <v>0</v>
      </c>
    </row>
    <row r="271" spans="1:29" x14ac:dyDescent="0.3">
      <c r="A271" s="7">
        <v>45924</v>
      </c>
      <c r="B271">
        <v>6</v>
      </c>
      <c r="C271" t="s">
        <v>236</v>
      </c>
      <c r="D271" t="s">
        <v>42</v>
      </c>
      <c r="E271">
        <v>10</v>
      </c>
      <c r="F271">
        <v>3</v>
      </c>
      <c r="G271">
        <v>6</v>
      </c>
      <c r="H271" t="s">
        <v>241</v>
      </c>
      <c r="I271">
        <v>4</v>
      </c>
      <c r="J271" s="10">
        <v>0.625</v>
      </c>
      <c r="K271" s="10">
        <v>0.7055555555555556</v>
      </c>
      <c r="L271" s="10">
        <f t="shared" si="9"/>
        <v>8.0555555555555602E-2</v>
      </c>
      <c r="M271" s="12">
        <f t="shared" si="8"/>
        <v>1.9333333333333345</v>
      </c>
      <c r="N271" s="12">
        <f>Table1[[#This Row],[Trip Hours]]*Table1[[#This Row],['#Angler]]</f>
        <v>7.7333333333333378</v>
      </c>
      <c r="O271" t="s">
        <v>342</v>
      </c>
      <c r="Q271" t="s">
        <v>247</v>
      </c>
      <c r="R271" s="11">
        <v>0</v>
      </c>
      <c r="S271">
        <v>0</v>
      </c>
      <c r="T271">
        <v>0</v>
      </c>
      <c r="U271">
        <v>0</v>
      </c>
      <c r="V271" s="11">
        <v>0</v>
      </c>
      <c r="W271">
        <v>0</v>
      </c>
      <c r="X271">
        <v>4</v>
      </c>
      <c r="Y271">
        <v>0</v>
      </c>
      <c r="Z271" s="11">
        <f>SUM(Table1[[#This Row],[Chi Kept]],Table1[[#This Row],[Chi Released]])</f>
        <v>0</v>
      </c>
      <c r="AA271">
        <f>SUM(Table1[[#This Row],[Co Kept]],Table1[[#This Row],[Co Released ]])</f>
        <v>0</v>
      </c>
      <c r="AB271">
        <f>SUM(Table1[[#This Row],[Pink Kept]],Table1[[#This Row],[Pink Released]])</f>
        <v>4</v>
      </c>
      <c r="AC271">
        <f>SUM(Table1[[#This Row],[Chu Kept]],Table1[[#This Row],[Chu Released]])</f>
        <v>0</v>
      </c>
    </row>
    <row r="272" spans="1:29" x14ac:dyDescent="0.3">
      <c r="A272" s="7">
        <v>45924</v>
      </c>
      <c r="B272">
        <v>6</v>
      </c>
      <c r="C272" t="s">
        <v>236</v>
      </c>
      <c r="D272" t="s">
        <v>42</v>
      </c>
      <c r="E272">
        <v>11</v>
      </c>
      <c r="F272">
        <v>3</v>
      </c>
      <c r="G272">
        <v>6</v>
      </c>
      <c r="H272" t="s">
        <v>241</v>
      </c>
      <c r="I272">
        <v>1</v>
      </c>
      <c r="J272" s="10">
        <v>0.66666666666666663</v>
      </c>
      <c r="K272" s="10">
        <v>0.71180555555555558</v>
      </c>
      <c r="L272" s="10">
        <f t="shared" si="9"/>
        <v>4.5138888888888951E-2</v>
      </c>
      <c r="M272" s="12">
        <f t="shared" si="8"/>
        <v>1.0833333333333348</v>
      </c>
      <c r="N272" s="12">
        <f>Table1[[#This Row],[Trip Hours]]*Table1[[#This Row],['#Angler]]</f>
        <v>1.0833333333333348</v>
      </c>
      <c r="O272" t="s">
        <v>342</v>
      </c>
      <c r="Q272" t="s">
        <v>343</v>
      </c>
      <c r="R272" s="11">
        <v>0</v>
      </c>
      <c r="S272">
        <v>0</v>
      </c>
      <c r="T272">
        <v>0</v>
      </c>
      <c r="U272">
        <v>0</v>
      </c>
      <c r="V272" s="11">
        <v>0</v>
      </c>
      <c r="W272">
        <v>0</v>
      </c>
      <c r="X272">
        <v>0</v>
      </c>
      <c r="Y272">
        <v>0</v>
      </c>
      <c r="Z272" s="11">
        <f>SUM(Table1[[#This Row],[Chi Kept]],Table1[[#This Row],[Chi Released]])</f>
        <v>0</v>
      </c>
      <c r="AA272">
        <f>SUM(Table1[[#This Row],[Co Kept]],Table1[[#This Row],[Co Released ]])</f>
        <v>0</v>
      </c>
      <c r="AB272">
        <f>SUM(Table1[[#This Row],[Pink Kept]],Table1[[#This Row],[Pink Released]])</f>
        <v>0</v>
      </c>
      <c r="AC272">
        <f>SUM(Table1[[#This Row],[Chu Kept]],Table1[[#This Row],[Chu Released]])</f>
        <v>0</v>
      </c>
    </row>
    <row r="273" spans="1:29" x14ac:dyDescent="0.3">
      <c r="A273" s="7">
        <v>45924</v>
      </c>
      <c r="B273">
        <v>6</v>
      </c>
      <c r="C273" t="s">
        <v>236</v>
      </c>
      <c r="D273" t="s">
        <v>42</v>
      </c>
      <c r="E273">
        <v>12</v>
      </c>
      <c r="F273">
        <v>3</v>
      </c>
      <c r="G273">
        <v>6</v>
      </c>
      <c r="H273" t="s">
        <v>241</v>
      </c>
      <c r="I273">
        <v>2</v>
      </c>
      <c r="J273" s="10">
        <v>0.6875</v>
      </c>
      <c r="K273" s="10">
        <v>0.71180555555555558</v>
      </c>
      <c r="L273" s="10">
        <f t="shared" si="9"/>
        <v>2.430555555555558E-2</v>
      </c>
      <c r="M273" s="12">
        <f t="shared" si="8"/>
        <v>0.58333333333333393</v>
      </c>
      <c r="N273" s="12">
        <f>Table1[[#This Row],[Trip Hours]]*Table1[[#This Row],['#Angler]]</f>
        <v>1.1666666666666679</v>
      </c>
      <c r="O273" t="s">
        <v>342</v>
      </c>
      <c r="Q273" t="s">
        <v>247</v>
      </c>
      <c r="R273" s="11">
        <v>0</v>
      </c>
      <c r="S273">
        <v>0</v>
      </c>
      <c r="T273">
        <v>0</v>
      </c>
      <c r="U273">
        <v>0</v>
      </c>
      <c r="V273" s="11">
        <v>0</v>
      </c>
      <c r="W273">
        <v>0</v>
      </c>
      <c r="X273">
        <v>0</v>
      </c>
      <c r="Y273">
        <v>0</v>
      </c>
      <c r="Z273" s="11">
        <f>SUM(Table1[[#This Row],[Chi Kept]],Table1[[#This Row],[Chi Released]])</f>
        <v>0</v>
      </c>
      <c r="AA273">
        <f>SUM(Table1[[#This Row],[Co Kept]],Table1[[#This Row],[Co Released ]])</f>
        <v>0</v>
      </c>
      <c r="AB273">
        <f>SUM(Table1[[#This Row],[Pink Kept]],Table1[[#This Row],[Pink Released]])</f>
        <v>0</v>
      </c>
      <c r="AC273">
        <f>SUM(Table1[[#This Row],[Chu Kept]],Table1[[#This Row],[Chu Released]])</f>
        <v>0</v>
      </c>
    </row>
    <row r="274" spans="1:29" x14ac:dyDescent="0.3">
      <c r="A274" s="7">
        <v>45924</v>
      </c>
      <c r="B274">
        <v>6</v>
      </c>
      <c r="C274" t="s">
        <v>236</v>
      </c>
      <c r="D274" t="s">
        <v>42</v>
      </c>
      <c r="E274">
        <v>13</v>
      </c>
      <c r="F274">
        <v>3</v>
      </c>
      <c r="G274">
        <v>6</v>
      </c>
      <c r="H274" t="s">
        <v>241</v>
      </c>
      <c r="I274">
        <v>1</v>
      </c>
      <c r="J274" s="10">
        <v>0.58333333333333337</v>
      </c>
      <c r="K274" s="10">
        <v>0.72013888888888888</v>
      </c>
      <c r="L274" s="10">
        <f t="shared" si="9"/>
        <v>0.13680555555555551</v>
      </c>
      <c r="M274" s="12">
        <f t="shared" si="8"/>
        <v>3.2833333333333323</v>
      </c>
      <c r="N274" s="12">
        <f>Table1[[#This Row],[Trip Hours]]*Table1[[#This Row],['#Angler]]</f>
        <v>3.2833333333333323</v>
      </c>
      <c r="O274" t="s">
        <v>342</v>
      </c>
      <c r="Q274" t="s">
        <v>343</v>
      </c>
      <c r="R274" s="11">
        <v>0</v>
      </c>
      <c r="S274">
        <v>0</v>
      </c>
      <c r="T274">
        <v>1</v>
      </c>
      <c r="U274">
        <v>0</v>
      </c>
      <c r="V274" s="11">
        <v>0</v>
      </c>
      <c r="W274">
        <v>0</v>
      </c>
      <c r="X274">
        <v>0</v>
      </c>
      <c r="Y274">
        <v>0</v>
      </c>
      <c r="Z274" s="11">
        <f>SUM(Table1[[#This Row],[Chi Kept]],Table1[[#This Row],[Chi Released]])</f>
        <v>0</v>
      </c>
      <c r="AA274">
        <f>SUM(Table1[[#This Row],[Co Kept]],Table1[[#This Row],[Co Released ]])</f>
        <v>0</v>
      </c>
      <c r="AB274">
        <f>SUM(Table1[[#This Row],[Pink Kept]],Table1[[#This Row],[Pink Released]])</f>
        <v>1</v>
      </c>
      <c r="AC274">
        <f>SUM(Table1[[#This Row],[Chu Kept]],Table1[[#This Row],[Chu Released]])</f>
        <v>0</v>
      </c>
    </row>
    <row r="275" spans="1:29" x14ac:dyDescent="0.3">
      <c r="A275" s="7">
        <v>45924</v>
      </c>
      <c r="B275">
        <v>6</v>
      </c>
      <c r="C275" t="s">
        <v>236</v>
      </c>
      <c r="D275" t="s">
        <v>42</v>
      </c>
      <c r="E275">
        <v>14</v>
      </c>
      <c r="F275">
        <v>3</v>
      </c>
      <c r="G275">
        <v>6</v>
      </c>
      <c r="H275" t="s">
        <v>241</v>
      </c>
      <c r="I275">
        <v>1</v>
      </c>
      <c r="J275" s="10">
        <v>0.70833333333333337</v>
      </c>
      <c r="K275" s="10">
        <v>0.71666666666666667</v>
      </c>
      <c r="L275" s="10">
        <f t="shared" si="9"/>
        <v>8.3333333333333037E-3</v>
      </c>
      <c r="M275" s="12">
        <f t="shared" si="8"/>
        <v>0.19999999999999929</v>
      </c>
      <c r="N275" s="12">
        <f>Table1[[#This Row],[Trip Hours]]*Table1[[#This Row],['#Angler]]</f>
        <v>0.19999999999999929</v>
      </c>
      <c r="O275" t="s">
        <v>342</v>
      </c>
      <c r="R275" s="11">
        <v>0</v>
      </c>
      <c r="S275">
        <v>0</v>
      </c>
      <c r="T275">
        <v>0</v>
      </c>
      <c r="U275">
        <v>0</v>
      </c>
      <c r="V275" s="11">
        <v>0</v>
      </c>
      <c r="W275">
        <v>0</v>
      </c>
      <c r="X275">
        <v>1</v>
      </c>
      <c r="Y275">
        <v>0</v>
      </c>
      <c r="Z275" s="11">
        <f>SUM(Table1[[#This Row],[Chi Kept]],Table1[[#This Row],[Chi Released]])</f>
        <v>0</v>
      </c>
      <c r="AA275">
        <f>SUM(Table1[[#This Row],[Co Kept]],Table1[[#This Row],[Co Released ]])</f>
        <v>0</v>
      </c>
      <c r="AB275">
        <f>SUM(Table1[[#This Row],[Pink Kept]],Table1[[#This Row],[Pink Released]])</f>
        <v>1</v>
      </c>
      <c r="AC275">
        <f>SUM(Table1[[#This Row],[Chu Kept]],Table1[[#This Row],[Chu Released]])</f>
        <v>0</v>
      </c>
    </row>
    <row r="276" spans="1:29" x14ac:dyDescent="0.3">
      <c r="A276" s="7">
        <v>45924</v>
      </c>
      <c r="B276">
        <v>6</v>
      </c>
      <c r="C276" t="s">
        <v>236</v>
      </c>
      <c r="D276" t="s">
        <v>42</v>
      </c>
      <c r="E276">
        <v>15</v>
      </c>
      <c r="F276">
        <v>3</v>
      </c>
      <c r="G276">
        <v>6</v>
      </c>
      <c r="H276" t="s">
        <v>241</v>
      </c>
      <c r="I276">
        <v>2</v>
      </c>
      <c r="J276" s="10">
        <v>0.625</v>
      </c>
      <c r="K276" s="10">
        <v>0.72569444444444442</v>
      </c>
      <c r="L276" s="10">
        <f t="shared" si="9"/>
        <v>0.10069444444444442</v>
      </c>
      <c r="M276" s="12">
        <f t="shared" si="8"/>
        <v>2.4166666666666661</v>
      </c>
      <c r="N276" s="12">
        <f>Table1[[#This Row],[Trip Hours]]*Table1[[#This Row],['#Angler]]</f>
        <v>4.8333333333333321</v>
      </c>
      <c r="O276" t="s">
        <v>342</v>
      </c>
      <c r="Q276" t="s">
        <v>343</v>
      </c>
      <c r="R276" s="11">
        <v>0</v>
      </c>
      <c r="S276">
        <v>0</v>
      </c>
      <c r="T276">
        <v>0</v>
      </c>
      <c r="U276">
        <v>0</v>
      </c>
      <c r="V276" s="11">
        <v>0</v>
      </c>
      <c r="W276">
        <v>0</v>
      </c>
      <c r="X276">
        <v>0</v>
      </c>
      <c r="Y276">
        <v>0</v>
      </c>
      <c r="Z276" s="11">
        <f>SUM(Table1[[#This Row],[Chi Kept]],Table1[[#This Row],[Chi Released]])</f>
        <v>0</v>
      </c>
      <c r="AA276">
        <f>SUM(Table1[[#This Row],[Co Kept]],Table1[[#This Row],[Co Released ]])</f>
        <v>0</v>
      </c>
      <c r="AB276">
        <f>SUM(Table1[[#This Row],[Pink Kept]],Table1[[#This Row],[Pink Released]])</f>
        <v>0</v>
      </c>
      <c r="AC276">
        <f>SUM(Table1[[#This Row],[Chu Kept]],Table1[[#This Row],[Chu Released]])</f>
        <v>0</v>
      </c>
    </row>
    <row r="277" spans="1:29" x14ac:dyDescent="0.3">
      <c r="A277" s="7">
        <v>45924</v>
      </c>
      <c r="B277">
        <v>6</v>
      </c>
      <c r="C277" t="s">
        <v>236</v>
      </c>
      <c r="D277" t="s">
        <v>42</v>
      </c>
      <c r="E277">
        <v>16</v>
      </c>
      <c r="F277">
        <v>3</v>
      </c>
      <c r="G277">
        <v>6</v>
      </c>
      <c r="H277" t="s">
        <v>241</v>
      </c>
      <c r="I277">
        <v>1</v>
      </c>
      <c r="J277" s="10">
        <v>0.69791666666666663</v>
      </c>
      <c r="K277" s="10">
        <v>0.73888888888888893</v>
      </c>
      <c r="L277" s="10">
        <f t="shared" si="9"/>
        <v>4.0972222222222299E-2</v>
      </c>
      <c r="M277" s="12">
        <f t="shared" si="8"/>
        <v>0.98333333333333517</v>
      </c>
      <c r="N277" s="12">
        <f>Table1[[#This Row],[Trip Hours]]*Table1[[#This Row],['#Angler]]</f>
        <v>0.98333333333333517</v>
      </c>
      <c r="O277" t="s">
        <v>342</v>
      </c>
      <c r="P277" t="s">
        <v>148</v>
      </c>
      <c r="Q277" t="s">
        <v>247</v>
      </c>
      <c r="R277" s="11">
        <v>0</v>
      </c>
      <c r="S277">
        <v>0</v>
      </c>
      <c r="T277">
        <v>0</v>
      </c>
      <c r="U277">
        <v>0</v>
      </c>
      <c r="V277" s="11">
        <v>0</v>
      </c>
      <c r="W277">
        <v>0</v>
      </c>
      <c r="X277">
        <v>1</v>
      </c>
      <c r="Y277">
        <v>0</v>
      </c>
      <c r="Z277" s="11">
        <f>SUM(Table1[[#This Row],[Chi Kept]],Table1[[#This Row],[Chi Released]])</f>
        <v>0</v>
      </c>
      <c r="AA277">
        <f>SUM(Table1[[#This Row],[Co Kept]],Table1[[#This Row],[Co Released ]])</f>
        <v>0</v>
      </c>
      <c r="AB277">
        <f>SUM(Table1[[#This Row],[Pink Kept]],Table1[[#This Row],[Pink Released]])</f>
        <v>1</v>
      </c>
      <c r="AC277">
        <f>SUM(Table1[[#This Row],[Chu Kept]],Table1[[#This Row],[Chu Released]])</f>
        <v>0</v>
      </c>
    </row>
    <row r="278" spans="1:29" x14ac:dyDescent="0.3">
      <c r="A278" s="7">
        <v>45924</v>
      </c>
      <c r="B278">
        <v>6</v>
      </c>
      <c r="C278" t="s">
        <v>236</v>
      </c>
      <c r="D278" t="s">
        <v>42</v>
      </c>
      <c r="E278">
        <v>17</v>
      </c>
      <c r="F278">
        <v>3</v>
      </c>
      <c r="G278">
        <v>6</v>
      </c>
      <c r="H278" t="s">
        <v>241</v>
      </c>
      <c r="I278">
        <v>1</v>
      </c>
      <c r="J278" s="10">
        <v>0.70833333333333337</v>
      </c>
      <c r="K278" s="10">
        <v>0.75</v>
      </c>
      <c r="L278" s="10">
        <f t="shared" si="9"/>
        <v>4.166666666666663E-2</v>
      </c>
      <c r="M278" s="12">
        <f t="shared" si="8"/>
        <v>0.99999999999999911</v>
      </c>
      <c r="N278" s="12">
        <f>Table1[[#This Row],[Trip Hours]]*Table1[[#This Row],['#Angler]]</f>
        <v>0.99999999999999911</v>
      </c>
      <c r="O278" t="s">
        <v>349</v>
      </c>
      <c r="R278" s="11">
        <v>0</v>
      </c>
      <c r="S278">
        <v>0</v>
      </c>
      <c r="T278">
        <v>0</v>
      </c>
      <c r="U278">
        <v>0</v>
      </c>
      <c r="V278" s="11">
        <v>0</v>
      </c>
      <c r="W278">
        <v>0</v>
      </c>
      <c r="X278">
        <v>0</v>
      </c>
      <c r="Y278">
        <v>0</v>
      </c>
      <c r="Z278" s="11">
        <f>SUM(Table1[[#This Row],[Chi Kept]],Table1[[#This Row],[Chi Released]])</f>
        <v>0</v>
      </c>
      <c r="AA278">
        <f>SUM(Table1[[#This Row],[Co Kept]],Table1[[#This Row],[Co Released ]])</f>
        <v>0</v>
      </c>
      <c r="AB278">
        <f>SUM(Table1[[#This Row],[Pink Kept]],Table1[[#This Row],[Pink Released]])</f>
        <v>0</v>
      </c>
      <c r="AC278">
        <f>SUM(Table1[[#This Row],[Chu Kept]],Table1[[#This Row],[Chu Released]])</f>
        <v>0</v>
      </c>
    </row>
    <row r="279" spans="1:29" x14ac:dyDescent="0.3">
      <c r="A279" s="7">
        <v>45924</v>
      </c>
      <c r="B279">
        <v>6</v>
      </c>
      <c r="C279" t="s">
        <v>236</v>
      </c>
      <c r="D279" t="s">
        <v>42</v>
      </c>
      <c r="E279">
        <v>18</v>
      </c>
      <c r="F279">
        <v>3</v>
      </c>
      <c r="G279">
        <v>6</v>
      </c>
      <c r="H279" t="s">
        <v>241</v>
      </c>
      <c r="I279">
        <v>1</v>
      </c>
      <c r="J279" s="10">
        <v>0.625</v>
      </c>
      <c r="K279" s="10">
        <v>0.76180555555555551</v>
      </c>
      <c r="L279" s="10">
        <f t="shared" si="9"/>
        <v>0.13680555555555551</v>
      </c>
      <c r="M279" s="12">
        <f t="shared" si="8"/>
        <v>3.2833333333333323</v>
      </c>
      <c r="N279" s="12">
        <f>Table1[[#This Row],[Trip Hours]]*Table1[[#This Row],['#Angler]]</f>
        <v>3.2833333333333323</v>
      </c>
      <c r="O279" t="s">
        <v>342</v>
      </c>
      <c r="P279" t="s">
        <v>56</v>
      </c>
      <c r="Q279" t="s">
        <v>247</v>
      </c>
      <c r="R279" s="11">
        <v>0</v>
      </c>
      <c r="S279">
        <v>0</v>
      </c>
      <c r="T279">
        <v>0</v>
      </c>
      <c r="U279">
        <v>0</v>
      </c>
      <c r="V279" s="11">
        <v>0</v>
      </c>
      <c r="W279">
        <v>0</v>
      </c>
      <c r="X279">
        <v>1</v>
      </c>
      <c r="Y279">
        <v>0</v>
      </c>
      <c r="Z279" s="11">
        <f>SUM(Table1[[#This Row],[Chi Kept]],Table1[[#This Row],[Chi Released]])</f>
        <v>0</v>
      </c>
      <c r="AA279">
        <f>SUM(Table1[[#This Row],[Co Kept]],Table1[[#This Row],[Co Released ]])</f>
        <v>0</v>
      </c>
      <c r="AB279">
        <f>SUM(Table1[[#This Row],[Pink Kept]],Table1[[#This Row],[Pink Released]])</f>
        <v>1</v>
      </c>
      <c r="AC279">
        <f>SUM(Table1[[#This Row],[Chu Kept]],Table1[[#This Row],[Chu Released]])</f>
        <v>0</v>
      </c>
    </row>
    <row r="280" spans="1:29" x14ac:dyDescent="0.3">
      <c r="A280" s="7">
        <v>45924</v>
      </c>
      <c r="B280">
        <v>6</v>
      </c>
      <c r="C280" t="s">
        <v>236</v>
      </c>
      <c r="D280" t="s">
        <v>42</v>
      </c>
      <c r="E280">
        <v>19</v>
      </c>
      <c r="F280">
        <v>3</v>
      </c>
      <c r="G280">
        <v>6</v>
      </c>
      <c r="H280" t="s">
        <v>241</v>
      </c>
      <c r="I280">
        <v>1</v>
      </c>
      <c r="J280" s="10">
        <v>0.75</v>
      </c>
      <c r="K280" s="10">
        <v>0.78333333333333333</v>
      </c>
      <c r="L280" s="10">
        <f t="shared" si="9"/>
        <v>3.3333333333333326E-2</v>
      </c>
      <c r="M280" s="12">
        <f t="shared" si="8"/>
        <v>0.79999999999999982</v>
      </c>
      <c r="N280" s="12">
        <f>Table1[[#This Row],[Trip Hours]]*Table1[[#This Row],['#Angler]]</f>
        <v>0.79999999999999982</v>
      </c>
      <c r="O280" t="s">
        <v>349</v>
      </c>
      <c r="Q280" t="s">
        <v>241</v>
      </c>
      <c r="R280" s="11">
        <v>0</v>
      </c>
      <c r="S280">
        <v>0</v>
      </c>
      <c r="T280">
        <v>0</v>
      </c>
      <c r="U280">
        <v>0</v>
      </c>
      <c r="V280" s="11">
        <v>0</v>
      </c>
      <c r="W280">
        <v>0</v>
      </c>
      <c r="X280">
        <v>0</v>
      </c>
      <c r="Y280">
        <v>0</v>
      </c>
      <c r="Z280" s="11">
        <f>SUM(Table1[[#This Row],[Chi Kept]],Table1[[#This Row],[Chi Released]])</f>
        <v>0</v>
      </c>
      <c r="AA280">
        <f>SUM(Table1[[#This Row],[Co Kept]],Table1[[#This Row],[Co Released ]])</f>
        <v>0</v>
      </c>
      <c r="AB280">
        <f>SUM(Table1[[#This Row],[Pink Kept]],Table1[[#This Row],[Pink Released]])</f>
        <v>0</v>
      </c>
      <c r="AC280">
        <f>SUM(Table1[[#This Row],[Chu Kept]],Table1[[#This Row],[Chu Released]])</f>
        <v>0</v>
      </c>
    </row>
    <row r="281" spans="1:29" x14ac:dyDescent="0.3">
      <c r="A281" s="7">
        <v>45925</v>
      </c>
      <c r="B281">
        <v>6</v>
      </c>
      <c r="C281" t="s">
        <v>236</v>
      </c>
      <c r="D281" t="s">
        <v>42</v>
      </c>
      <c r="E281">
        <v>1</v>
      </c>
      <c r="F281">
        <v>2</v>
      </c>
      <c r="G281">
        <v>1</v>
      </c>
      <c r="H281" t="s">
        <v>241</v>
      </c>
      <c r="I281">
        <v>1</v>
      </c>
      <c r="J281" s="10">
        <v>0.52430555555555558</v>
      </c>
      <c r="K281" s="10">
        <v>0.64930555555555558</v>
      </c>
      <c r="L281" s="10">
        <f t="shared" si="9"/>
        <v>0.125</v>
      </c>
      <c r="M281" s="12">
        <f t="shared" si="8"/>
        <v>3</v>
      </c>
      <c r="N281" s="12">
        <f>Table1[[#This Row],[Trip Hours]]*Table1[[#This Row],['#Angler]]</f>
        <v>3</v>
      </c>
      <c r="O281" t="s">
        <v>349</v>
      </c>
      <c r="P281" t="s">
        <v>56</v>
      </c>
      <c r="Q281" t="s">
        <v>247</v>
      </c>
      <c r="R281" s="11">
        <v>0</v>
      </c>
      <c r="S281">
        <v>0</v>
      </c>
      <c r="T281">
        <v>0</v>
      </c>
      <c r="U281">
        <v>0</v>
      </c>
      <c r="V281" s="11">
        <v>0</v>
      </c>
      <c r="W281">
        <v>0</v>
      </c>
      <c r="X281">
        <v>1</v>
      </c>
      <c r="Y281">
        <v>0</v>
      </c>
      <c r="Z281" s="11">
        <f>SUM(Table1[[#This Row],[Chi Kept]],Table1[[#This Row],[Chi Released]])</f>
        <v>0</v>
      </c>
      <c r="AA281">
        <f>SUM(Table1[[#This Row],[Co Kept]],Table1[[#This Row],[Co Released ]])</f>
        <v>0</v>
      </c>
      <c r="AB281">
        <f>SUM(Table1[[#This Row],[Pink Kept]],Table1[[#This Row],[Pink Released]])</f>
        <v>1</v>
      </c>
      <c r="AC281">
        <f>SUM(Table1[[#This Row],[Chu Kept]],Table1[[#This Row],[Chu Released]])</f>
        <v>0</v>
      </c>
    </row>
    <row r="282" spans="1:29" x14ac:dyDescent="0.3">
      <c r="A282" s="7">
        <v>45925</v>
      </c>
      <c r="B282">
        <v>6</v>
      </c>
      <c r="C282" t="s">
        <v>236</v>
      </c>
      <c r="D282" t="s">
        <v>42</v>
      </c>
      <c r="E282">
        <v>2</v>
      </c>
      <c r="F282">
        <v>2</v>
      </c>
      <c r="G282">
        <v>2</v>
      </c>
      <c r="H282" t="s">
        <v>241</v>
      </c>
      <c r="I282">
        <v>1</v>
      </c>
      <c r="J282" s="10">
        <v>0.54166666666666663</v>
      </c>
      <c r="K282" s="10">
        <v>0.66874999999999996</v>
      </c>
      <c r="L282" s="10">
        <f t="shared" si="9"/>
        <v>0.12708333333333333</v>
      </c>
      <c r="M282" s="12">
        <f t="shared" si="8"/>
        <v>3.05</v>
      </c>
      <c r="N282" s="12">
        <f>Table1[[#This Row],[Trip Hours]]*Table1[[#This Row],['#Angler]]</f>
        <v>3.05</v>
      </c>
      <c r="O282" t="s">
        <v>342</v>
      </c>
      <c r="Q282" t="s">
        <v>343</v>
      </c>
      <c r="R282" s="11">
        <v>0</v>
      </c>
      <c r="S282">
        <v>0</v>
      </c>
      <c r="T282">
        <v>0</v>
      </c>
      <c r="U282">
        <v>0</v>
      </c>
      <c r="V282" s="11">
        <v>0</v>
      </c>
      <c r="W282">
        <v>0</v>
      </c>
      <c r="X282">
        <v>0</v>
      </c>
      <c r="Y282">
        <v>0</v>
      </c>
      <c r="Z282" s="11">
        <f>SUM(Table1[[#This Row],[Chi Kept]],Table1[[#This Row],[Chi Released]])</f>
        <v>0</v>
      </c>
      <c r="AA282">
        <f>SUM(Table1[[#This Row],[Co Kept]],Table1[[#This Row],[Co Released ]])</f>
        <v>0</v>
      </c>
      <c r="AB282">
        <f>SUM(Table1[[#This Row],[Pink Kept]],Table1[[#This Row],[Pink Released]])</f>
        <v>0</v>
      </c>
      <c r="AC282">
        <f>SUM(Table1[[#This Row],[Chu Kept]],Table1[[#This Row],[Chu Released]])</f>
        <v>0</v>
      </c>
    </row>
    <row r="283" spans="1:29" x14ac:dyDescent="0.3">
      <c r="A283" s="7">
        <v>45925</v>
      </c>
      <c r="B283">
        <v>6</v>
      </c>
      <c r="C283" t="s">
        <v>236</v>
      </c>
      <c r="D283" t="s">
        <v>42</v>
      </c>
      <c r="E283">
        <v>3</v>
      </c>
      <c r="F283">
        <v>2</v>
      </c>
      <c r="G283">
        <v>2</v>
      </c>
      <c r="H283" t="s">
        <v>241</v>
      </c>
      <c r="I283">
        <v>1</v>
      </c>
      <c r="J283" s="10">
        <v>0.58333333333333337</v>
      </c>
      <c r="K283" s="10">
        <v>0.67847222222222225</v>
      </c>
      <c r="L283" s="10">
        <f t="shared" si="9"/>
        <v>9.5138888888888884E-2</v>
      </c>
      <c r="M283" s="12">
        <f t="shared" si="8"/>
        <v>2.2833333333333332</v>
      </c>
      <c r="N283" s="12">
        <f>Table1[[#This Row],[Trip Hours]]*Table1[[#This Row],['#Angler]]</f>
        <v>2.2833333333333332</v>
      </c>
      <c r="O283" t="s">
        <v>342</v>
      </c>
      <c r="P283" t="s">
        <v>29</v>
      </c>
      <c r="Q283" t="s">
        <v>247</v>
      </c>
      <c r="R283" s="11">
        <v>0</v>
      </c>
      <c r="S283">
        <v>0</v>
      </c>
      <c r="T283">
        <v>0</v>
      </c>
      <c r="U283">
        <v>0</v>
      </c>
      <c r="V283" s="11">
        <v>0</v>
      </c>
      <c r="W283">
        <v>0</v>
      </c>
      <c r="X283">
        <v>0</v>
      </c>
      <c r="Y283">
        <v>0</v>
      </c>
      <c r="Z283" s="11">
        <f>SUM(Table1[[#This Row],[Chi Kept]],Table1[[#This Row],[Chi Released]])</f>
        <v>0</v>
      </c>
      <c r="AA283">
        <f>SUM(Table1[[#This Row],[Co Kept]],Table1[[#This Row],[Co Released ]])</f>
        <v>0</v>
      </c>
      <c r="AB283">
        <f>SUM(Table1[[#This Row],[Pink Kept]],Table1[[#This Row],[Pink Released]])</f>
        <v>0</v>
      </c>
      <c r="AC283">
        <f>SUM(Table1[[#This Row],[Chu Kept]],Table1[[#This Row],[Chu Released]])</f>
        <v>0</v>
      </c>
    </row>
    <row r="284" spans="1:29" x14ac:dyDescent="0.3">
      <c r="A284" s="7">
        <v>45925</v>
      </c>
      <c r="B284">
        <v>6</v>
      </c>
      <c r="C284" t="s">
        <v>236</v>
      </c>
      <c r="D284" t="s">
        <v>42</v>
      </c>
      <c r="E284">
        <v>4</v>
      </c>
      <c r="F284">
        <v>2</v>
      </c>
      <c r="G284">
        <v>2</v>
      </c>
      <c r="H284" t="s">
        <v>241</v>
      </c>
      <c r="I284">
        <v>2</v>
      </c>
      <c r="J284" s="10">
        <v>0.54166666666666663</v>
      </c>
      <c r="K284" s="10">
        <v>0.68194444444444446</v>
      </c>
      <c r="L284" s="10">
        <f t="shared" si="9"/>
        <v>0.14027777777777783</v>
      </c>
      <c r="M284" s="12">
        <f t="shared" si="8"/>
        <v>3.366666666666668</v>
      </c>
      <c r="N284" s="12">
        <f>Table1[[#This Row],[Trip Hours]]*Table1[[#This Row],['#Angler]]</f>
        <v>6.7333333333333361</v>
      </c>
      <c r="O284" t="s">
        <v>342</v>
      </c>
      <c r="P284" t="s">
        <v>56</v>
      </c>
      <c r="Q284" t="s">
        <v>247</v>
      </c>
      <c r="R284" s="11">
        <v>0</v>
      </c>
      <c r="S284">
        <v>0</v>
      </c>
      <c r="T284">
        <v>0</v>
      </c>
      <c r="U284">
        <v>0</v>
      </c>
      <c r="V284" s="11">
        <v>0</v>
      </c>
      <c r="W284">
        <v>0</v>
      </c>
      <c r="X284">
        <v>0</v>
      </c>
      <c r="Y284">
        <v>0</v>
      </c>
      <c r="Z284" s="11">
        <f>SUM(Table1[[#This Row],[Chi Kept]],Table1[[#This Row],[Chi Released]])</f>
        <v>0</v>
      </c>
      <c r="AA284">
        <f>SUM(Table1[[#This Row],[Co Kept]],Table1[[#This Row],[Co Released ]])</f>
        <v>0</v>
      </c>
      <c r="AB284">
        <f>SUM(Table1[[#This Row],[Pink Kept]],Table1[[#This Row],[Pink Released]])</f>
        <v>0</v>
      </c>
      <c r="AC284">
        <f>SUM(Table1[[#This Row],[Chu Kept]],Table1[[#This Row],[Chu Released]])</f>
        <v>0</v>
      </c>
    </row>
    <row r="285" spans="1:29" x14ac:dyDescent="0.3">
      <c r="A285" s="7">
        <v>45925</v>
      </c>
      <c r="B285">
        <v>6</v>
      </c>
      <c r="C285" t="s">
        <v>236</v>
      </c>
      <c r="D285" t="s">
        <v>42</v>
      </c>
      <c r="E285">
        <v>5</v>
      </c>
      <c r="F285">
        <v>2</v>
      </c>
      <c r="G285">
        <v>3</v>
      </c>
      <c r="H285" t="s">
        <v>241</v>
      </c>
      <c r="I285">
        <v>1</v>
      </c>
      <c r="J285" s="10">
        <v>0.60416666666666663</v>
      </c>
      <c r="K285" s="10">
        <v>0.68958333333333333</v>
      </c>
      <c r="L285" s="10">
        <f t="shared" si="9"/>
        <v>8.5416666666666696E-2</v>
      </c>
      <c r="M285" s="12">
        <f t="shared" si="8"/>
        <v>2.0500000000000007</v>
      </c>
      <c r="N285" s="12">
        <f>Table1[[#This Row],[Trip Hours]]*Table1[[#This Row],['#Angler]]</f>
        <v>2.0500000000000007</v>
      </c>
      <c r="O285" t="s">
        <v>349</v>
      </c>
      <c r="P285" t="s">
        <v>56</v>
      </c>
      <c r="Q285" t="s">
        <v>247</v>
      </c>
      <c r="R285" s="11">
        <v>0</v>
      </c>
      <c r="S285">
        <v>0</v>
      </c>
      <c r="T285">
        <v>0</v>
      </c>
      <c r="U285">
        <v>0</v>
      </c>
      <c r="V285" s="11">
        <v>0</v>
      </c>
      <c r="W285">
        <v>0</v>
      </c>
      <c r="X285">
        <v>1</v>
      </c>
      <c r="Y285">
        <v>0</v>
      </c>
      <c r="Z285" s="11">
        <f>SUM(Table1[[#This Row],[Chi Kept]],Table1[[#This Row],[Chi Released]])</f>
        <v>0</v>
      </c>
      <c r="AA285">
        <f>SUM(Table1[[#This Row],[Co Kept]],Table1[[#This Row],[Co Released ]])</f>
        <v>0</v>
      </c>
      <c r="AB285">
        <f>SUM(Table1[[#This Row],[Pink Kept]],Table1[[#This Row],[Pink Released]])</f>
        <v>1</v>
      </c>
      <c r="AC285">
        <f>SUM(Table1[[#This Row],[Chu Kept]],Table1[[#This Row],[Chu Released]])</f>
        <v>0</v>
      </c>
    </row>
    <row r="286" spans="1:29" x14ac:dyDescent="0.3">
      <c r="A286" s="7">
        <v>45925</v>
      </c>
      <c r="B286">
        <v>6</v>
      </c>
      <c r="C286" t="s">
        <v>236</v>
      </c>
      <c r="D286" t="s">
        <v>42</v>
      </c>
      <c r="E286">
        <v>6</v>
      </c>
      <c r="F286">
        <v>2</v>
      </c>
      <c r="G286">
        <v>3</v>
      </c>
      <c r="H286" t="s">
        <v>241</v>
      </c>
      <c r="I286">
        <v>3</v>
      </c>
      <c r="J286" s="10">
        <v>0.45833333333333331</v>
      </c>
      <c r="K286" s="10">
        <v>0.69236111111111109</v>
      </c>
      <c r="L286" s="10">
        <f t="shared" si="9"/>
        <v>0.23402777777777778</v>
      </c>
      <c r="M286" s="12">
        <f t="shared" si="8"/>
        <v>5.6166666666666671</v>
      </c>
      <c r="N286" s="12">
        <f>Table1[[#This Row],[Trip Hours]]*Table1[[#This Row],['#Angler]]</f>
        <v>16.850000000000001</v>
      </c>
      <c r="O286" t="s">
        <v>349</v>
      </c>
      <c r="Q286" t="s">
        <v>247</v>
      </c>
      <c r="R286" s="11">
        <v>0</v>
      </c>
      <c r="S286">
        <v>0</v>
      </c>
      <c r="T286">
        <v>0</v>
      </c>
      <c r="U286">
        <v>0</v>
      </c>
      <c r="V286" s="11">
        <v>0</v>
      </c>
      <c r="W286">
        <v>0</v>
      </c>
      <c r="X286">
        <v>0</v>
      </c>
      <c r="Y286">
        <v>0</v>
      </c>
      <c r="Z286" s="11">
        <f>SUM(Table1[[#This Row],[Chi Kept]],Table1[[#This Row],[Chi Released]])</f>
        <v>0</v>
      </c>
      <c r="AA286">
        <f>SUM(Table1[[#This Row],[Co Kept]],Table1[[#This Row],[Co Released ]])</f>
        <v>0</v>
      </c>
      <c r="AB286">
        <f>SUM(Table1[[#This Row],[Pink Kept]],Table1[[#This Row],[Pink Released]])</f>
        <v>0</v>
      </c>
      <c r="AC286">
        <f>SUM(Table1[[#This Row],[Chu Kept]],Table1[[#This Row],[Chu Released]])</f>
        <v>0</v>
      </c>
    </row>
    <row r="287" spans="1:29" x14ac:dyDescent="0.3">
      <c r="A287" s="7">
        <v>45925</v>
      </c>
      <c r="B287">
        <v>6</v>
      </c>
      <c r="C287" t="s">
        <v>236</v>
      </c>
      <c r="D287" t="s">
        <v>42</v>
      </c>
      <c r="E287">
        <v>7</v>
      </c>
      <c r="F287">
        <v>2</v>
      </c>
      <c r="G287">
        <v>4</v>
      </c>
      <c r="H287" t="s">
        <v>241</v>
      </c>
      <c r="I287">
        <v>1</v>
      </c>
      <c r="J287" s="10">
        <v>0.66666666666666663</v>
      </c>
      <c r="K287" s="10">
        <v>0.71111111111111114</v>
      </c>
      <c r="L287" s="10">
        <f t="shared" si="9"/>
        <v>4.4444444444444509E-2</v>
      </c>
      <c r="M287" s="12">
        <f t="shared" si="8"/>
        <v>1.0666666666666682</v>
      </c>
      <c r="N287" s="12">
        <f>Table1[[#This Row],[Trip Hours]]*Table1[[#This Row],['#Angler]]</f>
        <v>1.0666666666666682</v>
      </c>
      <c r="O287" t="s">
        <v>349</v>
      </c>
      <c r="P287" t="s">
        <v>29</v>
      </c>
      <c r="R287" s="11">
        <v>0</v>
      </c>
      <c r="S287">
        <v>0</v>
      </c>
      <c r="T287">
        <v>0</v>
      </c>
      <c r="U287">
        <v>0</v>
      </c>
      <c r="V287" s="11">
        <v>0</v>
      </c>
      <c r="W287">
        <v>0</v>
      </c>
      <c r="X287">
        <v>0</v>
      </c>
      <c r="Y287">
        <v>0</v>
      </c>
      <c r="Z287" s="11">
        <f>SUM(Table1[[#This Row],[Chi Kept]],Table1[[#This Row],[Chi Released]])</f>
        <v>0</v>
      </c>
      <c r="AA287">
        <f>SUM(Table1[[#This Row],[Co Kept]],Table1[[#This Row],[Co Released ]])</f>
        <v>0</v>
      </c>
      <c r="AB287">
        <f>SUM(Table1[[#This Row],[Pink Kept]],Table1[[#This Row],[Pink Released]])</f>
        <v>0</v>
      </c>
      <c r="AC287">
        <f>SUM(Table1[[#This Row],[Chu Kept]],Table1[[#This Row],[Chu Released]])</f>
        <v>0</v>
      </c>
    </row>
    <row r="288" spans="1:29" x14ac:dyDescent="0.3">
      <c r="A288" s="7">
        <v>45925</v>
      </c>
      <c r="B288">
        <v>6</v>
      </c>
      <c r="C288" t="s">
        <v>236</v>
      </c>
      <c r="D288" t="s">
        <v>42</v>
      </c>
      <c r="E288">
        <v>8</v>
      </c>
      <c r="F288">
        <v>2</v>
      </c>
      <c r="G288">
        <v>4</v>
      </c>
      <c r="H288" t="s">
        <v>241</v>
      </c>
      <c r="I288">
        <v>1</v>
      </c>
      <c r="J288" s="10">
        <v>0.69791666666666663</v>
      </c>
      <c r="K288" s="10">
        <v>0.71180555555555558</v>
      </c>
      <c r="L288" s="10">
        <f t="shared" si="9"/>
        <v>1.3888888888888951E-2</v>
      </c>
      <c r="M288" s="12">
        <f t="shared" si="8"/>
        <v>0.33333333333333481</v>
      </c>
      <c r="N288" s="12">
        <f>Table1[[#This Row],[Trip Hours]]*Table1[[#This Row],['#Angler]]</f>
        <v>0.33333333333333481</v>
      </c>
      <c r="O288" t="s">
        <v>349</v>
      </c>
      <c r="P288" t="s">
        <v>29</v>
      </c>
      <c r="R288" s="11">
        <v>0</v>
      </c>
      <c r="S288">
        <v>0</v>
      </c>
      <c r="T288">
        <v>0</v>
      </c>
      <c r="U288">
        <v>0</v>
      </c>
      <c r="V288" s="11">
        <v>0</v>
      </c>
      <c r="W288">
        <v>0</v>
      </c>
      <c r="X288">
        <v>0</v>
      </c>
      <c r="Y288">
        <v>0</v>
      </c>
      <c r="Z288" s="11">
        <f>SUM(Table1[[#This Row],[Chi Kept]],Table1[[#This Row],[Chi Released]])</f>
        <v>0</v>
      </c>
      <c r="AA288">
        <f>SUM(Table1[[#This Row],[Co Kept]],Table1[[#This Row],[Co Released ]])</f>
        <v>0</v>
      </c>
      <c r="AB288">
        <f>SUM(Table1[[#This Row],[Pink Kept]],Table1[[#This Row],[Pink Released]])</f>
        <v>0</v>
      </c>
      <c r="AC288">
        <f>SUM(Table1[[#This Row],[Chu Kept]],Table1[[#This Row],[Chu Released]])</f>
        <v>0</v>
      </c>
    </row>
    <row r="289" spans="1:29" x14ac:dyDescent="0.3">
      <c r="A289" s="7">
        <v>45925</v>
      </c>
      <c r="B289">
        <v>6</v>
      </c>
      <c r="C289" t="s">
        <v>236</v>
      </c>
      <c r="D289" t="s">
        <v>42</v>
      </c>
      <c r="E289">
        <v>9</v>
      </c>
      <c r="F289">
        <v>2</v>
      </c>
      <c r="G289">
        <v>4</v>
      </c>
      <c r="H289" t="s">
        <v>241</v>
      </c>
      <c r="I289">
        <v>1</v>
      </c>
      <c r="J289" s="10">
        <v>0.6875</v>
      </c>
      <c r="K289" s="10">
        <v>0.73263888888888884</v>
      </c>
      <c r="L289" s="10">
        <f t="shared" si="9"/>
        <v>4.513888888888884E-2</v>
      </c>
      <c r="M289" s="12">
        <f t="shared" si="8"/>
        <v>1.0833333333333321</v>
      </c>
      <c r="N289" s="12">
        <f>Table1[[#This Row],[Trip Hours]]*Table1[[#This Row],['#Angler]]</f>
        <v>1.0833333333333321</v>
      </c>
      <c r="O289" t="s">
        <v>342</v>
      </c>
      <c r="P289" t="s">
        <v>29</v>
      </c>
      <c r="Q289" t="s">
        <v>247</v>
      </c>
      <c r="R289" s="11">
        <v>0</v>
      </c>
      <c r="S289">
        <v>0</v>
      </c>
      <c r="T289">
        <v>0</v>
      </c>
      <c r="U289">
        <v>0</v>
      </c>
      <c r="V289" s="11">
        <v>0</v>
      </c>
      <c r="W289">
        <v>0</v>
      </c>
      <c r="X289">
        <v>0</v>
      </c>
      <c r="Y289">
        <v>0</v>
      </c>
      <c r="Z289" s="11">
        <f>SUM(Table1[[#This Row],[Chi Kept]],Table1[[#This Row],[Chi Released]])</f>
        <v>0</v>
      </c>
      <c r="AA289">
        <f>SUM(Table1[[#This Row],[Co Kept]],Table1[[#This Row],[Co Released ]])</f>
        <v>0</v>
      </c>
      <c r="AB289">
        <f>SUM(Table1[[#This Row],[Pink Kept]],Table1[[#This Row],[Pink Released]])</f>
        <v>0</v>
      </c>
      <c r="AC289">
        <f>SUM(Table1[[#This Row],[Chu Kept]],Table1[[#This Row],[Chu Released]])</f>
        <v>0</v>
      </c>
    </row>
    <row r="290" spans="1:29" x14ac:dyDescent="0.3">
      <c r="A290" s="7">
        <v>45925</v>
      </c>
      <c r="B290">
        <v>6</v>
      </c>
      <c r="C290" t="s">
        <v>236</v>
      </c>
      <c r="D290" t="s">
        <v>42</v>
      </c>
      <c r="E290">
        <v>10</v>
      </c>
      <c r="F290">
        <v>2</v>
      </c>
      <c r="G290">
        <v>4</v>
      </c>
      <c r="H290" t="s">
        <v>241</v>
      </c>
      <c r="I290">
        <v>1</v>
      </c>
      <c r="J290" s="10">
        <v>0.75</v>
      </c>
      <c r="K290" s="10">
        <v>0.78125</v>
      </c>
      <c r="L290" s="10">
        <f t="shared" si="9"/>
        <v>3.125E-2</v>
      </c>
      <c r="M290" s="12">
        <f t="shared" si="8"/>
        <v>0.75</v>
      </c>
      <c r="N290" s="12">
        <f>Table1[[#This Row],[Trip Hours]]*Table1[[#This Row],['#Angler]]</f>
        <v>0.75</v>
      </c>
      <c r="O290" t="s">
        <v>342</v>
      </c>
      <c r="P290" t="s">
        <v>148</v>
      </c>
      <c r="Q290" t="s">
        <v>241</v>
      </c>
      <c r="R290" s="11">
        <v>0</v>
      </c>
      <c r="S290">
        <v>0</v>
      </c>
      <c r="T290">
        <v>0</v>
      </c>
      <c r="U290">
        <v>0</v>
      </c>
      <c r="V290" s="11">
        <v>0</v>
      </c>
      <c r="W290">
        <v>0</v>
      </c>
      <c r="X290">
        <v>0</v>
      </c>
      <c r="Y290">
        <v>0</v>
      </c>
      <c r="Z290" s="11">
        <f>SUM(Table1[[#This Row],[Chi Kept]],Table1[[#This Row],[Chi Released]])</f>
        <v>0</v>
      </c>
      <c r="AA290">
        <f>SUM(Table1[[#This Row],[Co Kept]],Table1[[#This Row],[Co Released ]])</f>
        <v>0</v>
      </c>
      <c r="AB290">
        <f>SUM(Table1[[#This Row],[Pink Kept]],Table1[[#This Row],[Pink Released]])</f>
        <v>0</v>
      </c>
      <c r="AC290">
        <f>SUM(Table1[[#This Row],[Chu Kept]],Table1[[#This Row],[Chu Released]])</f>
        <v>0</v>
      </c>
    </row>
    <row r="291" spans="1:29" x14ac:dyDescent="0.3">
      <c r="A291" s="7">
        <v>45925</v>
      </c>
      <c r="B291">
        <v>6</v>
      </c>
      <c r="C291" t="s">
        <v>236</v>
      </c>
      <c r="D291" t="s">
        <v>42</v>
      </c>
      <c r="E291">
        <v>11</v>
      </c>
      <c r="F291">
        <v>2</v>
      </c>
      <c r="G291">
        <v>4</v>
      </c>
      <c r="H291" t="s">
        <v>241</v>
      </c>
      <c r="I291">
        <v>2</v>
      </c>
      <c r="J291" s="10">
        <v>0.72916666666666663</v>
      </c>
      <c r="K291" s="10">
        <v>0.79166666666666663</v>
      </c>
      <c r="L291" s="10">
        <f t="shared" si="9"/>
        <v>6.25E-2</v>
      </c>
      <c r="M291" s="12">
        <f t="shared" si="8"/>
        <v>1.5</v>
      </c>
      <c r="N291" s="12">
        <f>Table1[[#This Row],[Trip Hours]]*Table1[[#This Row],['#Angler]]</f>
        <v>3</v>
      </c>
      <c r="O291" t="s">
        <v>342</v>
      </c>
      <c r="P291" t="s">
        <v>73</v>
      </c>
      <c r="Q291" t="s">
        <v>241</v>
      </c>
      <c r="R291" s="11">
        <v>0</v>
      </c>
      <c r="S291">
        <v>0</v>
      </c>
      <c r="T291">
        <v>0</v>
      </c>
      <c r="U291">
        <v>0</v>
      </c>
      <c r="V291" s="11">
        <v>0</v>
      </c>
      <c r="W291">
        <v>0</v>
      </c>
      <c r="X291">
        <v>0</v>
      </c>
      <c r="Y291">
        <v>0</v>
      </c>
      <c r="Z291" s="11">
        <f>SUM(Table1[[#This Row],[Chi Kept]],Table1[[#This Row],[Chi Released]])</f>
        <v>0</v>
      </c>
      <c r="AA291">
        <f>SUM(Table1[[#This Row],[Co Kept]],Table1[[#This Row],[Co Released ]])</f>
        <v>0</v>
      </c>
      <c r="AB291">
        <f>SUM(Table1[[#This Row],[Pink Kept]],Table1[[#This Row],[Pink Released]])</f>
        <v>0</v>
      </c>
      <c r="AC291">
        <f>SUM(Table1[[#This Row],[Chu Kept]],Table1[[#This Row],[Chu Released]])</f>
        <v>0</v>
      </c>
    </row>
    <row r="292" spans="1:29" x14ac:dyDescent="0.3">
      <c r="A292" s="7">
        <v>45926</v>
      </c>
      <c r="B292">
        <v>6</v>
      </c>
      <c r="C292" t="s">
        <v>236</v>
      </c>
      <c r="D292" t="s">
        <v>26</v>
      </c>
      <c r="E292">
        <v>1</v>
      </c>
      <c r="F292">
        <v>2</v>
      </c>
      <c r="G292">
        <v>1</v>
      </c>
      <c r="H292" t="s">
        <v>241</v>
      </c>
      <c r="I292">
        <v>1</v>
      </c>
      <c r="J292" s="10">
        <v>0.3125</v>
      </c>
      <c r="K292" s="10">
        <v>0.33680555555555558</v>
      </c>
      <c r="L292" s="10">
        <f t="shared" si="9"/>
        <v>2.430555555555558E-2</v>
      </c>
      <c r="M292" s="12">
        <f t="shared" si="8"/>
        <v>0.58333333333333393</v>
      </c>
      <c r="N292" s="12">
        <f>Table1[[#This Row],[Trip Hours]]*Table1[[#This Row],['#Angler]]</f>
        <v>0.58333333333333393</v>
      </c>
      <c r="O292" t="s">
        <v>342</v>
      </c>
      <c r="P292" t="s">
        <v>29</v>
      </c>
      <c r="Q292" t="s">
        <v>247</v>
      </c>
      <c r="R292" s="11">
        <v>0</v>
      </c>
      <c r="S292">
        <v>0</v>
      </c>
      <c r="T292">
        <v>0</v>
      </c>
      <c r="U292">
        <v>0</v>
      </c>
      <c r="V292" s="11">
        <v>0</v>
      </c>
      <c r="W292">
        <v>0</v>
      </c>
      <c r="X292">
        <v>0</v>
      </c>
      <c r="Y292">
        <v>0</v>
      </c>
      <c r="Z292" s="11">
        <f>SUM(Table1[[#This Row],[Chi Kept]],Table1[[#This Row],[Chi Released]])</f>
        <v>0</v>
      </c>
      <c r="AA292">
        <f>SUM(Table1[[#This Row],[Co Kept]],Table1[[#This Row],[Co Released ]])</f>
        <v>0</v>
      </c>
      <c r="AB292">
        <f>SUM(Table1[[#This Row],[Pink Kept]],Table1[[#This Row],[Pink Released]])</f>
        <v>0</v>
      </c>
      <c r="AC292">
        <f>SUM(Table1[[#This Row],[Chu Kept]],Table1[[#This Row],[Chu Released]])</f>
        <v>0</v>
      </c>
    </row>
    <row r="293" spans="1:29" x14ac:dyDescent="0.3">
      <c r="A293" s="7">
        <v>45926</v>
      </c>
      <c r="B293">
        <v>6</v>
      </c>
      <c r="C293" t="s">
        <v>236</v>
      </c>
      <c r="D293" t="s">
        <v>26</v>
      </c>
      <c r="E293">
        <v>2</v>
      </c>
      <c r="F293">
        <v>2</v>
      </c>
      <c r="G293">
        <v>1</v>
      </c>
      <c r="H293" t="s">
        <v>241</v>
      </c>
      <c r="I293">
        <v>3</v>
      </c>
      <c r="J293" s="10">
        <v>0.29166666666666669</v>
      </c>
      <c r="K293" s="10">
        <v>0.33750000000000002</v>
      </c>
      <c r="L293" s="10">
        <f t="shared" si="9"/>
        <v>4.5833333333333337E-2</v>
      </c>
      <c r="M293" s="12">
        <f t="shared" si="8"/>
        <v>1.1000000000000001</v>
      </c>
      <c r="N293" s="12">
        <f>Table1[[#This Row],[Trip Hours]]*Table1[[#This Row],['#Angler]]</f>
        <v>3.3000000000000003</v>
      </c>
      <c r="O293" t="s">
        <v>349</v>
      </c>
      <c r="P293" t="s">
        <v>56</v>
      </c>
      <c r="Q293" t="s">
        <v>247</v>
      </c>
      <c r="R293" s="11">
        <v>0</v>
      </c>
      <c r="S293">
        <v>0</v>
      </c>
      <c r="T293">
        <v>0</v>
      </c>
      <c r="U293">
        <v>0</v>
      </c>
      <c r="V293" s="11">
        <v>0</v>
      </c>
      <c r="W293">
        <v>0</v>
      </c>
      <c r="X293">
        <v>0</v>
      </c>
      <c r="Y293">
        <v>0</v>
      </c>
      <c r="Z293" s="11">
        <f>SUM(Table1[[#This Row],[Chi Kept]],Table1[[#This Row],[Chi Released]])</f>
        <v>0</v>
      </c>
      <c r="AA293">
        <f>SUM(Table1[[#This Row],[Co Kept]],Table1[[#This Row],[Co Released ]])</f>
        <v>0</v>
      </c>
      <c r="AB293">
        <f>SUM(Table1[[#This Row],[Pink Kept]],Table1[[#This Row],[Pink Released]])</f>
        <v>0</v>
      </c>
      <c r="AC293">
        <f>SUM(Table1[[#This Row],[Chu Kept]],Table1[[#This Row],[Chu Released]])</f>
        <v>0</v>
      </c>
    </row>
    <row r="294" spans="1:29" x14ac:dyDescent="0.3">
      <c r="A294" s="7">
        <v>45926</v>
      </c>
      <c r="B294">
        <v>6</v>
      </c>
      <c r="C294" t="s">
        <v>236</v>
      </c>
      <c r="D294" t="s">
        <v>26</v>
      </c>
      <c r="E294">
        <v>3</v>
      </c>
      <c r="F294">
        <v>2</v>
      </c>
      <c r="G294">
        <v>1</v>
      </c>
      <c r="H294" t="s">
        <v>241</v>
      </c>
      <c r="I294">
        <v>1</v>
      </c>
      <c r="J294" s="10">
        <v>0.30555555555555558</v>
      </c>
      <c r="K294" s="10">
        <v>0.33888888888888891</v>
      </c>
      <c r="L294" s="10">
        <f t="shared" si="9"/>
        <v>3.3333333333333326E-2</v>
      </c>
      <c r="M294" s="12">
        <f t="shared" si="8"/>
        <v>0.79999999999999982</v>
      </c>
      <c r="N294" s="12">
        <f>Table1[[#This Row],[Trip Hours]]*Table1[[#This Row],['#Angler]]</f>
        <v>0.79999999999999982</v>
      </c>
      <c r="O294" t="s">
        <v>349</v>
      </c>
      <c r="P294" t="s">
        <v>56</v>
      </c>
      <c r="Q294" t="s">
        <v>241</v>
      </c>
      <c r="R294" s="11">
        <v>0</v>
      </c>
      <c r="S294">
        <v>0</v>
      </c>
      <c r="T294">
        <v>0</v>
      </c>
      <c r="U294">
        <v>0</v>
      </c>
      <c r="V294" s="11">
        <v>0</v>
      </c>
      <c r="W294">
        <v>0</v>
      </c>
      <c r="X294">
        <v>0</v>
      </c>
      <c r="Y294">
        <v>0</v>
      </c>
      <c r="Z294" s="11">
        <f>SUM(Table1[[#This Row],[Chi Kept]],Table1[[#This Row],[Chi Released]])</f>
        <v>0</v>
      </c>
      <c r="AA294">
        <f>SUM(Table1[[#This Row],[Co Kept]],Table1[[#This Row],[Co Released ]])</f>
        <v>0</v>
      </c>
      <c r="AB294">
        <f>SUM(Table1[[#This Row],[Pink Kept]],Table1[[#This Row],[Pink Released]])</f>
        <v>0</v>
      </c>
      <c r="AC294">
        <f>SUM(Table1[[#This Row],[Chu Kept]],Table1[[#This Row],[Chu Released]])</f>
        <v>0</v>
      </c>
    </row>
    <row r="295" spans="1:29" x14ac:dyDescent="0.3">
      <c r="A295" s="7">
        <v>45926</v>
      </c>
      <c r="B295">
        <v>6</v>
      </c>
      <c r="C295" t="s">
        <v>236</v>
      </c>
      <c r="D295" t="s">
        <v>26</v>
      </c>
      <c r="E295">
        <v>4</v>
      </c>
      <c r="F295">
        <v>2</v>
      </c>
      <c r="G295">
        <v>1</v>
      </c>
      <c r="H295" t="s">
        <v>241</v>
      </c>
      <c r="I295">
        <v>1</v>
      </c>
      <c r="J295" s="10">
        <v>0.2986111111111111</v>
      </c>
      <c r="K295" s="10">
        <v>0.34027777777777779</v>
      </c>
      <c r="L295" s="10">
        <f t="shared" si="9"/>
        <v>4.1666666666666685E-2</v>
      </c>
      <c r="M295" s="12">
        <f t="shared" si="8"/>
        <v>1.0000000000000004</v>
      </c>
      <c r="N295" s="12">
        <f>Table1[[#This Row],[Trip Hours]]*Table1[[#This Row],['#Angler]]</f>
        <v>1.0000000000000004</v>
      </c>
      <c r="O295" t="s">
        <v>349</v>
      </c>
      <c r="P295" t="s">
        <v>56</v>
      </c>
      <c r="Q295" t="s">
        <v>247</v>
      </c>
      <c r="R295" s="11">
        <v>0</v>
      </c>
      <c r="S295">
        <v>0</v>
      </c>
      <c r="T295">
        <v>0</v>
      </c>
      <c r="U295">
        <v>0</v>
      </c>
      <c r="V295" s="11">
        <v>0</v>
      </c>
      <c r="W295">
        <v>0</v>
      </c>
      <c r="X295">
        <v>0</v>
      </c>
      <c r="Y295">
        <v>0</v>
      </c>
      <c r="Z295" s="11">
        <f>SUM(Table1[[#This Row],[Chi Kept]],Table1[[#This Row],[Chi Released]])</f>
        <v>0</v>
      </c>
      <c r="AA295">
        <f>SUM(Table1[[#This Row],[Co Kept]],Table1[[#This Row],[Co Released ]])</f>
        <v>0</v>
      </c>
      <c r="AB295">
        <f>SUM(Table1[[#This Row],[Pink Kept]],Table1[[#This Row],[Pink Released]])</f>
        <v>0</v>
      </c>
      <c r="AC295">
        <f>SUM(Table1[[#This Row],[Chu Kept]],Table1[[#This Row],[Chu Released]])</f>
        <v>0</v>
      </c>
    </row>
    <row r="296" spans="1:29" x14ac:dyDescent="0.3">
      <c r="A296" s="7">
        <v>45926</v>
      </c>
      <c r="B296">
        <v>6</v>
      </c>
      <c r="C296" t="s">
        <v>236</v>
      </c>
      <c r="D296" t="s">
        <v>26</v>
      </c>
      <c r="E296">
        <v>5</v>
      </c>
      <c r="F296">
        <v>2</v>
      </c>
      <c r="G296">
        <v>2</v>
      </c>
      <c r="H296" t="s">
        <v>241</v>
      </c>
      <c r="I296">
        <v>1</v>
      </c>
      <c r="J296" s="10">
        <v>0.3298611111111111</v>
      </c>
      <c r="K296" s="10">
        <v>0.35069444444444442</v>
      </c>
      <c r="L296" s="10">
        <f t="shared" si="9"/>
        <v>2.0833333333333315E-2</v>
      </c>
      <c r="M296" s="12">
        <f t="shared" si="8"/>
        <v>0.49999999999999956</v>
      </c>
      <c r="N296" s="12">
        <f>Table1[[#This Row],[Trip Hours]]*Table1[[#This Row],['#Angler]]</f>
        <v>0.49999999999999956</v>
      </c>
      <c r="O296" t="s">
        <v>349</v>
      </c>
      <c r="P296" t="s">
        <v>347</v>
      </c>
      <c r="Q296" t="s">
        <v>241</v>
      </c>
      <c r="R296" s="11">
        <v>0</v>
      </c>
      <c r="S296">
        <v>0</v>
      </c>
      <c r="T296">
        <v>0</v>
      </c>
      <c r="U296">
        <v>0</v>
      </c>
      <c r="V296" s="11">
        <v>0</v>
      </c>
      <c r="W296">
        <v>0</v>
      </c>
      <c r="X296">
        <v>0</v>
      </c>
      <c r="Y296">
        <v>0</v>
      </c>
      <c r="Z296" s="11">
        <f>SUM(Table1[[#This Row],[Chi Kept]],Table1[[#This Row],[Chi Released]])</f>
        <v>0</v>
      </c>
      <c r="AA296">
        <f>SUM(Table1[[#This Row],[Co Kept]],Table1[[#This Row],[Co Released ]])</f>
        <v>0</v>
      </c>
      <c r="AB296">
        <f>SUM(Table1[[#This Row],[Pink Kept]],Table1[[#This Row],[Pink Released]])</f>
        <v>0</v>
      </c>
      <c r="AC296">
        <f>SUM(Table1[[#This Row],[Chu Kept]],Table1[[#This Row],[Chu Released]])</f>
        <v>0</v>
      </c>
    </row>
    <row r="297" spans="1:29" x14ac:dyDescent="0.3">
      <c r="A297" s="7">
        <v>45926</v>
      </c>
      <c r="B297">
        <v>6</v>
      </c>
      <c r="C297" t="s">
        <v>236</v>
      </c>
      <c r="D297" t="s">
        <v>26</v>
      </c>
      <c r="E297">
        <v>6</v>
      </c>
      <c r="F297">
        <v>2</v>
      </c>
      <c r="G297">
        <v>2</v>
      </c>
      <c r="H297" t="s">
        <v>241</v>
      </c>
      <c r="I297">
        <v>2</v>
      </c>
      <c r="J297" s="10">
        <v>0.28125</v>
      </c>
      <c r="K297" s="10">
        <v>0.35625000000000001</v>
      </c>
      <c r="L297" s="10">
        <f t="shared" si="9"/>
        <v>7.5000000000000011E-2</v>
      </c>
      <c r="M297" s="12">
        <f t="shared" si="8"/>
        <v>1.8000000000000003</v>
      </c>
      <c r="N297" s="12">
        <f>Table1[[#This Row],[Trip Hours]]*Table1[[#This Row],['#Angler]]</f>
        <v>3.6000000000000005</v>
      </c>
      <c r="O297" t="s">
        <v>342</v>
      </c>
      <c r="P297" t="s">
        <v>347</v>
      </c>
      <c r="R297" s="11">
        <v>0</v>
      </c>
      <c r="S297">
        <v>0</v>
      </c>
      <c r="T297">
        <v>0</v>
      </c>
      <c r="U297">
        <v>0</v>
      </c>
      <c r="V297" s="11">
        <v>0</v>
      </c>
      <c r="W297">
        <v>0</v>
      </c>
      <c r="X297">
        <v>0</v>
      </c>
      <c r="Y297">
        <v>0</v>
      </c>
      <c r="Z297" s="11">
        <f>SUM(Table1[[#This Row],[Chi Kept]],Table1[[#This Row],[Chi Released]])</f>
        <v>0</v>
      </c>
      <c r="AA297">
        <f>SUM(Table1[[#This Row],[Co Kept]],Table1[[#This Row],[Co Released ]])</f>
        <v>0</v>
      </c>
      <c r="AB297">
        <f>SUM(Table1[[#This Row],[Pink Kept]],Table1[[#This Row],[Pink Released]])</f>
        <v>0</v>
      </c>
      <c r="AC297">
        <f>SUM(Table1[[#This Row],[Chu Kept]],Table1[[#This Row],[Chu Released]])</f>
        <v>0</v>
      </c>
    </row>
    <row r="298" spans="1:29" x14ac:dyDescent="0.3">
      <c r="A298" s="7">
        <v>45926</v>
      </c>
      <c r="B298">
        <v>6</v>
      </c>
      <c r="C298" t="s">
        <v>236</v>
      </c>
      <c r="D298" t="s">
        <v>26</v>
      </c>
      <c r="E298">
        <v>7</v>
      </c>
      <c r="F298">
        <v>2</v>
      </c>
      <c r="G298">
        <v>2</v>
      </c>
      <c r="H298" t="s">
        <v>241</v>
      </c>
      <c r="I298">
        <v>5</v>
      </c>
      <c r="J298" s="10">
        <v>0.27083333333333331</v>
      </c>
      <c r="K298" s="10">
        <v>0.35902777777777778</v>
      </c>
      <c r="L298" s="10">
        <f t="shared" si="9"/>
        <v>8.8194444444444464E-2</v>
      </c>
      <c r="M298" s="12">
        <f t="shared" si="8"/>
        <v>2.1166666666666671</v>
      </c>
      <c r="N298" s="12">
        <f>Table1[[#This Row],[Trip Hours]]*Table1[[#This Row],['#Angler]]</f>
        <v>10.583333333333336</v>
      </c>
      <c r="O298" t="s">
        <v>349</v>
      </c>
      <c r="P298" t="s">
        <v>362</v>
      </c>
      <c r="Q298" t="s">
        <v>241</v>
      </c>
      <c r="R298" s="11">
        <v>0</v>
      </c>
      <c r="S298">
        <v>0</v>
      </c>
      <c r="T298">
        <v>0</v>
      </c>
      <c r="U298">
        <v>0</v>
      </c>
      <c r="V298" s="11">
        <v>0</v>
      </c>
      <c r="W298">
        <v>0</v>
      </c>
      <c r="X298">
        <v>0</v>
      </c>
      <c r="Y298">
        <v>0</v>
      </c>
      <c r="Z298" s="11">
        <f>SUM(Table1[[#This Row],[Chi Kept]],Table1[[#This Row],[Chi Released]])</f>
        <v>0</v>
      </c>
      <c r="AA298">
        <f>SUM(Table1[[#This Row],[Co Kept]],Table1[[#This Row],[Co Released ]])</f>
        <v>0</v>
      </c>
      <c r="AB298">
        <f>SUM(Table1[[#This Row],[Pink Kept]],Table1[[#This Row],[Pink Released]])</f>
        <v>0</v>
      </c>
      <c r="AC298">
        <f>SUM(Table1[[#This Row],[Chu Kept]],Table1[[#This Row],[Chu Released]])</f>
        <v>0</v>
      </c>
    </row>
    <row r="299" spans="1:29" x14ac:dyDescent="0.3">
      <c r="A299" s="7">
        <v>45926</v>
      </c>
      <c r="B299">
        <v>6</v>
      </c>
      <c r="C299" t="s">
        <v>236</v>
      </c>
      <c r="D299" t="s">
        <v>26</v>
      </c>
      <c r="E299">
        <v>8</v>
      </c>
      <c r="F299">
        <v>2</v>
      </c>
      <c r="G299">
        <v>2</v>
      </c>
      <c r="H299" t="s">
        <v>241</v>
      </c>
      <c r="I299">
        <v>2</v>
      </c>
      <c r="J299" s="10">
        <v>0.3125</v>
      </c>
      <c r="K299" s="10">
        <v>0.37777777777777777</v>
      </c>
      <c r="L299" s="10">
        <f t="shared" si="9"/>
        <v>6.5277777777777768E-2</v>
      </c>
      <c r="M299" s="12">
        <f t="shared" si="8"/>
        <v>1.5666666666666664</v>
      </c>
      <c r="N299" s="12">
        <f>Table1[[#This Row],[Trip Hours]]*Table1[[#This Row],['#Angler]]</f>
        <v>3.1333333333333329</v>
      </c>
      <c r="O299" t="s">
        <v>349</v>
      </c>
      <c r="P299" t="s">
        <v>56</v>
      </c>
      <c r="Q299" t="s">
        <v>241</v>
      </c>
      <c r="R299" s="11">
        <v>0</v>
      </c>
      <c r="S299">
        <v>0</v>
      </c>
      <c r="T299">
        <v>0</v>
      </c>
      <c r="U299">
        <v>0</v>
      </c>
      <c r="V299" s="11">
        <v>0</v>
      </c>
      <c r="W299">
        <v>0</v>
      </c>
      <c r="X299">
        <v>0</v>
      </c>
      <c r="Y299">
        <v>0</v>
      </c>
      <c r="Z299" s="11">
        <f>SUM(Table1[[#This Row],[Chi Kept]],Table1[[#This Row],[Chi Released]])</f>
        <v>0</v>
      </c>
      <c r="AA299">
        <f>SUM(Table1[[#This Row],[Co Kept]],Table1[[#This Row],[Co Released ]])</f>
        <v>0</v>
      </c>
      <c r="AB299">
        <f>SUM(Table1[[#This Row],[Pink Kept]],Table1[[#This Row],[Pink Released]])</f>
        <v>0</v>
      </c>
      <c r="AC299">
        <f>SUM(Table1[[#This Row],[Chu Kept]],Table1[[#This Row],[Chu Released]])</f>
        <v>0</v>
      </c>
    </row>
    <row r="300" spans="1:29" x14ac:dyDescent="0.3">
      <c r="A300" s="7">
        <v>45926</v>
      </c>
      <c r="B300">
        <v>6</v>
      </c>
      <c r="C300" t="s">
        <v>236</v>
      </c>
      <c r="D300" t="s">
        <v>26</v>
      </c>
      <c r="E300">
        <v>9</v>
      </c>
      <c r="F300">
        <v>2</v>
      </c>
      <c r="G300">
        <v>4</v>
      </c>
      <c r="H300" t="s">
        <v>241</v>
      </c>
      <c r="I300">
        <v>1</v>
      </c>
      <c r="J300" s="10">
        <v>0.3125</v>
      </c>
      <c r="K300" s="10">
        <v>0.43055555555555558</v>
      </c>
      <c r="L300" s="10">
        <f t="shared" si="9"/>
        <v>0.11805555555555558</v>
      </c>
      <c r="M300" s="12">
        <f t="shared" si="8"/>
        <v>2.8333333333333339</v>
      </c>
      <c r="N300" s="12">
        <f>Table1[[#This Row],[Trip Hours]]*Table1[[#This Row],['#Angler]]</f>
        <v>2.8333333333333339</v>
      </c>
      <c r="O300" t="s">
        <v>342</v>
      </c>
      <c r="Q300" t="s">
        <v>247</v>
      </c>
      <c r="R300" s="11">
        <v>0</v>
      </c>
      <c r="S300">
        <v>0</v>
      </c>
      <c r="T300">
        <v>0</v>
      </c>
      <c r="U300">
        <v>0</v>
      </c>
      <c r="V300" s="11">
        <v>0</v>
      </c>
      <c r="W300">
        <v>0</v>
      </c>
      <c r="X300">
        <v>0</v>
      </c>
      <c r="Y300">
        <v>0</v>
      </c>
      <c r="Z300" s="11">
        <f>SUM(Table1[[#This Row],[Chi Kept]],Table1[[#This Row],[Chi Released]])</f>
        <v>0</v>
      </c>
      <c r="AA300">
        <f>SUM(Table1[[#This Row],[Co Kept]],Table1[[#This Row],[Co Released ]])</f>
        <v>0</v>
      </c>
      <c r="AB300">
        <f>SUM(Table1[[#This Row],[Pink Kept]],Table1[[#This Row],[Pink Released]])</f>
        <v>0</v>
      </c>
      <c r="AC300">
        <f>SUM(Table1[[#This Row],[Chu Kept]],Table1[[#This Row],[Chu Released]])</f>
        <v>0</v>
      </c>
    </row>
    <row r="301" spans="1:29" x14ac:dyDescent="0.3">
      <c r="A301" s="7">
        <v>45926</v>
      </c>
      <c r="B301">
        <v>6</v>
      </c>
      <c r="C301" t="s">
        <v>236</v>
      </c>
      <c r="D301" t="s">
        <v>26</v>
      </c>
      <c r="E301">
        <v>10</v>
      </c>
      <c r="F301">
        <v>2</v>
      </c>
      <c r="G301">
        <v>4</v>
      </c>
      <c r="H301" t="s">
        <v>241</v>
      </c>
      <c r="I301">
        <v>1</v>
      </c>
      <c r="J301" s="10">
        <v>0.34375</v>
      </c>
      <c r="K301" s="10">
        <v>0.43055555555555558</v>
      </c>
      <c r="L301" s="10">
        <f t="shared" si="9"/>
        <v>8.680555555555558E-2</v>
      </c>
      <c r="M301" s="12">
        <f t="shared" si="8"/>
        <v>2.0833333333333339</v>
      </c>
      <c r="N301" s="12">
        <f>Table1[[#This Row],[Trip Hours]]*Table1[[#This Row],['#Angler]]</f>
        <v>2.0833333333333339</v>
      </c>
      <c r="O301" t="s">
        <v>342</v>
      </c>
      <c r="Q301" t="s">
        <v>247</v>
      </c>
      <c r="R301" s="11">
        <v>0</v>
      </c>
      <c r="S301">
        <v>0</v>
      </c>
      <c r="T301">
        <v>0</v>
      </c>
      <c r="U301">
        <v>0</v>
      </c>
      <c r="V301" s="11">
        <v>0</v>
      </c>
      <c r="W301">
        <v>0</v>
      </c>
      <c r="X301">
        <v>0</v>
      </c>
      <c r="Y301">
        <v>0</v>
      </c>
      <c r="Z301" s="11">
        <f>SUM(Table1[[#This Row],[Chi Kept]],Table1[[#This Row],[Chi Released]])</f>
        <v>0</v>
      </c>
      <c r="AA301">
        <f>SUM(Table1[[#This Row],[Co Kept]],Table1[[#This Row],[Co Released ]])</f>
        <v>0</v>
      </c>
      <c r="AB301">
        <f>SUM(Table1[[#This Row],[Pink Kept]],Table1[[#This Row],[Pink Released]])</f>
        <v>0</v>
      </c>
      <c r="AC301">
        <f>SUM(Table1[[#This Row],[Chu Kept]],Table1[[#This Row],[Chu Released]])</f>
        <v>0</v>
      </c>
    </row>
    <row r="302" spans="1:29" x14ac:dyDescent="0.3">
      <c r="A302" s="7">
        <v>45926</v>
      </c>
      <c r="B302">
        <v>6</v>
      </c>
      <c r="C302" t="s">
        <v>236</v>
      </c>
      <c r="D302" t="s">
        <v>26</v>
      </c>
      <c r="E302">
        <v>11</v>
      </c>
      <c r="F302">
        <v>2</v>
      </c>
      <c r="G302">
        <v>4</v>
      </c>
      <c r="H302" t="s">
        <v>241</v>
      </c>
      <c r="I302">
        <v>2</v>
      </c>
      <c r="J302" s="10">
        <v>0.375</v>
      </c>
      <c r="K302" s="10">
        <v>0.4375</v>
      </c>
      <c r="L302" s="10">
        <f t="shared" si="9"/>
        <v>6.25E-2</v>
      </c>
      <c r="M302" s="12">
        <f t="shared" si="8"/>
        <v>1.5</v>
      </c>
      <c r="N302" s="12">
        <f>Table1[[#This Row],[Trip Hours]]*Table1[[#This Row],['#Angler]]</f>
        <v>3</v>
      </c>
      <c r="O302" t="s">
        <v>349</v>
      </c>
      <c r="Q302" t="s">
        <v>241</v>
      </c>
      <c r="R302" s="11">
        <v>0</v>
      </c>
      <c r="S302">
        <v>0</v>
      </c>
      <c r="T302">
        <v>0</v>
      </c>
      <c r="U302">
        <v>0</v>
      </c>
      <c r="V302" s="11">
        <v>0</v>
      </c>
      <c r="W302">
        <v>0</v>
      </c>
      <c r="X302">
        <v>0</v>
      </c>
      <c r="Y302">
        <v>0</v>
      </c>
      <c r="Z302" s="11">
        <f>SUM(Table1[[#This Row],[Chi Kept]],Table1[[#This Row],[Chi Released]])</f>
        <v>0</v>
      </c>
      <c r="AA302">
        <f>SUM(Table1[[#This Row],[Co Kept]],Table1[[#This Row],[Co Released ]])</f>
        <v>0</v>
      </c>
      <c r="AB302">
        <f>SUM(Table1[[#This Row],[Pink Kept]],Table1[[#This Row],[Pink Released]])</f>
        <v>0</v>
      </c>
      <c r="AC302">
        <f>SUM(Table1[[#This Row],[Chu Kept]],Table1[[#This Row],[Chu Released]])</f>
        <v>0</v>
      </c>
    </row>
    <row r="303" spans="1:29" x14ac:dyDescent="0.3">
      <c r="A303" s="7">
        <v>45926</v>
      </c>
      <c r="B303">
        <v>6</v>
      </c>
      <c r="C303" t="s">
        <v>236</v>
      </c>
      <c r="D303" t="s">
        <v>26</v>
      </c>
      <c r="E303">
        <v>12</v>
      </c>
      <c r="F303">
        <v>2</v>
      </c>
      <c r="G303">
        <v>5</v>
      </c>
      <c r="H303" t="s">
        <v>241</v>
      </c>
      <c r="I303">
        <v>1</v>
      </c>
      <c r="J303" s="10">
        <v>0.39583333333333331</v>
      </c>
      <c r="K303" s="10">
        <v>0.45069444444444445</v>
      </c>
      <c r="L303" s="10">
        <f t="shared" si="9"/>
        <v>5.4861111111111138E-2</v>
      </c>
      <c r="M303" s="12">
        <f t="shared" si="8"/>
        <v>1.3166666666666673</v>
      </c>
      <c r="N303" s="12">
        <f>Table1[[#This Row],[Trip Hours]]*Table1[[#This Row],['#Angler]]</f>
        <v>1.3166666666666673</v>
      </c>
      <c r="O303" t="s">
        <v>342</v>
      </c>
      <c r="R303" s="11">
        <v>0</v>
      </c>
      <c r="S303">
        <v>0</v>
      </c>
      <c r="T303">
        <v>0</v>
      </c>
      <c r="U303">
        <v>0</v>
      </c>
      <c r="V303" s="11">
        <v>0</v>
      </c>
      <c r="W303">
        <v>0</v>
      </c>
      <c r="X303">
        <v>0</v>
      </c>
      <c r="Y303">
        <v>0</v>
      </c>
      <c r="Z303" s="11">
        <f>SUM(Table1[[#This Row],[Chi Kept]],Table1[[#This Row],[Chi Released]])</f>
        <v>0</v>
      </c>
      <c r="AA303">
        <f>SUM(Table1[[#This Row],[Co Kept]],Table1[[#This Row],[Co Released ]])</f>
        <v>0</v>
      </c>
      <c r="AB303">
        <f>SUM(Table1[[#This Row],[Pink Kept]],Table1[[#This Row],[Pink Released]])</f>
        <v>0</v>
      </c>
      <c r="AC303">
        <f>SUM(Table1[[#This Row],[Chu Kept]],Table1[[#This Row],[Chu Released]])</f>
        <v>0</v>
      </c>
    </row>
    <row r="304" spans="1:29" x14ac:dyDescent="0.3">
      <c r="A304" s="7">
        <v>45926</v>
      </c>
      <c r="B304">
        <v>6</v>
      </c>
      <c r="C304" t="s">
        <v>236</v>
      </c>
      <c r="D304" t="s">
        <v>42</v>
      </c>
      <c r="E304">
        <v>13</v>
      </c>
      <c r="F304">
        <v>3</v>
      </c>
      <c r="G304">
        <v>5</v>
      </c>
      <c r="H304" t="s">
        <v>241</v>
      </c>
      <c r="I304">
        <v>1</v>
      </c>
      <c r="J304" s="10">
        <v>0.70486111111111116</v>
      </c>
      <c r="K304" s="10">
        <v>0.74652777777777779</v>
      </c>
      <c r="L304" s="10">
        <f t="shared" si="9"/>
        <v>4.166666666666663E-2</v>
      </c>
      <c r="M304" s="12">
        <f t="shared" si="8"/>
        <v>0.99999999999999911</v>
      </c>
      <c r="N304" s="12">
        <f>Table1[[#This Row],[Trip Hours]]*Table1[[#This Row],['#Angler]]</f>
        <v>0.99999999999999911</v>
      </c>
      <c r="O304" t="s">
        <v>342</v>
      </c>
      <c r="R304" s="11">
        <v>0</v>
      </c>
      <c r="S304">
        <v>0</v>
      </c>
      <c r="T304">
        <v>1</v>
      </c>
      <c r="U304">
        <v>0</v>
      </c>
      <c r="V304" s="11">
        <v>0</v>
      </c>
      <c r="W304">
        <v>0</v>
      </c>
      <c r="X304">
        <v>0</v>
      </c>
      <c r="Y304">
        <v>0</v>
      </c>
      <c r="Z304" s="11">
        <f>SUM(Table1[[#This Row],[Chi Kept]],Table1[[#This Row],[Chi Released]])</f>
        <v>0</v>
      </c>
      <c r="AA304">
        <f>SUM(Table1[[#This Row],[Co Kept]],Table1[[#This Row],[Co Released ]])</f>
        <v>0</v>
      </c>
      <c r="AB304">
        <f>SUM(Table1[[#This Row],[Pink Kept]],Table1[[#This Row],[Pink Released]])</f>
        <v>1</v>
      </c>
      <c r="AC304">
        <f>SUM(Table1[[#This Row],[Chu Kept]],Table1[[#This Row],[Chu Released]])</f>
        <v>0</v>
      </c>
    </row>
    <row r="305" spans="1:29" x14ac:dyDescent="0.3">
      <c r="A305" s="7">
        <v>45926</v>
      </c>
      <c r="B305">
        <v>6</v>
      </c>
      <c r="C305" t="s">
        <v>236</v>
      </c>
      <c r="D305" t="s">
        <v>42</v>
      </c>
      <c r="E305">
        <v>14</v>
      </c>
      <c r="F305">
        <v>3</v>
      </c>
      <c r="G305">
        <v>8</v>
      </c>
      <c r="H305" t="s">
        <v>241</v>
      </c>
      <c r="I305">
        <v>1</v>
      </c>
      <c r="J305" s="10">
        <v>0.64583333333333337</v>
      </c>
      <c r="K305" s="10">
        <v>0.77986111111111112</v>
      </c>
      <c r="L305" s="10">
        <f t="shared" si="9"/>
        <v>0.13402777777777775</v>
      </c>
      <c r="M305" s="12">
        <f t="shared" si="8"/>
        <v>3.2166666666666659</v>
      </c>
      <c r="N305" s="12">
        <f>Table1[[#This Row],[Trip Hours]]*Table1[[#This Row],['#Angler]]</f>
        <v>3.2166666666666659</v>
      </c>
      <c r="O305" t="s">
        <v>342</v>
      </c>
      <c r="Q305" t="s">
        <v>247</v>
      </c>
      <c r="R305" s="11">
        <v>0</v>
      </c>
      <c r="S305">
        <v>0</v>
      </c>
      <c r="T305">
        <v>0</v>
      </c>
      <c r="U305">
        <v>0</v>
      </c>
      <c r="V305" s="11">
        <v>0</v>
      </c>
      <c r="W305">
        <v>0</v>
      </c>
      <c r="X305">
        <v>0</v>
      </c>
      <c r="Y305">
        <v>0</v>
      </c>
      <c r="Z305" s="11">
        <f>SUM(Table1[[#This Row],[Chi Kept]],Table1[[#This Row],[Chi Released]])</f>
        <v>0</v>
      </c>
      <c r="AA305">
        <f>SUM(Table1[[#This Row],[Co Kept]],Table1[[#This Row],[Co Released ]])</f>
        <v>0</v>
      </c>
      <c r="AB305">
        <f>SUM(Table1[[#This Row],[Pink Kept]],Table1[[#This Row],[Pink Released]])</f>
        <v>0</v>
      </c>
      <c r="AC305">
        <f>SUM(Table1[[#This Row],[Chu Kept]],Table1[[#This Row],[Chu Released]])</f>
        <v>0</v>
      </c>
    </row>
    <row r="306" spans="1:29" x14ac:dyDescent="0.3">
      <c r="A306" s="7">
        <v>45926</v>
      </c>
      <c r="B306">
        <v>6</v>
      </c>
      <c r="C306" t="s">
        <v>236</v>
      </c>
      <c r="D306" t="s">
        <v>42</v>
      </c>
      <c r="E306">
        <v>15</v>
      </c>
      <c r="F306">
        <v>3</v>
      </c>
      <c r="G306">
        <v>8</v>
      </c>
      <c r="H306" t="s">
        <v>241</v>
      </c>
      <c r="I306">
        <v>1</v>
      </c>
      <c r="J306" s="10">
        <v>0.69791666666666663</v>
      </c>
      <c r="K306" s="10">
        <v>0.78055555555555556</v>
      </c>
      <c r="L306" s="10">
        <f t="shared" si="9"/>
        <v>8.2638888888888928E-2</v>
      </c>
      <c r="M306" s="12">
        <f t="shared" si="8"/>
        <v>1.9833333333333343</v>
      </c>
      <c r="N306" s="12">
        <f>Table1[[#This Row],[Trip Hours]]*Table1[[#This Row],['#Angler]]</f>
        <v>1.9833333333333343</v>
      </c>
      <c r="O306" t="s">
        <v>342</v>
      </c>
      <c r="P306" t="s">
        <v>245</v>
      </c>
      <c r="Q306" t="s">
        <v>343</v>
      </c>
      <c r="R306" s="11">
        <v>0</v>
      </c>
      <c r="S306">
        <v>0</v>
      </c>
      <c r="T306">
        <v>0</v>
      </c>
      <c r="U306">
        <v>0</v>
      </c>
      <c r="V306" s="11">
        <v>0</v>
      </c>
      <c r="W306">
        <v>0</v>
      </c>
      <c r="X306">
        <v>0</v>
      </c>
      <c r="Y306">
        <v>0</v>
      </c>
      <c r="Z306" s="11">
        <f>SUM(Table1[[#This Row],[Chi Kept]],Table1[[#This Row],[Chi Released]])</f>
        <v>0</v>
      </c>
      <c r="AA306">
        <f>SUM(Table1[[#This Row],[Co Kept]],Table1[[#This Row],[Co Released ]])</f>
        <v>0</v>
      </c>
      <c r="AB306">
        <f>SUM(Table1[[#This Row],[Pink Kept]],Table1[[#This Row],[Pink Released]])</f>
        <v>0</v>
      </c>
      <c r="AC306">
        <f>SUM(Table1[[#This Row],[Chu Kept]],Table1[[#This Row],[Chu Released]])</f>
        <v>0</v>
      </c>
    </row>
    <row r="307" spans="1:29" x14ac:dyDescent="0.3">
      <c r="A307" s="7">
        <v>45926</v>
      </c>
      <c r="B307">
        <v>6</v>
      </c>
      <c r="C307" t="s">
        <v>236</v>
      </c>
      <c r="D307" t="s">
        <v>42</v>
      </c>
      <c r="E307">
        <v>16</v>
      </c>
      <c r="F307">
        <v>3</v>
      </c>
      <c r="G307">
        <v>8</v>
      </c>
      <c r="H307" t="s">
        <v>241</v>
      </c>
      <c r="I307">
        <v>2</v>
      </c>
      <c r="J307" s="10">
        <v>0.5</v>
      </c>
      <c r="K307" s="10">
        <v>0.78472222222222221</v>
      </c>
      <c r="L307" s="10">
        <f t="shared" si="9"/>
        <v>0.28472222222222221</v>
      </c>
      <c r="M307" s="12">
        <f t="shared" si="8"/>
        <v>6.833333333333333</v>
      </c>
      <c r="N307" s="12">
        <f>Table1[[#This Row],[Trip Hours]]*Table1[[#This Row],['#Angler]]</f>
        <v>13.666666666666666</v>
      </c>
      <c r="O307" t="s">
        <v>342</v>
      </c>
      <c r="R307" s="11">
        <v>0</v>
      </c>
      <c r="S307">
        <v>0</v>
      </c>
      <c r="T307">
        <v>0</v>
      </c>
      <c r="U307">
        <v>0</v>
      </c>
      <c r="V307" s="11">
        <v>0</v>
      </c>
      <c r="W307">
        <v>0</v>
      </c>
      <c r="X307">
        <v>0</v>
      </c>
      <c r="Y307">
        <v>0</v>
      </c>
      <c r="Z307" s="11">
        <f>SUM(Table1[[#This Row],[Chi Kept]],Table1[[#This Row],[Chi Released]])</f>
        <v>0</v>
      </c>
      <c r="AA307">
        <f>SUM(Table1[[#This Row],[Co Kept]],Table1[[#This Row],[Co Released ]])</f>
        <v>0</v>
      </c>
      <c r="AB307">
        <f>SUM(Table1[[#This Row],[Pink Kept]],Table1[[#This Row],[Pink Released]])</f>
        <v>0</v>
      </c>
      <c r="AC307">
        <f>SUM(Table1[[#This Row],[Chu Kept]],Table1[[#This Row],[Chu Released]])</f>
        <v>0</v>
      </c>
    </row>
    <row r="308" spans="1:29" x14ac:dyDescent="0.3">
      <c r="A308" s="7">
        <v>45926</v>
      </c>
      <c r="B308">
        <v>6</v>
      </c>
      <c r="C308" t="s">
        <v>236</v>
      </c>
      <c r="D308" t="s">
        <v>42</v>
      </c>
      <c r="E308">
        <v>17</v>
      </c>
      <c r="F308">
        <v>3</v>
      </c>
      <c r="G308">
        <v>8</v>
      </c>
      <c r="H308" t="s">
        <v>241</v>
      </c>
      <c r="I308">
        <v>1</v>
      </c>
      <c r="J308" s="10">
        <v>0.75</v>
      </c>
      <c r="K308" s="10">
        <v>0.79166666666666663</v>
      </c>
      <c r="L308" s="10">
        <f t="shared" si="9"/>
        <v>4.166666666666663E-2</v>
      </c>
      <c r="M308" s="12">
        <f t="shared" si="8"/>
        <v>0.99999999999999911</v>
      </c>
      <c r="N308" s="12">
        <f>Table1[[#This Row],[Trip Hours]]*Table1[[#This Row],['#Angler]]</f>
        <v>0.99999999999999911</v>
      </c>
      <c r="O308" t="s">
        <v>342</v>
      </c>
      <c r="P308" t="s">
        <v>29</v>
      </c>
      <c r="Q308" t="s">
        <v>238</v>
      </c>
      <c r="R308" s="11">
        <v>0</v>
      </c>
      <c r="S308">
        <v>0</v>
      </c>
      <c r="T308">
        <v>1</v>
      </c>
      <c r="U308">
        <v>0</v>
      </c>
      <c r="V308" s="11">
        <v>0</v>
      </c>
      <c r="W308">
        <v>0</v>
      </c>
      <c r="X308">
        <v>0</v>
      </c>
      <c r="Y308">
        <v>0</v>
      </c>
      <c r="Z308" s="11">
        <f>SUM(Table1[[#This Row],[Chi Kept]],Table1[[#This Row],[Chi Released]])</f>
        <v>0</v>
      </c>
      <c r="AA308">
        <f>SUM(Table1[[#This Row],[Co Kept]],Table1[[#This Row],[Co Released ]])</f>
        <v>0</v>
      </c>
      <c r="AB308">
        <f>SUM(Table1[[#This Row],[Pink Kept]],Table1[[#This Row],[Pink Released]])</f>
        <v>1</v>
      </c>
      <c r="AC308">
        <f>SUM(Table1[[#This Row],[Chu Kept]],Table1[[#This Row],[Chu Released]])</f>
        <v>0</v>
      </c>
    </row>
    <row r="309" spans="1:29" x14ac:dyDescent="0.3">
      <c r="A309" s="7">
        <v>45926</v>
      </c>
      <c r="B309">
        <v>6</v>
      </c>
      <c r="C309" t="s">
        <v>236</v>
      </c>
      <c r="D309" t="s">
        <v>42</v>
      </c>
      <c r="E309">
        <v>18</v>
      </c>
      <c r="F309">
        <v>3</v>
      </c>
      <c r="G309">
        <v>8</v>
      </c>
      <c r="H309" t="s">
        <v>241</v>
      </c>
      <c r="I309">
        <v>1</v>
      </c>
      <c r="J309" s="10">
        <v>0.625</v>
      </c>
      <c r="K309" s="10">
        <v>0.79166666666666663</v>
      </c>
      <c r="L309" s="10">
        <f t="shared" si="9"/>
        <v>0.16666666666666663</v>
      </c>
      <c r="M309" s="12">
        <f t="shared" si="8"/>
        <v>3.9999999999999991</v>
      </c>
      <c r="N309" s="12">
        <f>Table1[[#This Row],[Trip Hours]]*Table1[[#This Row],['#Angler]]</f>
        <v>3.9999999999999991</v>
      </c>
      <c r="O309" t="s">
        <v>342</v>
      </c>
      <c r="Q309" t="s">
        <v>247</v>
      </c>
      <c r="R309" s="11">
        <v>0</v>
      </c>
      <c r="S309">
        <v>0</v>
      </c>
      <c r="T309">
        <v>1</v>
      </c>
      <c r="U309">
        <v>0</v>
      </c>
      <c r="V309" s="11">
        <v>0</v>
      </c>
      <c r="W309">
        <v>0</v>
      </c>
      <c r="X309">
        <v>0</v>
      </c>
      <c r="Y309">
        <v>0</v>
      </c>
      <c r="Z309" s="11">
        <f>SUM(Table1[[#This Row],[Chi Kept]],Table1[[#This Row],[Chi Released]])</f>
        <v>0</v>
      </c>
      <c r="AA309">
        <f>SUM(Table1[[#This Row],[Co Kept]],Table1[[#This Row],[Co Released ]])</f>
        <v>0</v>
      </c>
      <c r="AB309">
        <f>SUM(Table1[[#This Row],[Pink Kept]],Table1[[#This Row],[Pink Released]])</f>
        <v>1</v>
      </c>
      <c r="AC309">
        <f>SUM(Table1[[#This Row],[Chu Kept]],Table1[[#This Row],[Chu Released]])</f>
        <v>0</v>
      </c>
    </row>
    <row r="310" spans="1:29" x14ac:dyDescent="0.3">
      <c r="A310" s="7">
        <v>45927</v>
      </c>
      <c r="B310">
        <v>6</v>
      </c>
      <c r="C310" t="s">
        <v>250</v>
      </c>
      <c r="D310" t="s">
        <v>26</v>
      </c>
      <c r="E310">
        <v>1</v>
      </c>
      <c r="F310">
        <v>2</v>
      </c>
      <c r="G310">
        <v>1</v>
      </c>
      <c r="H310" t="s">
        <v>241</v>
      </c>
      <c r="I310">
        <v>1</v>
      </c>
      <c r="J310" s="10">
        <v>0.25</v>
      </c>
      <c r="K310" s="10">
        <v>0.34236111111111112</v>
      </c>
      <c r="L310" s="10">
        <f t="shared" si="9"/>
        <v>9.2361111111111116E-2</v>
      </c>
      <c r="M310" s="12">
        <f t="shared" si="8"/>
        <v>2.2166666666666668</v>
      </c>
      <c r="N310" s="12">
        <f>Table1[[#This Row],[Trip Hours]]*Table1[[#This Row],['#Angler]]</f>
        <v>2.2166666666666668</v>
      </c>
      <c r="O310" t="s">
        <v>342</v>
      </c>
      <c r="P310" t="s">
        <v>56</v>
      </c>
      <c r="Q310" t="s">
        <v>247</v>
      </c>
      <c r="R310" s="11">
        <v>0</v>
      </c>
      <c r="S310">
        <v>0</v>
      </c>
      <c r="T310">
        <v>0</v>
      </c>
      <c r="U310">
        <v>0</v>
      </c>
      <c r="V310" s="11">
        <v>0</v>
      </c>
      <c r="W310">
        <v>0</v>
      </c>
      <c r="X310">
        <v>0</v>
      </c>
      <c r="Y310">
        <v>0</v>
      </c>
      <c r="Z310" s="11">
        <f>SUM(Table1[[#This Row],[Chi Kept]],Table1[[#This Row],[Chi Released]])</f>
        <v>0</v>
      </c>
      <c r="AA310">
        <f>SUM(Table1[[#This Row],[Co Kept]],Table1[[#This Row],[Co Released ]])</f>
        <v>0</v>
      </c>
      <c r="AB310">
        <f>SUM(Table1[[#This Row],[Pink Kept]],Table1[[#This Row],[Pink Released]])</f>
        <v>0</v>
      </c>
      <c r="AC310">
        <f>SUM(Table1[[#This Row],[Chu Kept]],Table1[[#This Row],[Chu Released]])</f>
        <v>0</v>
      </c>
    </row>
    <row r="311" spans="1:29" x14ac:dyDescent="0.3">
      <c r="A311" s="7">
        <v>45927</v>
      </c>
      <c r="B311">
        <v>6</v>
      </c>
      <c r="C311" t="s">
        <v>250</v>
      </c>
      <c r="D311" t="s">
        <v>26</v>
      </c>
      <c r="E311">
        <v>2</v>
      </c>
      <c r="F311">
        <v>3</v>
      </c>
      <c r="G311">
        <v>8</v>
      </c>
      <c r="H311" t="s">
        <v>241</v>
      </c>
      <c r="I311">
        <v>2</v>
      </c>
      <c r="J311" s="10">
        <v>0.39583333333333331</v>
      </c>
      <c r="K311" s="10">
        <v>0.52500000000000002</v>
      </c>
      <c r="L311" s="10">
        <f t="shared" si="9"/>
        <v>0.12916666666666671</v>
      </c>
      <c r="M311" s="12">
        <f t="shared" si="8"/>
        <v>3.100000000000001</v>
      </c>
      <c r="N311" s="12">
        <f>Table1[[#This Row],[Trip Hours]]*Table1[[#This Row],['#Angler]]</f>
        <v>6.200000000000002</v>
      </c>
      <c r="O311" t="s">
        <v>342</v>
      </c>
      <c r="R311" s="11">
        <v>0</v>
      </c>
      <c r="S311">
        <v>0</v>
      </c>
      <c r="T311">
        <v>2</v>
      </c>
      <c r="U311">
        <v>0</v>
      </c>
      <c r="V311" s="11">
        <v>0</v>
      </c>
      <c r="W311">
        <v>0</v>
      </c>
      <c r="X311">
        <v>0</v>
      </c>
      <c r="Y311">
        <v>0</v>
      </c>
      <c r="Z311" s="11">
        <f>SUM(Table1[[#This Row],[Chi Kept]],Table1[[#This Row],[Chi Released]])</f>
        <v>0</v>
      </c>
      <c r="AA311">
        <f>SUM(Table1[[#This Row],[Co Kept]],Table1[[#This Row],[Co Released ]])</f>
        <v>0</v>
      </c>
      <c r="AB311">
        <f>SUM(Table1[[#This Row],[Pink Kept]],Table1[[#This Row],[Pink Released]])</f>
        <v>2</v>
      </c>
      <c r="AC311">
        <f>SUM(Table1[[#This Row],[Chu Kept]],Table1[[#This Row],[Chu Released]])</f>
        <v>0</v>
      </c>
    </row>
    <row r="312" spans="1:29" x14ac:dyDescent="0.3">
      <c r="A312" s="7">
        <v>45927</v>
      </c>
      <c r="B312">
        <v>6</v>
      </c>
      <c r="C312" t="s">
        <v>250</v>
      </c>
      <c r="D312" t="s">
        <v>26</v>
      </c>
      <c r="E312">
        <v>3</v>
      </c>
      <c r="F312">
        <v>3</v>
      </c>
      <c r="G312">
        <v>8</v>
      </c>
      <c r="H312" t="s">
        <v>241</v>
      </c>
      <c r="I312">
        <v>1</v>
      </c>
      <c r="J312" s="10">
        <v>0.33333333333333331</v>
      </c>
      <c r="K312" s="10">
        <v>0.52708333333333335</v>
      </c>
      <c r="L312" s="10">
        <f t="shared" si="9"/>
        <v>0.19375000000000003</v>
      </c>
      <c r="M312" s="12">
        <f t="shared" si="8"/>
        <v>4.6500000000000004</v>
      </c>
      <c r="N312" s="12">
        <f>Table1[[#This Row],[Trip Hours]]*Table1[[#This Row],['#Angler]]</f>
        <v>4.6500000000000004</v>
      </c>
      <c r="O312" t="s">
        <v>342</v>
      </c>
      <c r="Q312" t="s">
        <v>247</v>
      </c>
      <c r="R312" s="11">
        <v>0</v>
      </c>
      <c r="S312">
        <v>0</v>
      </c>
      <c r="T312">
        <v>0</v>
      </c>
      <c r="U312">
        <v>0</v>
      </c>
      <c r="V312" s="11">
        <v>0</v>
      </c>
      <c r="W312">
        <v>0</v>
      </c>
      <c r="X312">
        <v>2</v>
      </c>
      <c r="Y312">
        <v>0</v>
      </c>
      <c r="Z312" s="11">
        <f>SUM(Table1[[#This Row],[Chi Kept]],Table1[[#This Row],[Chi Released]])</f>
        <v>0</v>
      </c>
      <c r="AA312">
        <f>SUM(Table1[[#This Row],[Co Kept]],Table1[[#This Row],[Co Released ]])</f>
        <v>0</v>
      </c>
      <c r="AB312">
        <f>SUM(Table1[[#This Row],[Pink Kept]],Table1[[#This Row],[Pink Released]])</f>
        <v>2</v>
      </c>
      <c r="AC312">
        <f>SUM(Table1[[#This Row],[Chu Kept]],Table1[[#This Row],[Chu Released]])</f>
        <v>0</v>
      </c>
    </row>
    <row r="313" spans="1:29" x14ac:dyDescent="0.3">
      <c r="A313" s="7">
        <v>45927</v>
      </c>
      <c r="B313">
        <v>6</v>
      </c>
      <c r="C313" t="s">
        <v>250</v>
      </c>
      <c r="D313" t="s">
        <v>26</v>
      </c>
      <c r="E313">
        <v>4</v>
      </c>
      <c r="F313">
        <v>3</v>
      </c>
      <c r="G313">
        <v>8</v>
      </c>
      <c r="H313" t="s">
        <v>241</v>
      </c>
      <c r="I313">
        <v>3</v>
      </c>
      <c r="J313" s="10">
        <v>0.375</v>
      </c>
      <c r="K313" s="10">
        <v>0.52777777777777779</v>
      </c>
      <c r="L313" s="10">
        <f t="shared" si="9"/>
        <v>0.15277777777777779</v>
      </c>
      <c r="M313" s="12">
        <f t="shared" si="8"/>
        <v>3.666666666666667</v>
      </c>
      <c r="N313" s="12">
        <f>Table1[[#This Row],[Trip Hours]]*Table1[[#This Row],['#Angler]]</f>
        <v>11</v>
      </c>
      <c r="O313" t="s">
        <v>342</v>
      </c>
      <c r="Q313" t="s">
        <v>343</v>
      </c>
      <c r="R313" s="11">
        <v>0</v>
      </c>
      <c r="S313">
        <v>0</v>
      </c>
      <c r="T313">
        <v>0</v>
      </c>
      <c r="U313">
        <v>0</v>
      </c>
      <c r="V313" s="11">
        <v>0</v>
      </c>
      <c r="W313">
        <v>0</v>
      </c>
      <c r="X313">
        <v>0</v>
      </c>
      <c r="Y313">
        <v>0</v>
      </c>
      <c r="Z313" s="11">
        <f>SUM(Table1[[#This Row],[Chi Kept]],Table1[[#This Row],[Chi Released]])</f>
        <v>0</v>
      </c>
      <c r="AA313">
        <f>SUM(Table1[[#This Row],[Co Kept]],Table1[[#This Row],[Co Released ]])</f>
        <v>0</v>
      </c>
      <c r="AB313">
        <f>SUM(Table1[[#This Row],[Pink Kept]],Table1[[#This Row],[Pink Released]])</f>
        <v>0</v>
      </c>
      <c r="AC313">
        <f>SUM(Table1[[#This Row],[Chu Kept]],Table1[[#This Row],[Chu Released]])</f>
        <v>0</v>
      </c>
    </row>
    <row r="314" spans="1:29" x14ac:dyDescent="0.3">
      <c r="A314" s="7">
        <v>45927</v>
      </c>
      <c r="B314">
        <v>6</v>
      </c>
      <c r="C314" t="s">
        <v>250</v>
      </c>
      <c r="D314" t="s">
        <v>26</v>
      </c>
      <c r="E314">
        <v>5</v>
      </c>
      <c r="F314">
        <v>3</v>
      </c>
      <c r="G314">
        <v>8</v>
      </c>
      <c r="H314" t="s">
        <v>241</v>
      </c>
      <c r="I314">
        <v>1</v>
      </c>
      <c r="J314" s="10">
        <v>0.33333333333333331</v>
      </c>
      <c r="K314" s="10">
        <v>0.52847222222222223</v>
      </c>
      <c r="L314" s="10">
        <f t="shared" si="9"/>
        <v>0.19513888888888892</v>
      </c>
      <c r="M314" s="12">
        <f t="shared" si="8"/>
        <v>4.6833333333333336</v>
      </c>
      <c r="N314" s="12">
        <f>Table1[[#This Row],[Trip Hours]]*Table1[[#This Row],['#Angler]]</f>
        <v>4.6833333333333336</v>
      </c>
      <c r="O314" t="s">
        <v>342</v>
      </c>
      <c r="Q314" t="s">
        <v>241</v>
      </c>
      <c r="R314" s="11">
        <v>0</v>
      </c>
      <c r="S314">
        <v>0</v>
      </c>
      <c r="T314">
        <v>1</v>
      </c>
      <c r="U314">
        <v>0</v>
      </c>
      <c r="V314" s="11">
        <v>0</v>
      </c>
      <c r="W314">
        <v>0</v>
      </c>
      <c r="X314">
        <v>0</v>
      </c>
      <c r="Y314">
        <v>0</v>
      </c>
      <c r="Z314" s="11">
        <f>SUM(Table1[[#This Row],[Chi Kept]],Table1[[#This Row],[Chi Released]])</f>
        <v>0</v>
      </c>
      <c r="AA314">
        <f>SUM(Table1[[#This Row],[Co Kept]],Table1[[#This Row],[Co Released ]])</f>
        <v>0</v>
      </c>
      <c r="AB314">
        <f>SUM(Table1[[#This Row],[Pink Kept]],Table1[[#This Row],[Pink Released]])</f>
        <v>1</v>
      </c>
      <c r="AC314">
        <f>SUM(Table1[[#This Row],[Chu Kept]],Table1[[#This Row],[Chu Released]])</f>
        <v>0</v>
      </c>
    </row>
    <row r="315" spans="1:29" x14ac:dyDescent="0.3">
      <c r="A315" s="7">
        <v>45927</v>
      </c>
      <c r="B315">
        <v>6</v>
      </c>
      <c r="C315" t="s">
        <v>250</v>
      </c>
      <c r="D315" t="s">
        <v>42</v>
      </c>
      <c r="E315">
        <v>6</v>
      </c>
      <c r="F315">
        <v>1</v>
      </c>
      <c r="G315">
        <v>4</v>
      </c>
      <c r="H315" t="s">
        <v>241</v>
      </c>
      <c r="I315">
        <v>1</v>
      </c>
      <c r="J315" s="10">
        <v>0.58333333333333337</v>
      </c>
      <c r="K315" s="10">
        <v>0.70347222222222228</v>
      </c>
      <c r="L315" s="10">
        <f t="shared" si="9"/>
        <v>0.12013888888888891</v>
      </c>
      <c r="M315" s="12">
        <f t="shared" si="8"/>
        <v>2.8833333333333337</v>
      </c>
      <c r="N315" s="12">
        <f>Table1[[#This Row],[Trip Hours]]*Table1[[#This Row],['#Angler]]</f>
        <v>2.8833333333333337</v>
      </c>
      <c r="O315" t="s">
        <v>342</v>
      </c>
      <c r="Q315" t="s">
        <v>241</v>
      </c>
      <c r="R315" s="11">
        <v>0</v>
      </c>
      <c r="S315">
        <v>0</v>
      </c>
      <c r="T315">
        <v>0</v>
      </c>
      <c r="U315">
        <v>0</v>
      </c>
      <c r="V315" s="11">
        <v>0</v>
      </c>
      <c r="W315">
        <v>0</v>
      </c>
      <c r="X315">
        <v>0</v>
      </c>
      <c r="Y315">
        <v>0</v>
      </c>
      <c r="Z315" s="11">
        <f>SUM(Table1[[#This Row],[Chi Kept]],Table1[[#This Row],[Chi Released]])</f>
        <v>0</v>
      </c>
      <c r="AA315">
        <f>SUM(Table1[[#This Row],[Co Kept]],Table1[[#This Row],[Co Released ]])</f>
        <v>0</v>
      </c>
      <c r="AB315">
        <f>SUM(Table1[[#This Row],[Pink Kept]],Table1[[#This Row],[Pink Released]])</f>
        <v>0</v>
      </c>
      <c r="AC315">
        <f>SUM(Table1[[#This Row],[Chu Kept]],Table1[[#This Row],[Chu Released]])</f>
        <v>0</v>
      </c>
    </row>
    <row r="316" spans="1:29" x14ac:dyDescent="0.3">
      <c r="A316" s="7">
        <v>45927</v>
      </c>
      <c r="B316">
        <v>6</v>
      </c>
      <c r="C316" t="s">
        <v>250</v>
      </c>
      <c r="D316" t="s">
        <v>42</v>
      </c>
      <c r="E316">
        <v>7</v>
      </c>
      <c r="F316">
        <v>2</v>
      </c>
      <c r="G316">
        <v>4</v>
      </c>
      <c r="H316" t="s">
        <v>241</v>
      </c>
      <c r="I316">
        <v>1</v>
      </c>
      <c r="J316" s="10">
        <v>0.5</v>
      </c>
      <c r="K316" s="10">
        <v>0.5625</v>
      </c>
      <c r="L316" s="10">
        <f t="shared" si="9"/>
        <v>6.25E-2</v>
      </c>
      <c r="M316" s="12">
        <f t="shared" si="8"/>
        <v>1.5</v>
      </c>
      <c r="N316" s="12">
        <f>Table1[[#This Row],[Trip Hours]]*Table1[[#This Row],['#Angler]]</f>
        <v>1.5</v>
      </c>
      <c r="O316" t="s">
        <v>342</v>
      </c>
      <c r="Q316" t="s">
        <v>241</v>
      </c>
      <c r="R316" s="11">
        <v>0</v>
      </c>
      <c r="S316">
        <v>0</v>
      </c>
      <c r="T316">
        <v>0</v>
      </c>
      <c r="U316">
        <v>0</v>
      </c>
      <c r="V316" s="11">
        <v>0</v>
      </c>
      <c r="W316">
        <v>0</v>
      </c>
      <c r="X316">
        <v>0</v>
      </c>
      <c r="Y316">
        <v>0</v>
      </c>
      <c r="Z316" s="11">
        <f>SUM(Table1[[#This Row],[Chi Kept]],Table1[[#This Row],[Chi Released]])</f>
        <v>0</v>
      </c>
      <c r="AA316">
        <f>SUM(Table1[[#This Row],[Co Kept]],Table1[[#This Row],[Co Released ]])</f>
        <v>0</v>
      </c>
      <c r="AB316">
        <f>SUM(Table1[[#This Row],[Pink Kept]],Table1[[#This Row],[Pink Released]])</f>
        <v>0</v>
      </c>
      <c r="AC316">
        <f>SUM(Table1[[#This Row],[Chu Kept]],Table1[[#This Row],[Chu Released]])</f>
        <v>0</v>
      </c>
    </row>
    <row r="317" spans="1:29" x14ac:dyDescent="0.3">
      <c r="A317" s="7">
        <v>45927</v>
      </c>
      <c r="B317">
        <v>6</v>
      </c>
      <c r="C317" t="s">
        <v>250</v>
      </c>
      <c r="D317" t="s">
        <v>42</v>
      </c>
      <c r="E317">
        <v>8</v>
      </c>
      <c r="F317">
        <v>1</v>
      </c>
      <c r="G317">
        <v>4</v>
      </c>
      <c r="H317" t="s">
        <v>241</v>
      </c>
      <c r="I317">
        <v>3</v>
      </c>
      <c r="J317" s="10">
        <v>0.58333333333333337</v>
      </c>
      <c r="K317" s="10">
        <v>0.70625000000000004</v>
      </c>
      <c r="L317" s="10">
        <f t="shared" si="9"/>
        <v>0.12291666666666667</v>
      </c>
      <c r="M317" s="12">
        <f t="shared" si="8"/>
        <v>2.95</v>
      </c>
      <c r="N317" s="12">
        <f>Table1[[#This Row],[Trip Hours]]*Table1[[#This Row],['#Angler]]</f>
        <v>8.8500000000000014</v>
      </c>
      <c r="O317" t="s">
        <v>342</v>
      </c>
      <c r="Q317" t="s">
        <v>241</v>
      </c>
      <c r="R317" s="11">
        <v>0</v>
      </c>
      <c r="S317">
        <v>0</v>
      </c>
      <c r="T317">
        <v>0</v>
      </c>
      <c r="U317">
        <v>0</v>
      </c>
      <c r="V317" s="11">
        <v>0</v>
      </c>
      <c r="W317">
        <v>0</v>
      </c>
      <c r="X317">
        <v>0</v>
      </c>
      <c r="Y317">
        <v>0</v>
      </c>
      <c r="Z317" s="11">
        <f>SUM(Table1[[#This Row],[Chi Kept]],Table1[[#This Row],[Chi Released]])</f>
        <v>0</v>
      </c>
      <c r="AA317">
        <f>SUM(Table1[[#This Row],[Co Kept]],Table1[[#This Row],[Co Released ]])</f>
        <v>0</v>
      </c>
      <c r="AB317">
        <f>SUM(Table1[[#This Row],[Pink Kept]],Table1[[#This Row],[Pink Released]])</f>
        <v>0</v>
      </c>
      <c r="AC317">
        <f>SUM(Table1[[#This Row],[Chu Kept]],Table1[[#This Row],[Chu Released]])</f>
        <v>0</v>
      </c>
    </row>
    <row r="318" spans="1:29" x14ac:dyDescent="0.3">
      <c r="A318" s="7">
        <v>45927</v>
      </c>
      <c r="B318">
        <v>6</v>
      </c>
      <c r="C318" t="s">
        <v>250</v>
      </c>
      <c r="D318" t="s">
        <v>42</v>
      </c>
      <c r="E318">
        <v>9</v>
      </c>
      <c r="F318">
        <v>1</v>
      </c>
      <c r="G318">
        <v>4</v>
      </c>
      <c r="H318" t="s">
        <v>241</v>
      </c>
      <c r="I318">
        <v>2</v>
      </c>
      <c r="J318" s="10">
        <v>0.66666666666666663</v>
      </c>
      <c r="K318" s="10">
        <v>0.72847222222222219</v>
      </c>
      <c r="L318" s="10">
        <f t="shared" si="9"/>
        <v>6.1805555555555558E-2</v>
      </c>
      <c r="M318" s="12">
        <f t="shared" si="8"/>
        <v>1.4833333333333334</v>
      </c>
      <c r="N318" s="12">
        <f>Table1[[#This Row],[Trip Hours]]*Table1[[#This Row],['#Angler]]</f>
        <v>2.9666666666666668</v>
      </c>
      <c r="O318" t="s">
        <v>342</v>
      </c>
      <c r="Q318" t="s">
        <v>241</v>
      </c>
      <c r="R318" s="11">
        <v>0</v>
      </c>
      <c r="S318">
        <v>0</v>
      </c>
      <c r="T318">
        <v>0</v>
      </c>
      <c r="U318">
        <v>0</v>
      </c>
      <c r="V318" s="11">
        <v>0</v>
      </c>
      <c r="W318">
        <v>0</v>
      </c>
      <c r="X318">
        <v>0</v>
      </c>
      <c r="Y318">
        <v>0</v>
      </c>
      <c r="Z318" s="11">
        <f>SUM(Table1[[#This Row],[Chi Kept]],Table1[[#This Row],[Chi Released]])</f>
        <v>0</v>
      </c>
      <c r="AA318">
        <f>SUM(Table1[[#This Row],[Co Kept]],Table1[[#This Row],[Co Released ]])</f>
        <v>0</v>
      </c>
      <c r="AB318">
        <f>SUM(Table1[[#This Row],[Pink Kept]],Table1[[#This Row],[Pink Released]])</f>
        <v>0</v>
      </c>
      <c r="AC318">
        <f>SUM(Table1[[#This Row],[Chu Kept]],Table1[[#This Row],[Chu Released]])</f>
        <v>0</v>
      </c>
    </row>
    <row r="319" spans="1:29" x14ac:dyDescent="0.3">
      <c r="A319" s="7">
        <v>45927</v>
      </c>
      <c r="B319">
        <v>6</v>
      </c>
      <c r="C319" t="s">
        <v>250</v>
      </c>
      <c r="D319" t="s">
        <v>42</v>
      </c>
      <c r="E319">
        <v>10</v>
      </c>
      <c r="F319">
        <v>1</v>
      </c>
      <c r="G319">
        <v>4</v>
      </c>
      <c r="H319" t="s">
        <v>241</v>
      </c>
      <c r="I319">
        <v>1</v>
      </c>
      <c r="J319" s="10">
        <v>0.70833333333333337</v>
      </c>
      <c r="K319" s="10">
        <v>0.74930555555555556</v>
      </c>
      <c r="L319" s="10">
        <f t="shared" si="9"/>
        <v>4.0972222222222188E-2</v>
      </c>
      <c r="M319" s="12">
        <f t="shared" si="8"/>
        <v>0.9833333333333325</v>
      </c>
      <c r="N319" s="12">
        <f>Table1[[#This Row],[Trip Hours]]*Table1[[#This Row],['#Angler]]</f>
        <v>0.9833333333333325</v>
      </c>
      <c r="O319" t="s">
        <v>342</v>
      </c>
      <c r="Q319" t="s">
        <v>247</v>
      </c>
      <c r="R319" s="11">
        <v>0</v>
      </c>
      <c r="S319">
        <v>0</v>
      </c>
      <c r="T319">
        <v>0</v>
      </c>
      <c r="U319">
        <v>0</v>
      </c>
      <c r="V319" s="11">
        <v>0</v>
      </c>
      <c r="W319">
        <v>0</v>
      </c>
      <c r="X319">
        <v>0</v>
      </c>
      <c r="Y319">
        <v>0</v>
      </c>
      <c r="Z319" s="11">
        <f>SUM(Table1[[#This Row],[Chi Kept]],Table1[[#This Row],[Chi Released]])</f>
        <v>0</v>
      </c>
      <c r="AA319">
        <f>SUM(Table1[[#This Row],[Co Kept]],Table1[[#This Row],[Co Released ]])</f>
        <v>0</v>
      </c>
      <c r="AB319">
        <f>SUM(Table1[[#This Row],[Pink Kept]],Table1[[#This Row],[Pink Released]])</f>
        <v>0</v>
      </c>
      <c r="AC319">
        <f>SUM(Table1[[#This Row],[Chu Kept]],Table1[[#This Row],[Chu Released]])</f>
        <v>0</v>
      </c>
    </row>
    <row r="320" spans="1:29" x14ac:dyDescent="0.3">
      <c r="A320" s="7">
        <v>45927</v>
      </c>
      <c r="B320">
        <v>6</v>
      </c>
      <c r="C320" t="s">
        <v>250</v>
      </c>
      <c r="D320" t="s">
        <v>42</v>
      </c>
      <c r="E320">
        <v>11</v>
      </c>
      <c r="F320">
        <v>1</v>
      </c>
      <c r="G320">
        <v>4</v>
      </c>
      <c r="H320" t="s">
        <v>241</v>
      </c>
      <c r="I320">
        <v>2</v>
      </c>
      <c r="J320" s="10">
        <v>0.66666666666666663</v>
      </c>
      <c r="K320" s="10">
        <v>0.7631944444444444</v>
      </c>
      <c r="L320" s="10">
        <f t="shared" si="9"/>
        <v>9.6527777777777768E-2</v>
      </c>
      <c r="M320" s="12">
        <f t="shared" si="8"/>
        <v>2.3166666666666664</v>
      </c>
      <c r="N320" s="12">
        <f>Table1[[#This Row],[Trip Hours]]*Table1[[#This Row],['#Angler]]</f>
        <v>4.6333333333333329</v>
      </c>
      <c r="O320" t="s">
        <v>342</v>
      </c>
      <c r="Q320" t="s">
        <v>238</v>
      </c>
      <c r="R320" s="11">
        <v>0</v>
      </c>
      <c r="S320">
        <v>0</v>
      </c>
      <c r="T320">
        <v>0</v>
      </c>
      <c r="U320">
        <v>0</v>
      </c>
      <c r="V320" s="11">
        <v>0</v>
      </c>
      <c r="W320">
        <v>0</v>
      </c>
      <c r="X320">
        <v>0</v>
      </c>
      <c r="Y320">
        <v>0</v>
      </c>
      <c r="Z320" s="11">
        <f>SUM(Table1[[#This Row],[Chi Kept]],Table1[[#This Row],[Chi Released]])</f>
        <v>0</v>
      </c>
      <c r="AA320">
        <f>SUM(Table1[[#This Row],[Co Kept]],Table1[[#This Row],[Co Released ]])</f>
        <v>0</v>
      </c>
      <c r="AB320">
        <f>SUM(Table1[[#This Row],[Pink Kept]],Table1[[#This Row],[Pink Released]])</f>
        <v>0</v>
      </c>
      <c r="AC320">
        <f>SUM(Table1[[#This Row],[Chu Kept]],Table1[[#This Row],[Chu Released]])</f>
        <v>0</v>
      </c>
    </row>
    <row r="321" spans="1:29" x14ac:dyDescent="0.3">
      <c r="A321" s="7">
        <v>45927</v>
      </c>
      <c r="B321">
        <v>6</v>
      </c>
      <c r="C321" t="s">
        <v>250</v>
      </c>
      <c r="D321" t="s">
        <v>42</v>
      </c>
      <c r="E321">
        <v>12</v>
      </c>
      <c r="F321">
        <v>1</v>
      </c>
      <c r="G321">
        <v>4</v>
      </c>
      <c r="H321" t="s">
        <v>241</v>
      </c>
      <c r="I321">
        <v>2</v>
      </c>
      <c r="J321" s="10">
        <v>0.66666666666666663</v>
      </c>
      <c r="K321" s="10">
        <v>0.78333333333333333</v>
      </c>
      <c r="L321" s="10">
        <f t="shared" si="9"/>
        <v>0.1166666666666667</v>
      </c>
      <c r="M321" s="12">
        <f t="shared" si="8"/>
        <v>2.8000000000000007</v>
      </c>
      <c r="N321" s="12">
        <f>Table1[[#This Row],[Trip Hours]]*Table1[[#This Row],['#Angler]]</f>
        <v>5.6000000000000014</v>
      </c>
      <c r="O321" t="s">
        <v>342</v>
      </c>
      <c r="R321" s="11">
        <v>0</v>
      </c>
      <c r="S321">
        <v>0</v>
      </c>
      <c r="T321">
        <v>0</v>
      </c>
      <c r="U321">
        <v>0</v>
      </c>
      <c r="V321" s="11">
        <v>0</v>
      </c>
      <c r="W321">
        <v>0</v>
      </c>
      <c r="X321">
        <v>0</v>
      </c>
      <c r="Y321">
        <v>0</v>
      </c>
      <c r="Z321" s="11">
        <f>SUM(Table1[[#This Row],[Chi Kept]],Table1[[#This Row],[Chi Released]])</f>
        <v>0</v>
      </c>
      <c r="AA321">
        <f>SUM(Table1[[#This Row],[Co Kept]],Table1[[#This Row],[Co Released ]])</f>
        <v>0</v>
      </c>
      <c r="AB321">
        <f>SUM(Table1[[#This Row],[Pink Kept]],Table1[[#This Row],[Pink Released]])</f>
        <v>0</v>
      </c>
      <c r="AC321">
        <f>SUM(Table1[[#This Row],[Chu Kept]],Table1[[#This Row],[Chu Released]])</f>
        <v>0</v>
      </c>
    </row>
    <row r="322" spans="1:29" x14ac:dyDescent="0.3">
      <c r="A322" s="7">
        <v>45931</v>
      </c>
      <c r="B322">
        <v>7</v>
      </c>
      <c r="C322" t="s">
        <v>236</v>
      </c>
      <c r="D322" t="s">
        <v>26</v>
      </c>
      <c r="E322">
        <v>1</v>
      </c>
      <c r="F322">
        <v>2</v>
      </c>
      <c r="G322">
        <v>6</v>
      </c>
      <c r="H322" t="s">
        <v>241</v>
      </c>
      <c r="I322">
        <v>1</v>
      </c>
      <c r="J322" s="10">
        <v>0.39583333333333331</v>
      </c>
      <c r="K322" s="10">
        <v>0.49722222222222223</v>
      </c>
      <c r="L322" s="10">
        <f t="shared" si="9"/>
        <v>0.10138888888888892</v>
      </c>
      <c r="M322" s="12">
        <f t="shared" ref="M322:M385" si="10">L322*24</f>
        <v>2.433333333333334</v>
      </c>
      <c r="N322" s="12">
        <f>Table1[[#This Row],[Trip Hours]]*Table1[[#This Row],['#Angler]]</f>
        <v>2.433333333333334</v>
      </c>
      <c r="O322" t="s">
        <v>342</v>
      </c>
      <c r="Q322" t="s">
        <v>247</v>
      </c>
      <c r="R322" s="11">
        <v>0</v>
      </c>
      <c r="S322">
        <v>0</v>
      </c>
      <c r="T322">
        <v>0</v>
      </c>
      <c r="U322">
        <v>0</v>
      </c>
      <c r="V322" s="11">
        <v>0</v>
      </c>
      <c r="W322">
        <v>0</v>
      </c>
      <c r="X322">
        <v>0</v>
      </c>
      <c r="Y322">
        <v>0</v>
      </c>
      <c r="Z322" s="11">
        <f>SUM(Table1[[#This Row],[Chi Kept]],Table1[[#This Row],[Chi Released]])</f>
        <v>0</v>
      </c>
      <c r="AA322">
        <f>SUM(Table1[[#This Row],[Co Kept]],Table1[[#This Row],[Co Released ]])</f>
        <v>0</v>
      </c>
      <c r="AB322">
        <f>SUM(Table1[[#This Row],[Pink Kept]],Table1[[#This Row],[Pink Released]])</f>
        <v>0</v>
      </c>
      <c r="AC322">
        <f>SUM(Table1[[#This Row],[Chu Kept]],Table1[[#This Row],[Chu Released]])</f>
        <v>0</v>
      </c>
    </row>
    <row r="323" spans="1:29" x14ac:dyDescent="0.3">
      <c r="A323" s="7">
        <v>45931</v>
      </c>
      <c r="B323">
        <v>7</v>
      </c>
      <c r="C323" t="s">
        <v>236</v>
      </c>
      <c r="D323" t="s">
        <v>26</v>
      </c>
      <c r="E323">
        <v>2</v>
      </c>
      <c r="F323">
        <v>3</v>
      </c>
      <c r="G323">
        <v>8</v>
      </c>
      <c r="H323" t="s">
        <v>241</v>
      </c>
      <c r="I323">
        <v>1</v>
      </c>
      <c r="J323" s="10">
        <v>0.33333333333333331</v>
      </c>
      <c r="K323" s="10">
        <v>0.52361111111111114</v>
      </c>
      <c r="L323" s="10">
        <f t="shared" ref="L323:L386" si="11">K323-J323</f>
        <v>0.19027777777777782</v>
      </c>
      <c r="M323" s="12">
        <f t="shared" si="10"/>
        <v>4.5666666666666682</v>
      </c>
      <c r="N323" s="12">
        <f>Table1[[#This Row],[Trip Hours]]*Table1[[#This Row],['#Angler]]</f>
        <v>4.5666666666666682</v>
      </c>
      <c r="O323" t="s">
        <v>342</v>
      </c>
      <c r="P323" t="s">
        <v>347</v>
      </c>
      <c r="Q323" t="s">
        <v>345</v>
      </c>
      <c r="R323" s="11">
        <v>0</v>
      </c>
      <c r="S323">
        <v>0</v>
      </c>
      <c r="T323">
        <v>6</v>
      </c>
      <c r="U323">
        <v>0</v>
      </c>
      <c r="V323" s="11">
        <v>0</v>
      </c>
      <c r="W323">
        <v>0</v>
      </c>
      <c r="X323">
        <v>1</v>
      </c>
      <c r="Y323">
        <v>0</v>
      </c>
      <c r="Z323" s="11">
        <f>SUM(Table1[[#This Row],[Chi Kept]],Table1[[#This Row],[Chi Released]])</f>
        <v>0</v>
      </c>
      <c r="AA323">
        <f>SUM(Table1[[#This Row],[Co Kept]],Table1[[#This Row],[Co Released ]])</f>
        <v>0</v>
      </c>
      <c r="AB323">
        <f>SUM(Table1[[#This Row],[Pink Kept]],Table1[[#This Row],[Pink Released]])</f>
        <v>7</v>
      </c>
      <c r="AC323">
        <f>SUM(Table1[[#This Row],[Chu Kept]],Table1[[#This Row],[Chu Released]])</f>
        <v>0</v>
      </c>
    </row>
    <row r="324" spans="1:29" x14ac:dyDescent="0.3">
      <c r="A324" s="7">
        <v>45931</v>
      </c>
      <c r="B324">
        <v>7</v>
      </c>
      <c r="C324" t="s">
        <v>236</v>
      </c>
      <c r="D324" t="s">
        <v>26</v>
      </c>
      <c r="E324">
        <v>3</v>
      </c>
      <c r="F324">
        <v>3</v>
      </c>
      <c r="G324">
        <v>8</v>
      </c>
      <c r="H324" t="s">
        <v>241</v>
      </c>
      <c r="I324">
        <v>1</v>
      </c>
      <c r="J324" s="10">
        <v>0.45833333333333331</v>
      </c>
      <c r="K324" s="10">
        <v>0.52430555555555558</v>
      </c>
      <c r="L324" s="10">
        <f t="shared" si="11"/>
        <v>6.5972222222222265E-2</v>
      </c>
      <c r="M324" s="12">
        <f t="shared" si="10"/>
        <v>1.5833333333333344</v>
      </c>
      <c r="N324" s="12">
        <f>Table1[[#This Row],[Trip Hours]]*Table1[[#This Row],['#Angler]]</f>
        <v>1.5833333333333344</v>
      </c>
      <c r="O324" t="s">
        <v>342</v>
      </c>
      <c r="Q324" t="s">
        <v>343</v>
      </c>
      <c r="R324" s="11">
        <v>0</v>
      </c>
      <c r="S324">
        <v>0</v>
      </c>
      <c r="T324">
        <v>6</v>
      </c>
      <c r="U324">
        <v>0</v>
      </c>
      <c r="V324" s="11">
        <v>0</v>
      </c>
      <c r="W324">
        <v>0</v>
      </c>
      <c r="X324">
        <v>4</v>
      </c>
      <c r="Y324">
        <v>0</v>
      </c>
      <c r="Z324" s="11">
        <f>SUM(Table1[[#This Row],[Chi Kept]],Table1[[#This Row],[Chi Released]])</f>
        <v>0</v>
      </c>
      <c r="AA324">
        <f>SUM(Table1[[#This Row],[Co Kept]],Table1[[#This Row],[Co Released ]])</f>
        <v>0</v>
      </c>
      <c r="AB324">
        <f>SUM(Table1[[#This Row],[Pink Kept]],Table1[[#This Row],[Pink Released]])</f>
        <v>10</v>
      </c>
      <c r="AC324">
        <f>SUM(Table1[[#This Row],[Chu Kept]],Table1[[#This Row],[Chu Released]])</f>
        <v>0</v>
      </c>
    </row>
    <row r="325" spans="1:29" x14ac:dyDescent="0.3">
      <c r="A325" s="7">
        <v>45931</v>
      </c>
      <c r="B325">
        <v>7</v>
      </c>
      <c r="C325" t="s">
        <v>236</v>
      </c>
      <c r="D325" t="s">
        <v>26</v>
      </c>
      <c r="E325">
        <v>4</v>
      </c>
      <c r="F325">
        <v>3</v>
      </c>
      <c r="G325">
        <v>8</v>
      </c>
      <c r="H325" t="s">
        <v>241</v>
      </c>
      <c r="I325">
        <v>2</v>
      </c>
      <c r="J325" s="10">
        <v>0.29166666666666669</v>
      </c>
      <c r="K325" s="10">
        <v>0.52569444444444446</v>
      </c>
      <c r="L325" s="10">
        <f t="shared" si="11"/>
        <v>0.23402777777777778</v>
      </c>
      <c r="M325" s="12">
        <f t="shared" si="10"/>
        <v>5.6166666666666671</v>
      </c>
      <c r="N325" s="12">
        <f>Table1[[#This Row],[Trip Hours]]*Table1[[#This Row],['#Angler]]</f>
        <v>11.233333333333334</v>
      </c>
      <c r="O325" t="s">
        <v>342</v>
      </c>
      <c r="Q325" t="s">
        <v>238</v>
      </c>
      <c r="R325" s="11">
        <v>0</v>
      </c>
      <c r="S325">
        <v>1</v>
      </c>
      <c r="T325">
        <v>6</v>
      </c>
      <c r="U325">
        <v>0</v>
      </c>
      <c r="V325" s="11">
        <v>1</v>
      </c>
      <c r="W325">
        <v>0</v>
      </c>
      <c r="X325">
        <v>0</v>
      </c>
      <c r="Y325">
        <v>0</v>
      </c>
      <c r="Z325" s="11">
        <f>SUM(Table1[[#This Row],[Chi Kept]],Table1[[#This Row],[Chi Released]])</f>
        <v>1</v>
      </c>
      <c r="AA325">
        <f>SUM(Table1[[#This Row],[Co Kept]],Table1[[#This Row],[Co Released ]])</f>
        <v>1</v>
      </c>
      <c r="AB325">
        <f>SUM(Table1[[#This Row],[Pink Kept]],Table1[[#This Row],[Pink Released]])</f>
        <v>6</v>
      </c>
      <c r="AC325">
        <f>SUM(Table1[[#This Row],[Chu Kept]],Table1[[#This Row],[Chu Released]])</f>
        <v>0</v>
      </c>
    </row>
    <row r="326" spans="1:29" x14ac:dyDescent="0.3">
      <c r="A326" s="7">
        <v>45931</v>
      </c>
      <c r="B326">
        <v>7</v>
      </c>
      <c r="C326" t="s">
        <v>236</v>
      </c>
      <c r="D326" t="s">
        <v>26</v>
      </c>
      <c r="E326">
        <v>5</v>
      </c>
      <c r="F326">
        <v>3</v>
      </c>
      <c r="G326">
        <v>8</v>
      </c>
      <c r="H326" t="s">
        <v>241</v>
      </c>
      <c r="I326">
        <v>1</v>
      </c>
      <c r="J326" s="10">
        <v>0.41666666666666669</v>
      </c>
      <c r="K326" s="10">
        <v>0.52569444444444446</v>
      </c>
      <c r="L326" s="10">
        <f t="shared" si="11"/>
        <v>0.10902777777777778</v>
      </c>
      <c r="M326" s="12">
        <f t="shared" si="10"/>
        <v>2.6166666666666667</v>
      </c>
      <c r="N326" s="12">
        <f>Table1[[#This Row],[Trip Hours]]*Table1[[#This Row],['#Angler]]</f>
        <v>2.6166666666666667</v>
      </c>
      <c r="O326" t="s">
        <v>342</v>
      </c>
      <c r="Q326" t="s">
        <v>247</v>
      </c>
      <c r="R326" s="11">
        <v>0</v>
      </c>
      <c r="S326">
        <v>0</v>
      </c>
      <c r="T326">
        <v>0</v>
      </c>
      <c r="U326">
        <v>0</v>
      </c>
      <c r="V326" s="11">
        <v>0</v>
      </c>
      <c r="W326">
        <v>0</v>
      </c>
      <c r="X326">
        <v>2</v>
      </c>
      <c r="Y326">
        <v>0</v>
      </c>
      <c r="Z326" s="11">
        <f>SUM(Table1[[#This Row],[Chi Kept]],Table1[[#This Row],[Chi Released]])</f>
        <v>0</v>
      </c>
      <c r="AA326">
        <f>SUM(Table1[[#This Row],[Co Kept]],Table1[[#This Row],[Co Released ]])</f>
        <v>0</v>
      </c>
      <c r="AB326">
        <f>SUM(Table1[[#This Row],[Pink Kept]],Table1[[#This Row],[Pink Released]])</f>
        <v>2</v>
      </c>
      <c r="AC326">
        <f>SUM(Table1[[#This Row],[Chu Kept]],Table1[[#This Row],[Chu Released]])</f>
        <v>0</v>
      </c>
    </row>
    <row r="327" spans="1:29" x14ac:dyDescent="0.3">
      <c r="A327" s="7">
        <v>45933</v>
      </c>
      <c r="B327">
        <v>7</v>
      </c>
      <c r="C327" t="s">
        <v>236</v>
      </c>
      <c r="D327" t="s">
        <v>26</v>
      </c>
      <c r="E327">
        <v>1</v>
      </c>
      <c r="F327">
        <v>2</v>
      </c>
      <c r="G327">
        <v>1</v>
      </c>
      <c r="H327" t="s">
        <v>241</v>
      </c>
      <c r="I327">
        <v>1</v>
      </c>
      <c r="J327" s="10">
        <v>0.3125</v>
      </c>
      <c r="K327" s="10">
        <v>0.32569444444444445</v>
      </c>
      <c r="L327" s="10">
        <f t="shared" si="11"/>
        <v>1.3194444444444453E-2</v>
      </c>
      <c r="M327" s="12">
        <f t="shared" si="10"/>
        <v>0.31666666666666687</v>
      </c>
      <c r="N327" s="12">
        <f>Table1[[#This Row],[Trip Hours]]*Table1[[#This Row],['#Angler]]</f>
        <v>0.31666666666666687</v>
      </c>
      <c r="O327" t="s">
        <v>349</v>
      </c>
      <c r="P327" t="s">
        <v>56</v>
      </c>
      <c r="Q327" t="s">
        <v>241</v>
      </c>
      <c r="R327" s="11">
        <v>0</v>
      </c>
      <c r="S327">
        <v>0</v>
      </c>
      <c r="T327">
        <v>0</v>
      </c>
      <c r="U327">
        <v>0</v>
      </c>
      <c r="V327" s="11">
        <v>0</v>
      </c>
      <c r="W327">
        <v>0</v>
      </c>
      <c r="X327">
        <v>0</v>
      </c>
      <c r="Y327">
        <v>0</v>
      </c>
      <c r="Z327" s="11">
        <f>SUM(Table1[[#This Row],[Chi Kept]],Table1[[#This Row],[Chi Released]])</f>
        <v>0</v>
      </c>
      <c r="AA327">
        <f>SUM(Table1[[#This Row],[Co Kept]],Table1[[#This Row],[Co Released ]])</f>
        <v>0</v>
      </c>
      <c r="AB327">
        <f>SUM(Table1[[#This Row],[Pink Kept]],Table1[[#This Row],[Pink Released]])</f>
        <v>0</v>
      </c>
      <c r="AC327">
        <f>SUM(Table1[[#This Row],[Chu Kept]],Table1[[#This Row],[Chu Released]])</f>
        <v>0</v>
      </c>
    </row>
    <row r="328" spans="1:29" x14ac:dyDescent="0.3">
      <c r="A328" s="7">
        <v>45933</v>
      </c>
      <c r="B328">
        <v>7</v>
      </c>
      <c r="C328" t="s">
        <v>236</v>
      </c>
      <c r="D328" t="s">
        <v>26</v>
      </c>
      <c r="E328">
        <v>2</v>
      </c>
      <c r="F328">
        <v>2</v>
      </c>
      <c r="G328">
        <v>1</v>
      </c>
      <c r="H328" t="s">
        <v>241</v>
      </c>
      <c r="I328">
        <v>1</v>
      </c>
      <c r="J328" s="10">
        <v>0.31944444444444442</v>
      </c>
      <c r="K328" s="10">
        <v>0.3263888888888889</v>
      </c>
      <c r="L328" s="10">
        <f t="shared" si="11"/>
        <v>6.9444444444444753E-3</v>
      </c>
      <c r="M328" s="12">
        <f t="shared" si="10"/>
        <v>0.16666666666666741</v>
      </c>
      <c r="N328" s="12">
        <f>Table1[[#This Row],[Trip Hours]]*Table1[[#This Row],['#Angler]]</f>
        <v>0.16666666666666741</v>
      </c>
      <c r="O328" t="s">
        <v>349</v>
      </c>
      <c r="P328" t="s">
        <v>56</v>
      </c>
      <c r="Q328" t="s">
        <v>241</v>
      </c>
      <c r="R328" s="11">
        <v>0</v>
      </c>
      <c r="S328">
        <v>0</v>
      </c>
      <c r="T328">
        <v>0</v>
      </c>
      <c r="U328">
        <v>0</v>
      </c>
      <c r="V328" s="11">
        <v>0</v>
      </c>
      <c r="W328">
        <v>0</v>
      </c>
      <c r="X328">
        <v>0</v>
      </c>
      <c r="Y328">
        <v>0</v>
      </c>
      <c r="Z328" s="11">
        <f>SUM(Table1[[#This Row],[Chi Kept]],Table1[[#This Row],[Chi Released]])</f>
        <v>0</v>
      </c>
      <c r="AA328">
        <f>SUM(Table1[[#This Row],[Co Kept]],Table1[[#This Row],[Co Released ]])</f>
        <v>0</v>
      </c>
      <c r="AB328">
        <f>SUM(Table1[[#This Row],[Pink Kept]],Table1[[#This Row],[Pink Released]])</f>
        <v>0</v>
      </c>
      <c r="AC328">
        <f>SUM(Table1[[#This Row],[Chu Kept]],Table1[[#This Row],[Chu Released]])</f>
        <v>0</v>
      </c>
    </row>
    <row r="329" spans="1:29" x14ac:dyDescent="0.3">
      <c r="A329" s="7">
        <v>45933</v>
      </c>
      <c r="B329">
        <v>7</v>
      </c>
      <c r="C329" t="s">
        <v>236</v>
      </c>
      <c r="D329" t="s">
        <v>26</v>
      </c>
      <c r="E329">
        <v>3</v>
      </c>
      <c r="F329">
        <v>2</v>
      </c>
      <c r="G329">
        <v>1</v>
      </c>
      <c r="H329" t="s">
        <v>241</v>
      </c>
      <c r="I329">
        <v>1</v>
      </c>
      <c r="J329" s="10">
        <v>0.30208333333333331</v>
      </c>
      <c r="K329" s="10">
        <v>0.3263888888888889</v>
      </c>
      <c r="L329" s="10">
        <f t="shared" si="11"/>
        <v>2.430555555555558E-2</v>
      </c>
      <c r="M329" s="12">
        <f t="shared" si="10"/>
        <v>0.58333333333333393</v>
      </c>
      <c r="N329" s="12">
        <f>Table1[[#This Row],[Trip Hours]]*Table1[[#This Row],['#Angler]]</f>
        <v>0.58333333333333393</v>
      </c>
      <c r="O329" t="s">
        <v>349</v>
      </c>
      <c r="P329" t="s">
        <v>56</v>
      </c>
      <c r="Q329" t="s">
        <v>247</v>
      </c>
      <c r="R329" s="11">
        <v>0</v>
      </c>
      <c r="S329">
        <v>1</v>
      </c>
      <c r="T329">
        <v>0</v>
      </c>
      <c r="U329">
        <v>0</v>
      </c>
      <c r="V329" s="11">
        <v>0</v>
      </c>
      <c r="W329">
        <v>0</v>
      </c>
      <c r="X329">
        <v>0</v>
      </c>
      <c r="Y329">
        <v>0</v>
      </c>
      <c r="Z329" s="11">
        <f>SUM(Table1[[#This Row],[Chi Kept]],Table1[[#This Row],[Chi Released]])</f>
        <v>0</v>
      </c>
      <c r="AA329">
        <f>SUM(Table1[[#This Row],[Co Kept]],Table1[[#This Row],[Co Released ]])</f>
        <v>1</v>
      </c>
      <c r="AB329">
        <f>SUM(Table1[[#This Row],[Pink Kept]],Table1[[#This Row],[Pink Released]])</f>
        <v>0</v>
      </c>
      <c r="AC329">
        <f>SUM(Table1[[#This Row],[Chu Kept]],Table1[[#This Row],[Chu Released]])</f>
        <v>0</v>
      </c>
    </row>
    <row r="330" spans="1:29" x14ac:dyDescent="0.3">
      <c r="A330" s="7">
        <v>45933</v>
      </c>
      <c r="B330">
        <v>7</v>
      </c>
      <c r="C330" t="s">
        <v>236</v>
      </c>
      <c r="D330" t="s">
        <v>26</v>
      </c>
      <c r="E330">
        <v>4</v>
      </c>
      <c r="F330">
        <v>2</v>
      </c>
      <c r="G330">
        <v>1</v>
      </c>
      <c r="H330" t="s">
        <v>241</v>
      </c>
      <c r="I330">
        <v>1</v>
      </c>
      <c r="J330" s="10">
        <v>0.25</v>
      </c>
      <c r="K330" s="10">
        <v>0.32847222222222222</v>
      </c>
      <c r="L330" s="10">
        <f t="shared" si="11"/>
        <v>7.8472222222222221E-2</v>
      </c>
      <c r="M330" s="12">
        <f t="shared" si="10"/>
        <v>1.8833333333333333</v>
      </c>
      <c r="N330" s="12">
        <f>Table1[[#This Row],[Trip Hours]]*Table1[[#This Row],['#Angler]]</f>
        <v>1.8833333333333333</v>
      </c>
      <c r="O330" t="s">
        <v>349</v>
      </c>
      <c r="P330" t="s">
        <v>56</v>
      </c>
      <c r="Q330" t="s">
        <v>247</v>
      </c>
      <c r="R330" s="11">
        <v>0</v>
      </c>
      <c r="S330">
        <v>2</v>
      </c>
      <c r="T330">
        <v>0</v>
      </c>
      <c r="U330">
        <v>0</v>
      </c>
      <c r="V330" s="11">
        <v>0</v>
      </c>
      <c r="W330">
        <v>0</v>
      </c>
      <c r="X330">
        <v>0</v>
      </c>
      <c r="Y330">
        <v>0</v>
      </c>
      <c r="Z330" s="11">
        <f>SUM(Table1[[#This Row],[Chi Kept]],Table1[[#This Row],[Chi Released]])</f>
        <v>0</v>
      </c>
      <c r="AA330">
        <f>SUM(Table1[[#This Row],[Co Kept]],Table1[[#This Row],[Co Released ]])</f>
        <v>2</v>
      </c>
      <c r="AB330">
        <f>SUM(Table1[[#This Row],[Pink Kept]],Table1[[#This Row],[Pink Released]])</f>
        <v>0</v>
      </c>
      <c r="AC330">
        <f>SUM(Table1[[#This Row],[Chu Kept]],Table1[[#This Row],[Chu Released]])</f>
        <v>0</v>
      </c>
    </row>
    <row r="331" spans="1:29" x14ac:dyDescent="0.3">
      <c r="A331" s="7">
        <v>45933</v>
      </c>
      <c r="B331">
        <v>7</v>
      </c>
      <c r="C331" t="s">
        <v>236</v>
      </c>
      <c r="D331" t="s">
        <v>26</v>
      </c>
      <c r="E331">
        <v>5</v>
      </c>
      <c r="F331">
        <v>2</v>
      </c>
      <c r="G331">
        <v>1</v>
      </c>
      <c r="H331" t="s">
        <v>241</v>
      </c>
      <c r="I331">
        <v>2</v>
      </c>
      <c r="J331" s="10">
        <v>0.30208333333333331</v>
      </c>
      <c r="K331" s="10">
        <v>0.3298611111111111</v>
      </c>
      <c r="L331" s="10">
        <f t="shared" si="11"/>
        <v>2.777777777777779E-2</v>
      </c>
      <c r="M331" s="12">
        <f t="shared" si="10"/>
        <v>0.66666666666666696</v>
      </c>
      <c r="N331" s="12">
        <f>Table1[[#This Row],[Trip Hours]]*Table1[[#This Row],['#Angler]]</f>
        <v>1.3333333333333339</v>
      </c>
      <c r="O331" t="s">
        <v>349</v>
      </c>
      <c r="P331" t="s">
        <v>56</v>
      </c>
      <c r="Q331" t="s">
        <v>247</v>
      </c>
      <c r="R331" s="11">
        <v>0</v>
      </c>
      <c r="S331">
        <v>0</v>
      </c>
      <c r="T331">
        <v>0</v>
      </c>
      <c r="U331">
        <v>0</v>
      </c>
      <c r="V331" s="11">
        <v>0</v>
      </c>
      <c r="W331">
        <v>0</v>
      </c>
      <c r="X331">
        <v>0</v>
      </c>
      <c r="Y331">
        <v>0</v>
      </c>
      <c r="Z331" s="11">
        <f>SUM(Table1[[#This Row],[Chi Kept]],Table1[[#This Row],[Chi Released]])</f>
        <v>0</v>
      </c>
      <c r="AA331">
        <f>SUM(Table1[[#This Row],[Co Kept]],Table1[[#This Row],[Co Released ]])</f>
        <v>0</v>
      </c>
      <c r="AB331">
        <f>SUM(Table1[[#This Row],[Pink Kept]],Table1[[#This Row],[Pink Released]])</f>
        <v>0</v>
      </c>
      <c r="AC331">
        <f>SUM(Table1[[#This Row],[Chu Kept]],Table1[[#This Row],[Chu Released]])</f>
        <v>0</v>
      </c>
    </row>
    <row r="332" spans="1:29" x14ac:dyDescent="0.3">
      <c r="A332" s="7">
        <v>45933</v>
      </c>
      <c r="B332">
        <v>7</v>
      </c>
      <c r="C332" t="s">
        <v>236</v>
      </c>
      <c r="D332" t="s">
        <v>26</v>
      </c>
      <c r="E332">
        <v>6</v>
      </c>
      <c r="F332">
        <v>2</v>
      </c>
      <c r="G332">
        <v>1</v>
      </c>
      <c r="H332" t="s">
        <v>241</v>
      </c>
      <c r="I332">
        <v>1</v>
      </c>
      <c r="J332" s="10">
        <v>0.27083333333333331</v>
      </c>
      <c r="K332" s="10">
        <v>0.33194444444444443</v>
      </c>
      <c r="L332" s="10">
        <f t="shared" si="11"/>
        <v>6.1111111111111116E-2</v>
      </c>
      <c r="M332" s="12">
        <f t="shared" si="10"/>
        <v>1.4666666666666668</v>
      </c>
      <c r="N332" s="12">
        <f>Table1[[#This Row],[Trip Hours]]*Table1[[#This Row],['#Angler]]</f>
        <v>1.4666666666666668</v>
      </c>
      <c r="O332" t="s">
        <v>349</v>
      </c>
      <c r="P332" t="s">
        <v>56</v>
      </c>
      <c r="Q332" t="s">
        <v>247</v>
      </c>
      <c r="R332" s="11">
        <v>0</v>
      </c>
      <c r="S332">
        <v>0</v>
      </c>
      <c r="T332">
        <v>0</v>
      </c>
      <c r="U332">
        <v>0</v>
      </c>
      <c r="V332" s="11">
        <v>0</v>
      </c>
      <c r="W332">
        <v>0</v>
      </c>
      <c r="X332">
        <v>0</v>
      </c>
      <c r="Y332">
        <v>0</v>
      </c>
      <c r="Z332" s="11">
        <f>SUM(Table1[[#This Row],[Chi Kept]],Table1[[#This Row],[Chi Released]])</f>
        <v>0</v>
      </c>
      <c r="AA332">
        <f>SUM(Table1[[#This Row],[Co Kept]],Table1[[#This Row],[Co Released ]])</f>
        <v>0</v>
      </c>
      <c r="AB332">
        <f>SUM(Table1[[#This Row],[Pink Kept]],Table1[[#This Row],[Pink Released]])</f>
        <v>0</v>
      </c>
      <c r="AC332">
        <f>SUM(Table1[[#This Row],[Chu Kept]],Table1[[#This Row],[Chu Released]])</f>
        <v>0</v>
      </c>
    </row>
    <row r="333" spans="1:29" x14ac:dyDescent="0.3">
      <c r="A333" s="7">
        <v>45933</v>
      </c>
      <c r="B333">
        <v>7</v>
      </c>
      <c r="C333" t="s">
        <v>236</v>
      </c>
      <c r="D333" t="s">
        <v>26</v>
      </c>
      <c r="E333">
        <v>7</v>
      </c>
      <c r="F333">
        <v>2</v>
      </c>
      <c r="G333">
        <v>1</v>
      </c>
      <c r="H333" t="s">
        <v>241</v>
      </c>
      <c r="I333">
        <v>1</v>
      </c>
      <c r="J333" s="10">
        <v>0.27083333333333331</v>
      </c>
      <c r="K333" s="10">
        <v>0.33194444444444443</v>
      </c>
      <c r="L333" s="10">
        <f t="shared" si="11"/>
        <v>6.1111111111111116E-2</v>
      </c>
      <c r="M333" s="12">
        <f t="shared" si="10"/>
        <v>1.4666666666666668</v>
      </c>
      <c r="N333" s="12">
        <f>Table1[[#This Row],[Trip Hours]]*Table1[[#This Row],['#Angler]]</f>
        <v>1.4666666666666668</v>
      </c>
      <c r="O333" t="s">
        <v>349</v>
      </c>
      <c r="P333" t="s">
        <v>56</v>
      </c>
      <c r="Q333" t="s">
        <v>247</v>
      </c>
      <c r="R333" s="11">
        <v>0</v>
      </c>
      <c r="S333">
        <v>0</v>
      </c>
      <c r="T333">
        <v>0</v>
      </c>
      <c r="U333">
        <v>0</v>
      </c>
      <c r="V333" s="11">
        <v>0</v>
      </c>
      <c r="W333">
        <v>0</v>
      </c>
      <c r="X333">
        <v>0</v>
      </c>
      <c r="Y333">
        <v>0</v>
      </c>
      <c r="Z333" s="11">
        <f>SUM(Table1[[#This Row],[Chi Kept]],Table1[[#This Row],[Chi Released]])</f>
        <v>0</v>
      </c>
      <c r="AA333">
        <f>SUM(Table1[[#This Row],[Co Kept]],Table1[[#This Row],[Co Released ]])</f>
        <v>0</v>
      </c>
      <c r="AB333">
        <f>SUM(Table1[[#This Row],[Pink Kept]],Table1[[#This Row],[Pink Released]])</f>
        <v>0</v>
      </c>
      <c r="AC333">
        <f>SUM(Table1[[#This Row],[Chu Kept]],Table1[[#This Row],[Chu Released]])</f>
        <v>0</v>
      </c>
    </row>
    <row r="334" spans="1:29" x14ac:dyDescent="0.3">
      <c r="A334" s="7">
        <v>45933</v>
      </c>
      <c r="B334">
        <v>7</v>
      </c>
      <c r="C334" t="s">
        <v>236</v>
      </c>
      <c r="D334" t="s">
        <v>26</v>
      </c>
      <c r="E334">
        <v>8</v>
      </c>
      <c r="F334">
        <v>2</v>
      </c>
      <c r="G334">
        <v>1</v>
      </c>
      <c r="H334" t="s">
        <v>241</v>
      </c>
      <c r="I334">
        <v>1</v>
      </c>
      <c r="J334" s="10">
        <v>0.3125</v>
      </c>
      <c r="K334" s="10">
        <v>0.33194444444444443</v>
      </c>
      <c r="L334" s="10">
        <f t="shared" si="11"/>
        <v>1.9444444444444431E-2</v>
      </c>
      <c r="M334" s="12">
        <f t="shared" si="10"/>
        <v>0.46666666666666634</v>
      </c>
      <c r="N334" s="12">
        <f>Table1[[#This Row],[Trip Hours]]*Table1[[#This Row],['#Angler]]</f>
        <v>0.46666666666666634</v>
      </c>
      <c r="O334" t="s">
        <v>349</v>
      </c>
      <c r="P334" t="s">
        <v>56</v>
      </c>
      <c r="Q334" t="s">
        <v>247</v>
      </c>
      <c r="R334" s="11">
        <v>0</v>
      </c>
      <c r="S334">
        <v>0</v>
      </c>
      <c r="T334">
        <v>0</v>
      </c>
      <c r="U334">
        <v>0</v>
      </c>
      <c r="V334" s="11">
        <v>0</v>
      </c>
      <c r="W334">
        <v>0</v>
      </c>
      <c r="X334">
        <v>0</v>
      </c>
      <c r="Y334">
        <v>0</v>
      </c>
      <c r="Z334" s="11">
        <f>SUM(Table1[[#This Row],[Chi Kept]],Table1[[#This Row],[Chi Released]])</f>
        <v>0</v>
      </c>
      <c r="AA334">
        <f>SUM(Table1[[#This Row],[Co Kept]],Table1[[#This Row],[Co Released ]])</f>
        <v>0</v>
      </c>
      <c r="AB334">
        <f>SUM(Table1[[#This Row],[Pink Kept]],Table1[[#This Row],[Pink Released]])</f>
        <v>0</v>
      </c>
      <c r="AC334">
        <f>SUM(Table1[[#This Row],[Chu Kept]],Table1[[#This Row],[Chu Released]])</f>
        <v>0</v>
      </c>
    </row>
    <row r="335" spans="1:29" x14ac:dyDescent="0.3">
      <c r="A335" s="7">
        <v>45933</v>
      </c>
      <c r="B335">
        <v>7</v>
      </c>
      <c r="C335" t="s">
        <v>236</v>
      </c>
      <c r="D335" t="s">
        <v>26</v>
      </c>
      <c r="E335">
        <v>9</v>
      </c>
      <c r="F335">
        <v>2</v>
      </c>
      <c r="G335">
        <v>1</v>
      </c>
      <c r="H335" t="s">
        <v>241</v>
      </c>
      <c r="I335">
        <v>2</v>
      </c>
      <c r="J335" s="10">
        <v>0.29166666666666669</v>
      </c>
      <c r="K335" s="10">
        <v>0.33402777777777776</v>
      </c>
      <c r="L335" s="10">
        <f t="shared" si="11"/>
        <v>4.2361111111111072E-2</v>
      </c>
      <c r="M335" s="12">
        <f t="shared" si="10"/>
        <v>1.0166666666666657</v>
      </c>
      <c r="N335" s="12">
        <f>Table1[[#This Row],[Trip Hours]]*Table1[[#This Row],['#Angler]]</f>
        <v>2.0333333333333314</v>
      </c>
      <c r="O335" t="s">
        <v>349</v>
      </c>
      <c r="P335" t="s">
        <v>56</v>
      </c>
      <c r="Q335" t="s">
        <v>247</v>
      </c>
      <c r="R335" s="11">
        <v>0</v>
      </c>
      <c r="S335">
        <v>1</v>
      </c>
      <c r="T335">
        <v>0</v>
      </c>
      <c r="U335">
        <v>0</v>
      </c>
      <c r="V335" s="11">
        <v>0</v>
      </c>
      <c r="W335">
        <v>1</v>
      </c>
      <c r="X335">
        <v>0</v>
      </c>
      <c r="Y335">
        <v>0</v>
      </c>
      <c r="Z335" s="11">
        <f>SUM(Table1[[#This Row],[Chi Kept]],Table1[[#This Row],[Chi Released]])</f>
        <v>0</v>
      </c>
      <c r="AA335">
        <f>SUM(Table1[[#This Row],[Co Kept]],Table1[[#This Row],[Co Released ]])</f>
        <v>2</v>
      </c>
      <c r="AB335">
        <f>SUM(Table1[[#This Row],[Pink Kept]],Table1[[#This Row],[Pink Released]])</f>
        <v>0</v>
      </c>
      <c r="AC335">
        <f>SUM(Table1[[#This Row],[Chu Kept]],Table1[[#This Row],[Chu Released]])</f>
        <v>0</v>
      </c>
    </row>
    <row r="336" spans="1:29" x14ac:dyDescent="0.3">
      <c r="A336" s="7">
        <v>45933</v>
      </c>
      <c r="B336">
        <v>7</v>
      </c>
      <c r="C336" t="s">
        <v>236</v>
      </c>
      <c r="D336" t="s">
        <v>26</v>
      </c>
      <c r="E336">
        <v>10</v>
      </c>
      <c r="F336">
        <v>2</v>
      </c>
      <c r="G336">
        <v>2</v>
      </c>
      <c r="H336" t="s">
        <v>241</v>
      </c>
      <c r="I336">
        <v>1</v>
      </c>
      <c r="J336" s="10">
        <v>0.29166666666666669</v>
      </c>
      <c r="K336" s="10">
        <v>0.34652777777777777</v>
      </c>
      <c r="L336" s="10">
        <f t="shared" si="11"/>
        <v>5.4861111111111083E-2</v>
      </c>
      <c r="M336" s="12">
        <f t="shared" si="10"/>
        <v>1.316666666666666</v>
      </c>
      <c r="N336" s="12">
        <f>Table1[[#This Row],[Trip Hours]]*Table1[[#This Row],['#Angler]]</f>
        <v>1.316666666666666</v>
      </c>
      <c r="O336" t="s">
        <v>342</v>
      </c>
      <c r="Q336" t="s">
        <v>241</v>
      </c>
      <c r="R336" s="11">
        <v>0</v>
      </c>
      <c r="S336">
        <v>0</v>
      </c>
      <c r="T336">
        <v>0</v>
      </c>
      <c r="U336">
        <v>0</v>
      </c>
      <c r="V336" s="11">
        <v>0</v>
      </c>
      <c r="W336">
        <v>0</v>
      </c>
      <c r="X336">
        <v>0</v>
      </c>
      <c r="Y336">
        <v>0</v>
      </c>
      <c r="Z336" s="11">
        <f>SUM(Table1[[#This Row],[Chi Kept]],Table1[[#This Row],[Chi Released]])</f>
        <v>0</v>
      </c>
      <c r="AA336">
        <f>SUM(Table1[[#This Row],[Co Kept]],Table1[[#This Row],[Co Released ]])</f>
        <v>0</v>
      </c>
      <c r="AB336">
        <f>SUM(Table1[[#This Row],[Pink Kept]],Table1[[#This Row],[Pink Released]])</f>
        <v>0</v>
      </c>
      <c r="AC336">
        <f>SUM(Table1[[#This Row],[Chu Kept]],Table1[[#This Row],[Chu Released]])</f>
        <v>0</v>
      </c>
    </row>
    <row r="337" spans="1:31" x14ac:dyDescent="0.3">
      <c r="A337" s="7">
        <v>45933</v>
      </c>
      <c r="B337">
        <v>7</v>
      </c>
      <c r="C337" t="s">
        <v>236</v>
      </c>
      <c r="D337" t="s">
        <v>26</v>
      </c>
      <c r="E337">
        <v>11</v>
      </c>
      <c r="F337">
        <v>2</v>
      </c>
      <c r="G337">
        <v>2</v>
      </c>
      <c r="H337" t="s">
        <v>241</v>
      </c>
      <c r="I337">
        <v>2</v>
      </c>
      <c r="J337" s="10">
        <v>0.27777777777777779</v>
      </c>
      <c r="K337" s="10">
        <v>0.35486111111111113</v>
      </c>
      <c r="L337" s="10">
        <f t="shared" si="11"/>
        <v>7.7083333333333337E-2</v>
      </c>
      <c r="M337" s="12">
        <f t="shared" si="10"/>
        <v>1.85</v>
      </c>
      <c r="N337" s="12">
        <f>Table1[[#This Row],[Trip Hours]]*Table1[[#This Row],['#Angler]]</f>
        <v>3.7</v>
      </c>
      <c r="O337" t="s">
        <v>342</v>
      </c>
      <c r="Q337" t="s">
        <v>247</v>
      </c>
      <c r="R337" s="11">
        <v>0</v>
      </c>
      <c r="S337">
        <v>0</v>
      </c>
      <c r="T337">
        <v>0</v>
      </c>
      <c r="U337">
        <v>0</v>
      </c>
      <c r="V337" s="11">
        <v>0</v>
      </c>
      <c r="W337">
        <v>0</v>
      </c>
      <c r="X337">
        <v>0</v>
      </c>
      <c r="Y337">
        <v>0</v>
      </c>
      <c r="Z337" s="11">
        <f>SUM(Table1[[#This Row],[Chi Kept]],Table1[[#This Row],[Chi Released]])</f>
        <v>0</v>
      </c>
      <c r="AA337">
        <f>SUM(Table1[[#This Row],[Co Kept]],Table1[[#This Row],[Co Released ]])</f>
        <v>0</v>
      </c>
      <c r="AB337">
        <f>SUM(Table1[[#This Row],[Pink Kept]],Table1[[#This Row],[Pink Released]])</f>
        <v>0</v>
      </c>
      <c r="AC337">
        <f>SUM(Table1[[#This Row],[Chu Kept]],Table1[[#This Row],[Chu Released]])</f>
        <v>0</v>
      </c>
    </row>
    <row r="338" spans="1:31" x14ac:dyDescent="0.3">
      <c r="A338" s="7">
        <v>45933</v>
      </c>
      <c r="B338">
        <v>7</v>
      </c>
      <c r="C338" t="s">
        <v>236</v>
      </c>
      <c r="D338" t="s">
        <v>26</v>
      </c>
      <c r="E338">
        <v>12</v>
      </c>
      <c r="F338">
        <v>2</v>
      </c>
      <c r="G338">
        <v>2</v>
      </c>
      <c r="H338" t="s">
        <v>241</v>
      </c>
      <c r="I338">
        <v>1</v>
      </c>
      <c r="J338" s="10">
        <v>0.29166666666666669</v>
      </c>
      <c r="K338" s="10">
        <v>0.37361111111111112</v>
      </c>
      <c r="L338" s="10">
        <f t="shared" si="11"/>
        <v>8.1944444444444431E-2</v>
      </c>
      <c r="M338" s="12">
        <f t="shared" si="10"/>
        <v>1.9666666666666663</v>
      </c>
      <c r="N338" s="12">
        <f>Table1[[#This Row],[Trip Hours]]*Table1[[#This Row],['#Angler]]</f>
        <v>1.9666666666666663</v>
      </c>
      <c r="O338" t="s">
        <v>342</v>
      </c>
      <c r="Q338" t="s">
        <v>247</v>
      </c>
      <c r="R338" s="11">
        <v>0</v>
      </c>
      <c r="S338">
        <v>1</v>
      </c>
      <c r="T338">
        <v>0</v>
      </c>
      <c r="U338">
        <v>0</v>
      </c>
      <c r="V338" s="11">
        <v>0</v>
      </c>
      <c r="W338">
        <v>0</v>
      </c>
      <c r="X338">
        <v>0</v>
      </c>
      <c r="Y338">
        <v>0</v>
      </c>
      <c r="Z338" s="11">
        <f>SUM(Table1[[#This Row],[Chi Kept]],Table1[[#This Row],[Chi Released]])</f>
        <v>0</v>
      </c>
      <c r="AA338">
        <f>SUM(Table1[[#This Row],[Co Kept]],Table1[[#This Row],[Co Released ]])</f>
        <v>1</v>
      </c>
      <c r="AB338">
        <f>SUM(Table1[[#This Row],[Pink Kept]],Table1[[#This Row],[Pink Released]])</f>
        <v>0</v>
      </c>
      <c r="AC338">
        <f>SUM(Table1[[#This Row],[Chu Kept]],Table1[[#This Row],[Chu Released]])</f>
        <v>0</v>
      </c>
    </row>
    <row r="339" spans="1:31" x14ac:dyDescent="0.3">
      <c r="A339" s="7">
        <v>45933</v>
      </c>
      <c r="B339">
        <v>7</v>
      </c>
      <c r="C339" t="s">
        <v>236</v>
      </c>
      <c r="D339" t="s">
        <v>26</v>
      </c>
      <c r="E339">
        <v>13</v>
      </c>
      <c r="F339">
        <v>2</v>
      </c>
      <c r="G339">
        <v>2</v>
      </c>
      <c r="H339" t="s">
        <v>241</v>
      </c>
      <c r="I339">
        <v>1</v>
      </c>
      <c r="J339" s="10">
        <v>0.27083333333333331</v>
      </c>
      <c r="K339" s="10">
        <v>0.37361111111111112</v>
      </c>
      <c r="L339" s="10">
        <f t="shared" si="11"/>
        <v>0.1027777777777778</v>
      </c>
      <c r="M339" s="12">
        <f t="shared" si="10"/>
        <v>2.4666666666666672</v>
      </c>
      <c r="N339" s="12">
        <f>Table1[[#This Row],[Trip Hours]]*Table1[[#This Row],['#Angler]]</f>
        <v>2.4666666666666672</v>
      </c>
      <c r="O339" t="s">
        <v>342</v>
      </c>
      <c r="Q339" t="s">
        <v>247</v>
      </c>
      <c r="R339" s="11">
        <v>0</v>
      </c>
      <c r="S339">
        <v>0</v>
      </c>
      <c r="T339">
        <v>0</v>
      </c>
      <c r="U339">
        <v>0</v>
      </c>
      <c r="V339" s="11">
        <v>0</v>
      </c>
      <c r="W339">
        <v>0</v>
      </c>
      <c r="X339">
        <v>0</v>
      </c>
      <c r="Y339">
        <v>0</v>
      </c>
      <c r="Z339" s="11">
        <f>SUM(Table1[[#This Row],[Chi Kept]],Table1[[#This Row],[Chi Released]])</f>
        <v>0</v>
      </c>
      <c r="AA339">
        <f>SUM(Table1[[#This Row],[Co Kept]],Table1[[#This Row],[Co Released ]])</f>
        <v>0</v>
      </c>
      <c r="AB339">
        <f>SUM(Table1[[#This Row],[Pink Kept]],Table1[[#This Row],[Pink Released]])</f>
        <v>0</v>
      </c>
      <c r="AC339">
        <f>SUM(Table1[[#This Row],[Chu Kept]],Table1[[#This Row],[Chu Released]])</f>
        <v>0</v>
      </c>
    </row>
    <row r="340" spans="1:31" x14ac:dyDescent="0.3">
      <c r="A340" s="7">
        <v>45933</v>
      </c>
      <c r="B340">
        <v>7</v>
      </c>
      <c r="C340" t="s">
        <v>236</v>
      </c>
      <c r="D340" t="s">
        <v>26</v>
      </c>
      <c r="E340">
        <v>14</v>
      </c>
      <c r="F340">
        <v>2</v>
      </c>
      <c r="G340">
        <v>2</v>
      </c>
      <c r="H340" t="s">
        <v>241</v>
      </c>
      <c r="I340">
        <v>1</v>
      </c>
      <c r="J340" s="10">
        <v>0.28125</v>
      </c>
      <c r="K340" s="10">
        <v>0.37430555555555556</v>
      </c>
      <c r="L340" s="10">
        <f t="shared" si="11"/>
        <v>9.3055555555555558E-2</v>
      </c>
      <c r="M340" s="12">
        <f t="shared" si="10"/>
        <v>2.2333333333333334</v>
      </c>
      <c r="N340" s="12">
        <f>Table1[[#This Row],[Trip Hours]]*Table1[[#This Row],['#Angler]]</f>
        <v>2.2333333333333334</v>
      </c>
      <c r="O340" t="s">
        <v>342</v>
      </c>
      <c r="Q340" t="s">
        <v>247</v>
      </c>
      <c r="R340" s="11">
        <v>0</v>
      </c>
      <c r="S340">
        <v>0</v>
      </c>
      <c r="T340">
        <v>0</v>
      </c>
      <c r="U340">
        <v>0</v>
      </c>
      <c r="V340" s="11">
        <v>0</v>
      </c>
      <c r="W340">
        <v>1</v>
      </c>
      <c r="X340">
        <v>0</v>
      </c>
      <c r="Y340">
        <v>0</v>
      </c>
      <c r="Z340" s="11">
        <f>SUM(Table1[[#This Row],[Chi Kept]],Table1[[#This Row],[Chi Released]])</f>
        <v>0</v>
      </c>
      <c r="AA340">
        <f>SUM(Table1[[#This Row],[Co Kept]],Table1[[#This Row],[Co Released ]])</f>
        <v>1</v>
      </c>
      <c r="AB340">
        <f>SUM(Table1[[#This Row],[Pink Kept]],Table1[[#This Row],[Pink Released]])</f>
        <v>0</v>
      </c>
      <c r="AC340">
        <f>SUM(Table1[[#This Row],[Chu Kept]],Table1[[#This Row],[Chu Released]])</f>
        <v>0</v>
      </c>
      <c r="AE340" t="s">
        <v>175</v>
      </c>
    </row>
    <row r="341" spans="1:31" x14ac:dyDescent="0.3">
      <c r="A341" s="7">
        <v>45933</v>
      </c>
      <c r="B341">
        <v>7</v>
      </c>
      <c r="C341" t="s">
        <v>236</v>
      </c>
      <c r="D341" t="s">
        <v>26</v>
      </c>
      <c r="E341">
        <v>15</v>
      </c>
      <c r="F341">
        <v>2</v>
      </c>
      <c r="G341">
        <v>2</v>
      </c>
      <c r="H341" t="s">
        <v>241</v>
      </c>
      <c r="I341">
        <v>2</v>
      </c>
      <c r="J341" s="10">
        <v>0.27083333333333331</v>
      </c>
      <c r="K341" s="10">
        <v>0.37430555555555556</v>
      </c>
      <c r="L341" s="10">
        <f t="shared" si="11"/>
        <v>0.10347222222222224</v>
      </c>
      <c r="M341" s="12">
        <f t="shared" si="10"/>
        <v>2.4833333333333338</v>
      </c>
      <c r="N341" s="12">
        <f>Table1[[#This Row],[Trip Hours]]*Table1[[#This Row],['#Angler]]</f>
        <v>4.9666666666666677</v>
      </c>
      <c r="O341" t="s">
        <v>342</v>
      </c>
      <c r="Q341" t="s">
        <v>247</v>
      </c>
      <c r="R341" s="11">
        <v>0</v>
      </c>
      <c r="S341">
        <v>0</v>
      </c>
      <c r="T341">
        <v>0</v>
      </c>
      <c r="U341">
        <v>0</v>
      </c>
      <c r="V341" s="11">
        <v>0</v>
      </c>
      <c r="W341">
        <v>0</v>
      </c>
      <c r="X341">
        <v>0</v>
      </c>
      <c r="Y341">
        <v>0</v>
      </c>
      <c r="Z341" s="11">
        <f>SUM(Table1[[#This Row],[Chi Kept]],Table1[[#This Row],[Chi Released]])</f>
        <v>0</v>
      </c>
      <c r="AA341">
        <f>SUM(Table1[[#This Row],[Co Kept]],Table1[[#This Row],[Co Released ]])</f>
        <v>0</v>
      </c>
      <c r="AB341">
        <f>SUM(Table1[[#This Row],[Pink Kept]],Table1[[#This Row],[Pink Released]])</f>
        <v>0</v>
      </c>
      <c r="AC341">
        <f>SUM(Table1[[#This Row],[Chu Kept]],Table1[[#This Row],[Chu Released]])</f>
        <v>0</v>
      </c>
    </row>
    <row r="342" spans="1:31" x14ac:dyDescent="0.3">
      <c r="A342" s="7">
        <v>45933</v>
      </c>
      <c r="B342">
        <v>7</v>
      </c>
      <c r="C342" t="s">
        <v>236</v>
      </c>
      <c r="D342" t="s">
        <v>26</v>
      </c>
      <c r="E342">
        <v>16</v>
      </c>
      <c r="F342">
        <v>2</v>
      </c>
      <c r="G342">
        <v>2</v>
      </c>
      <c r="H342" t="s">
        <v>241</v>
      </c>
      <c r="I342">
        <v>1</v>
      </c>
      <c r="J342" s="10">
        <v>0.34722222222222221</v>
      </c>
      <c r="K342" s="10">
        <v>0.37847222222222221</v>
      </c>
      <c r="L342" s="10">
        <f t="shared" si="11"/>
        <v>3.125E-2</v>
      </c>
      <c r="M342" s="12">
        <f t="shared" si="10"/>
        <v>0.75</v>
      </c>
      <c r="N342" s="12">
        <f>Table1[[#This Row],[Trip Hours]]*Table1[[#This Row],['#Angler]]</f>
        <v>0.75</v>
      </c>
      <c r="O342" t="s">
        <v>342</v>
      </c>
      <c r="Q342" t="s">
        <v>247</v>
      </c>
      <c r="R342" s="11">
        <v>0</v>
      </c>
      <c r="S342">
        <v>0</v>
      </c>
      <c r="T342">
        <v>0</v>
      </c>
      <c r="U342">
        <v>0</v>
      </c>
      <c r="V342" s="11">
        <v>0</v>
      </c>
      <c r="W342">
        <v>0</v>
      </c>
      <c r="X342">
        <v>0</v>
      </c>
      <c r="Y342">
        <v>0</v>
      </c>
      <c r="Z342" s="11">
        <f>SUM(Table1[[#This Row],[Chi Kept]],Table1[[#This Row],[Chi Released]])</f>
        <v>0</v>
      </c>
      <c r="AA342">
        <f>SUM(Table1[[#This Row],[Co Kept]],Table1[[#This Row],[Co Released ]])</f>
        <v>0</v>
      </c>
      <c r="AB342">
        <f>SUM(Table1[[#This Row],[Pink Kept]],Table1[[#This Row],[Pink Released]])</f>
        <v>0</v>
      </c>
      <c r="AC342">
        <f>SUM(Table1[[#This Row],[Chu Kept]],Table1[[#This Row],[Chu Released]])</f>
        <v>0</v>
      </c>
    </row>
    <row r="343" spans="1:31" x14ac:dyDescent="0.3">
      <c r="A343" s="7">
        <v>45933</v>
      </c>
      <c r="B343">
        <v>7</v>
      </c>
      <c r="C343" t="s">
        <v>236</v>
      </c>
      <c r="D343" t="s">
        <v>26</v>
      </c>
      <c r="E343">
        <v>17</v>
      </c>
      <c r="F343">
        <v>2</v>
      </c>
      <c r="G343">
        <v>2</v>
      </c>
      <c r="H343" t="s">
        <v>241</v>
      </c>
      <c r="I343">
        <v>1</v>
      </c>
      <c r="J343" s="10">
        <v>0.27083333333333331</v>
      </c>
      <c r="K343" s="10">
        <v>0.38124999999999998</v>
      </c>
      <c r="L343" s="10">
        <f t="shared" si="11"/>
        <v>0.11041666666666666</v>
      </c>
      <c r="M343" s="12">
        <f t="shared" si="10"/>
        <v>2.65</v>
      </c>
      <c r="N343" s="12">
        <f>Table1[[#This Row],[Trip Hours]]*Table1[[#This Row],['#Angler]]</f>
        <v>2.65</v>
      </c>
      <c r="O343" t="s">
        <v>342</v>
      </c>
      <c r="R343" s="11">
        <v>0</v>
      </c>
      <c r="S343">
        <v>0</v>
      </c>
      <c r="T343">
        <v>0</v>
      </c>
      <c r="U343">
        <v>0</v>
      </c>
      <c r="V343" s="11">
        <v>0</v>
      </c>
      <c r="W343">
        <v>0</v>
      </c>
      <c r="X343">
        <v>0</v>
      </c>
      <c r="Y343">
        <v>0</v>
      </c>
      <c r="Z343" s="11">
        <f>SUM(Table1[[#This Row],[Chi Kept]],Table1[[#This Row],[Chi Released]])</f>
        <v>0</v>
      </c>
      <c r="AA343">
        <f>SUM(Table1[[#This Row],[Co Kept]],Table1[[#This Row],[Co Released ]])</f>
        <v>0</v>
      </c>
      <c r="AB343">
        <f>SUM(Table1[[#This Row],[Pink Kept]],Table1[[#This Row],[Pink Released]])</f>
        <v>0</v>
      </c>
      <c r="AC343">
        <f>SUM(Table1[[#This Row],[Chu Kept]],Table1[[#This Row],[Chu Released]])</f>
        <v>0</v>
      </c>
    </row>
    <row r="344" spans="1:31" x14ac:dyDescent="0.3">
      <c r="A344" s="7">
        <v>45933</v>
      </c>
      <c r="B344">
        <v>7</v>
      </c>
      <c r="C344" t="s">
        <v>236</v>
      </c>
      <c r="D344" t="s">
        <v>26</v>
      </c>
      <c r="E344">
        <v>18</v>
      </c>
      <c r="F344">
        <v>2</v>
      </c>
      <c r="G344">
        <v>2</v>
      </c>
      <c r="H344" t="s">
        <v>241</v>
      </c>
      <c r="I344">
        <v>1</v>
      </c>
      <c r="J344" s="10">
        <v>0.27083333333333331</v>
      </c>
      <c r="K344" s="10">
        <v>0.38124999999999998</v>
      </c>
      <c r="L344" s="10">
        <f t="shared" si="11"/>
        <v>0.11041666666666666</v>
      </c>
      <c r="M344" s="12">
        <f t="shared" si="10"/>
        <v>2.65</v>
      </c>
      <c r="N344" s="12">
        <f>Table1[[#This Row],[Trip Hours]]*Table1[[#This Row],['#Angler]]</f>
        <v>2.65</v>
      </c>
      <c r="O344" t="s">
        <v>342</v>
      </c>
      <c r="Q344" t="s">
        <v>247</v>
      </c>
      <c r="R344" s="11">
        <v>0</v>
      </c>
      <c r="S344">
        <v>0</v>
      </c>
      <c r="T344">
        <v>0</v>
      </c>
      <c r="U344">
        <v>0</v>
      </c>
      <c r="V344" s="11">
        <v>0</v>
      </c>
      <c r="W344">
        <v>0</v>
      </c>
      <c r="X344">
        <v>0</v>
      </c>
      <c r="Y344">
        <v>0</v>
      </c>
      <c r="Z344" s="11">
        <f>SUM(Table1[[#This Row],[Chi Kept]],Table1[[#This Row],[Chi Released]])</f>
        <v>0</v>
      </c>
      <c r="AA344">
        <f>SUM(Table1[[#This Row],[Co Kept]],Table1[[#This Row],[Co Released ]])</f>
        <v>0</v>
      </c>
      <c r="AB344">
        <f>SUM(Table1[[#This Row],[Pink Kept]],Table1[[#This Row],[Pink Released]])</f>
        <v>0</v>
      </c>
      <c r="AC344">
        <f>SUM(Table1[[#This Row],[Chu Kept]],Table1[[#This Row],[Chu Released]])</f>
        <v>0</v>
      </c>
    </row>
    <row r="345" spans="1:31" x14ac:dyDescent="0.3">
      <c r="A345" s="7">
        <v>45933</v>
      </c>
      <c r="B345">
        <v>7</v>
      </c>
      <c r="C345" t="s">
        <v>236</v>
      </c>
      <c r="D345" t="s">
        <v>26</v>
      </c>
      <c r="E345">
        <v>19</v>
      </c>
      <c r="F345">
        <v>2</v>
      </c>
      <c r="G345">
        <v>2</v>
      </c>
      <c r="H345" t="s">
        <v>241</v>
      </c>
      <c r="I345">
        <v>1</v>
      </c>
      <c r="J345" s="10">
        <v>0.29166666666666669</v>
      </c>
      <c r="K345" s="10">
        <v>0.38124999999999998</v>
      </c>
      <c r="L345" s="10">
        <f t="shared" si="11"/>
        <v>8.9583333333333293E-2</v>
      </c>
      <c r="M345" s="12">
        <f t="shared" si="10"/>
        <v>2.149999999999999</v>
      </c>
      <c r="N345" s="12">
        <f>Table1[[#This Row],[Trip Hours]]*Table1[[#This Row],['#Angler]]</f>
        <v>2.149999999999999</v>
      </c>
      <c r="O345" t="s">
        <v>342</v>
      </c>
      <c r="Q345" t="s">
        <v>247</v>
      </c>
      <c r="R345" s="11">
        <v>0</v>
      </c>
      <c r="S345">
        <v>0</v>
      </c>
      <c r="T345">
        <v>0</v>
      </c>
      <c r="U345">
        <v>0</v>
      </c>
      <c r="V345" s="11">
        <v>0</v>
      </c>
      <c r="W345">
        <v>0</v>
      </c>
      <c r="X345">
        <v>0</v>
      </c>
      <c r="Y345">
        <v>0</v>
      </c>
      <c r="Z345" s="11">
        <f>SUM(Table1[[#This Row],[Chi Kept]],Table1[[#This Row],[Chi Released]])</f>
        <v>0</v>
      </c>
      <c r="AA345">
        <f>SUM(Table1[[#This Row],[Co Kept]],Table1[[#This Row],[Co Released ]])</f>
        <v>0</v>
      </c>
      <c r="AB345">
        <f>SUM(Table1[[#This Row],[Pink Kept]],Table1[[#This Row],[Pink Released]])</f>
        <v>0</v>
      </c>
      <c r="AC345">
        <f>SUM(Table1[[#This Row],[Chu Kept]],Table1[[#This Row],[Chu Released]])</f>
        <v>0</v>
      </c>
    </row>
    <row r="346" spans="1:31" x14ac:dyDescent="0.3">
      <c r="A346" s="7">
        <v>45933</v>
      </c>
      <c r="B346">
        <v>7</v>
      </c>
      <c r="C346" t="s">
        <v>236</v>
      </c>
      <c r="D346" t="s">
        <v>26</v>
      </c>
      <c r="E346">
        <v>20</v>
      </c>
      <c r="F346">
        <v>2</v>
      </c>
      <c r="G346">
        <v>2</v>
      </c>
      <c r="H346" t="s">
        <v>241</v>
      </c>
      <c r="I346">
        <v>1</v>
      </c>
      <c r="J346" s="10">
        <v>0.3125</v>
      </c>
      <c r="K346" s="10">
        <v>0.38541666666666669</v>
      </c>
      <c r="L346" s="10">
        <f t="shared" si="11"/>
        <v>7.2916666666666685E-2</v>
      </c>
      <c r="M346" s="12">
        <f t="shared" si="10"/>
        <v>1.7500000000000004</v>
      </c>
      <c r="N346" s="12">
        <f>Table1[[#This Row],[Trip Hours]]*Table1[[#This Row],['#Angler]]</f>
        <v>1.7500000000000004</v>
      </c>
      <c r="O346" t="s">
        <v>342</v>
      </c>
      <c r="Q346" t="s">
        <v>247</v>
      </c>
      <c r="R346" s="11">
        <v>0</v>
      </c>
      <c r="S346">
        <v>0</v>
      </c>
      <c r="T346">
        <v>0</v>
      </c>
      <c r="U346">
        <v>0</v>
      </c>
      <c r="V346" s="11">
        <v>0</v>
      </c>
      <c r="W346">
        <v>0</v>
      </c>
      <c r="X346">
        <v>0</v>
      </c>
      <c r="Y346">
        <v>0</v>
      </c>
      <c r="Z346" s="11">
        <f>SUM(Table1[[#This Row],[Chi Kept]],Table1[[#This Row],[Chi Released]])</f>
        <v>0</v>
      </c>
      <c r="AA346">
        <f>SUM(Table1[[#This Row],[Co Kept]],Table1[[#This Row],[Co Released ]])</f>
        <v>0</v>
      </c>
      <c r="AB346">
        <f>SUM(Table1[[#This Row],[Pink Kept]],Table1[[#This Row],[Pink Released]])</f>
        <v>0</v>
      </c>
      <c r="AC346">
        <f>SUM(Table1[[#This Row],[Chu Kept]],Table1[[#This Row],[Chu Released]])</f>
        <v>0</v>
      </c>
    </row>
    <row r="347" spans="1:31" x14ac:dyDescent="0.3">
      <c r="A347" s="7">
        <v>45933</v>
      </c>
      <c r="B347">
        <v>7</v>
      </c>
      <c r="C347" t="s">
        <v>236</v>
      </c>
      <c r="D347" t="s">
        <v>26</v>
      </c>
      <c r="E347">
        <v>21</v>
      </c>
      <c r="F347">
        <v>2</v>
      </c>
      <c r="G347">
        <v>2</v>
      </c>
      <c r="H347" t="s">
        <v>241</v>
      </c>
      <c r="I347">
        <v>1</v>
      </c>
      <c r="J347" s="10">
        <v>0.29166666666666669</v>
      </c>
      <c r="K347" s="10">
        <v>0.39583333333333331</v>
      </c>
      <c r="L347" s="10">
        <f t="shared" si="11"/>
        <v>0.10416666666666663</v>
      </c>
      <c r="M347" s="12">
        <f t="shared" si="10"/>
        <v>2.4999999999999991</v>
      </c>
      <c r="N347" s="12">
        <f>Table1[[#This Row],[Trip Hours]]*Table1[[#This Row],['#Angler]]</f>
        <v>2.4999999999999991</v>
      </c>
      <c r="O347" t="s">
        <v>342</v>
      </c>
      <c r="P347" t="s">
        <v>56</v>
      </c>
      <c r="Q347" t="s">
        <v>247</v>
      </c>
      <c r="R347" s="11">
        <v>0</v>
      </c>
      <c r="S347">
        <v>1</v>
      </c>
      <c r="T347">
        <v>0</v>
      </c>
      <c r="U347">
        <v>0</v>
      </c>
      <c r="V347" s="11">
        <v>0</v>
      </c>
      <c r="W347">
        <v>0</v>
      </c>
      <c r="X347">
        <v>0</v>
      </c>
      <c r="Y347">
        <v>0</v>
      </c>
      <c r="Z347" s="11">
        <f>SUM(Table1[[#This Row],[Chi Kept]],Table1[[#This Row],[Chi Released]])</f>
        <v>0</v>
      </c>
      <c r="AA347">
        <f>SUM(Table1[[#This Row],[Co Kept]],Table1[[#This Row],[Co Released ]])</f>
        <v>1</v>
      </c>
      <c r="AB347">
        <f>SUM(Table1[[#This Row],[Pink Kept]],Table1[[#This Row],[Pink Released]])</f>
        <v>0</v>
      </c>
      <c r="AC347">
        <f>SUM(Table1[[#This Row],[Chu Kept]],Table1[[#This Row],[Chu Released]])</f>
        <v>0</v>
      </c>
    </row>
    <row r="348" spans="1:31" x14ac:dyDescent="0.3">
      <c r="A348" s="7">
        <v>45933</v>
      </c>
      <c r="B348">
        <v>7</v>
      </c>
      <c r="C348" t="s">
        <v>236</v>
      </c>
      <c r="D348" t="s">
        <v>26</v>
      </c>
      <c r="E348">
        <v>22</v>
      </c>
      <c r="F348">
        <v>2</v>
      </c>
      <c r="G348">
        <v>2</v>
      </c>
      <c r="H348" t="s">
        <v>241</v>
      </c>
      <c r="I348">
        <v>2</v>
      </c>
      <c r="J348" s="10">
        <v>0.25</v>
      </c>
      <c r="K348" s="10">
        <v>0.39930555555555558</v>
      </c>
      <c r="L348" s="10">
        <f t="shared" si="11"/>
        <v>0.14930555555555558</v>
      </c>
      <c r="M348" s="12">
        <f t="shared" si="10"/>
        <v>3.5833333333333339</v>
      </c>
      <c r="N348" s="12">
        <f>Table1[[#This Row],[Trip Hours]]*Table1[[#This Row],['#Angler]]</f>
        <v>7.1666666666666679</v>
      </c>
      <c r="O348" t="s">
        <v>342</v>
      </c>
      <c r="Q348" t="s">
        <v>247</v>
      </c>
      <c r="R348" s="11">
        <v>0</v>
      </c>
      <c r="S348">
        <v>4</v>
      </c>
      <c r="T348">
        <v>0</v>
      </c>
      <c r="U348">
        <v>0</v>
      </c>
      <c r="V348" s="11">
        <v>0</v>
      </c>
      <c r="W348">
        <v>0</v>
      </c>
      <c r="X348">
        <v>0</v>
      </c>
      <c r="Y348">
        <v>0</v>
      </c>
      <c r="Z348" s="11">
        <f>SUM(Table1[[#This Row],[Chi Kept]],Table1[[#This Row],[Chi Released]])</f>
        <v>0</v>
      </c>
      <c r="AA348">
        <f>SUM(Table1[[#This Row],[Co Kept]],Table1[[#This Row],[Co Released ]])</f>
        <v>4</v>
      </c>
      <c r="AB348">
        <f>SUM(Table1[[#This Row],[Pink Kept]],Table1[[#This Row],[Pink Released]])</f>
        <v>0</v>
      </c>
      <c r="AC348">
        <f>SUM(Table1[[#This Row],[Chu Kept]],Table1[[#This Row],[Chu Released]])</f>
        <v>0</v>
      </c>
    </row>
    <row r="349" spans="1:31" x14ac:dyDescent="0.3">
      <c r="A349" s="7">
        <v>45933</v>
      </c>
      <c r="B349">
        <v>7</v>
      </c>
      <c r="C349" t="s">
        <v>236</v>
      </c>
      <c r="D349" t="s">
        <v>26</v>
      </c>
      <c r="E349">
        <v>23</v>
      </c>
      <c r="F349">
        <v>2</v>
      </c>
      <c r="G349">
        <v>2</v>
      </c>
      <c r="H349" t="s">
        <v>241</v>
      </c>
      <c r="I349">
        <v>1</v>
      </c>
      <c r="J349" s="10">
        <v>0.29166666666666669</v>
      </c>
      <c r="K349" s="10">
        <v>0.4201388888888889</v>
      </c>
      <c r="L349" s="10">
        <f t="shared" si="11"/>
        <v>0.12847222222222221</v>
      </c>
      <c r="M349" s="12">
        <f t="shared" si="10"/>
        <v>3.083333333333333</v>
      </c>
      <c r="N349" s="12">
        <f>Table1[[#This Row],[Trip Hours]]*Table1[[#This Row],['#Angler]]</f>
        <v>3.083333333333333</v>
      </c>
      <c r="O349" t="s">
        <v>342</v>
      </c>
      <c r="Q349" t="s">
        <v>247</v>
      </c>
      <c r="R349" s="11">
        <v>0</v>
      </c>
      <c r="S349">
        <v>2</v>
      </c>
      <c r="T349">
        <v>0</v>
      </c>
      <c r="U349">
        <v>0</v>
      </c>
      <c r="V349" s="11">
        <v>0</v>
      </c>
      <c r="W349">
        <v>0</v>
      </c>
      <c r="X349">
        <v>0</v>
      </c>
      <c r="Y349">
        <v>0</v>
      </c>
      <c r="Z349" s="11">
        <f>SUM(Table1[[#This Row],[Chi Kept]],Table1[[#This Row],[Chi Released]])</f>
        <v>0</v>
      </c>
      <c r="AA349">
        <f>SUM(Table1[[#This Row],[Co Kept]],Table1[[#This Row],[Co Released ]])</f>
        <v>2</v>
      </c>
      <c r="AB349">
        <f>SUM(Table1[[#This Row],[Pink Kept]],Table1[[#This Row],[Pink Released]])</f>
        <v>0</v>
      </c>
      <c r="AC349">
        <f>SUM(Table1[[#This Row],[Chu Kept]],Table1[[#This Row],[Chu Released]])</f>
        <v>0</v>
      </c>
    </row>
    <row r="350" spans="1:31" x14ac:dyDescent="0.3">
      <c r="A350" s="7">
        <v>45933</v>
      </c>
      <c r="B350">
        <v>7</v>
      </c>
      <c r="C350" t="s">
        <v>236</v>
      </c>
      <c r="D350" t="s">
        <v>26</v>
      </c>
      <c r="E350">
        <v>24</v>
      </c>
      <c r="F350">
        <v>2</v>
      </c>
      <c r="G350">
        <v>2</v>
      </c>
      <c r="H350" t="s">
        <v>241</v>
      </c>
      <c r="I350">
        <v>2</v>
      </c>
      <c r="J350" s="10">
        <v>0.33333333333333331</v>
      </c>
      <c r="K350" s="10">
        <v>0.4201388888888889</v>
      </c>
      <c r="L350" s="10">
        <f t="shared" si="11"/>
        <v>8.680555555555558E-2</v>
      </c>
      <c r="M350" s="12">
        <f t="shared" si="10"/>
        <v>2.0833333333333339</v>
      </c>
      <c r="N350" s="12">
        <f>Table1[[#This Row],[Trip Hours]]*Table1[[#This Row],['#Angler]]</f>
        <v>4.1666666666666679</v>
      </c>
      <c r="O350" t="s">
        <v>342</v>
      </c>
      <c r="P350" t="s">
        <v>56</v>
      </c>
      <c r="Q350" t="s">
        <v>247</v>
      </c>
      <c r="R350" s="11">
        <v>0</v>
      </c>
      <c r="S350">
        <v>0</v>
      </c>
      <c r="T350">
        <v>0</v>
      </c>
      <c r="U350">
        <v>0</v>
      </c>
      <c r="V350" s="11">
        <v>0</v>
      </c>
      <c r="W350">
        <v>0</v>
      </c>
      <c r="X350">
        <v>0</v>
      </c>
      <c r="Y350">
        <v>0</v>
      </c>
      <c r="Z350" s="11">
        <f>SUM(Table1[[#This Row],[Chi Kept]],Table1[[#This Row],[Chi Released]])</f>
        <v>0</v>
      </c>
      <c r="AA350">
        <f>SUM(Table1[[#This Row],[Co Kept]],Table1[[#This Row],[Co Released ]])</f>
        <v>0</v>
      </c>
      <c r="AB350">
        <f>SUM(Table1[[#This Row],[Pink Kept]],Table1[[#This Row],[Pink Released]])</f>
        <v>0</v>
      </c>
      <c r="AC350">
        <f>SUM(Table1[[#This Row],[Chu Kept]],Table1[[#This Row],[Chu Released]])</f>
        <v>0</v>
      </c>
    </row>
    <row r="351" spans="1:31" x14ac:dyDescent="0.3">
      <c r="A351" s="7">
        <v>45933</v>
      </c>
      <c r="B351">
        <v>7</v>
      </c>
      <c r="C351" t="s">
        <v>236</v>
      </c>
      <c r="D351" t="s">
        <v>26</v>
      </c>
      <c r="E351">
        <v>25</v>
      </c>
      <c r="F351">
        <v>2</v>
      </c>
      <c r="G351">
        <v>2</v>
      </c>
      <c r="H351" t="s">
        <v>241</v>
      </c>
      <c r="I351">
        <v>1</v>
      </c>
      <c r="J351" s="10">
        <v>0.29166666666666669</v>
      </c>
      <c r="K351" s="10">
        <v>0.4201388888888889</v>
      </c>
      <c r="L351" s="10">
        <f t="shared" si="11"/>
        <v>0.12847222222222221</v>
      </c>
      <c r="M351" s="12">
        <f t="shared" si="10"/>
        <v>3.083333333333333</v>
      </c>
      <c r="N351" s="12">
        <f>Table1[[#This Row],[Trip Hours]]*Table1[[#This Row],['#Angler]]</f>
        <v>3.083333333333333</v>
      </c>
      <c r="O351" t="s">
        <v>342</v>
      </c>
      <c r="Q351" t="s">
        <v>247</v>
      </c>
      <c r="R351" s="11">
        <v>0</v>
      </c>
      <c r="S351">
        <v>2</v>
      </c>
      <c r="T351">
        <v>0</v>
      </c>
      <c r="U351">
        <v>0</v>
      </c>
      <c r="V351" s="11">
        <v>0</v>
      </c>
      <c r="W351">
        <v>0</v>
      </c>
      <c r="X351">
        <v>0</v>
      </c>
      <c r="Y351">
        <v>0</v>
      </c>
      <c r="Z351" s="11">
        <f>SUM(Table1[[#This Row],[Chi Kept]],Table1[[#This Row],[Chi Released]])</f>
        <v>0</v>
      </c>
      <c r="AA351">
        <f>SUM(Table1[[#This Row],[Co Kept]],Table1[[#This Row],[Co Released ]])</f>
        <v>2</v>
      </c>
      <c r="AB351">
        <f>SUM(Table1[[#This Row],[Pink Kept]],Table1[[#This Row],[Pink Released]])</f>
        <v>0</v>
      </c>
      <c r="AC351">
        <f>SUM(Table1[[#This Row],[Chu Kept]],Table1[[#This Row],[Chu Released]])</f>
        <v>0</v>
      </c>
      <c r="AE351" t="s">
        <v>184</v>
      </c>
    </row>
    <row r="352" spans="1:31" x14ac:dyDescent="0.3">
      <c r="A352" s="7">
        <v>45933</v>
      </c>
      <c r="B352">
        <v>7</v>
      </c>
      <c r="C352" t="s">
        <v>236</v>
      </c>
      <c r="D352" t="s">
        <v>26</v>
      </c>
      <c r="E352">
        <v>26</v>
      </c>
      <c r="F352">
        <v>2</v>
      </c>
      <c r="G352">
        <v>2</v>
      </c>
      <c r="H352" t="s">
        <v>241</v>
      </c>
      <c r="I352">
        <v>1</v>
      </c>
      <c r="J352" s="10">
        <v>0.29166666666666669</v>
      </c>
      <c r="K352" s="10">
        <v>0.4201388888888889</v>
      </c>
      <c r="L352" s="10">
        <f t="shared" si="11"/>
        <v>0.12847222222222221</v>
      </c>
      <c r="M352" s="12">
        <f t="shared" si="10"/>
        <v>3.083333333333333</v>
      </c>
      <c r="N352" s="12">
        <f>Table1[[#This Row],[Trip Hours]]*Table1[[#This Row],['#Angler]]</f>
        <v>3.083333333333333</v>
      </c>
      <c r="O352" t="s">
        <v>342</v>
      </c>
      <c r="Q352" t="s">
        <v>247</v>
      </c>
      <c r="R352" s="11">
        <v>0</v>
      </c>
      <c r="S352">
        <v>1</v>
      </c>
      <c r="T352">
        <v>0</v>
      </c>
      <c r="U352">
        <v>0</v>
      </c>
      <c r="V352" s="11">
        <v>0</v>
      </c>
      <c r="W352">
        <v>0</v>
      </c>
      <c r="X352">
        <v>0</v>
      </c>
      <c r="Y352">
        <v>0</v>
      </c>
      <c r="Z352" s="11">
        <f>SUM(Table1[[#This Row],[Chi Kept]],Table1[[#This Row],[Chi Released]])</f>
        <v>0</v>
      </c>
      <c r="AA352">
        <f>SUM(Table1[[#This Row],[Co Kept]],Table1[[#This Row],[Co Released ]])</f>
        <v>1</v>
      </c>
      <c r="AB352">
        <f>SUM(Table1[[#This Row],[Pink Kept]],Table1[[#This Row],[Pink Released]])</f>
        <v>0</v>
      </c>
      <c r="AC352">
        <f>SUM(Table1[[#This Row],[Chu Kept]],Table1[[#This Row],[Chu Released]])</f>
        <v>0</v>
      </c>
    </row>
    <row r="353" spans="1:29" x14ac:dyDescent="0.3">
      <c r="A353" s="7">
        <v>45933</v>
      </c>
      <c r="B353">
        <v>7</v>
      </c>
      <c r="C353" t="s">
        <v>236</v>
      </c>
      <c r="D353" t="s">
        <v>26</v>
      </c>
      <c r="E353">
        <v>27</v>
      </c>
      <c r="F353">
        <v>2</v>
      </c>
      <c r="G353">
        <v>2</v>
      </c>
      <c r="H353" t="s">
        <v>241</v>
      </c>
      <c r="I353">
        <v>1</v>
      </c>
      <c r="J353" s="10">
        <v>0.27083333333333331</v>
      </c>
      <c r="K353" s="10">
        <v>0.4201388888888889</v>
      </c>
      <c r="L353" s="10">
        <f t="shared" si="11"/>
        <v>0.14930555555555558</v>
      </c>
      <c r="M353" s="12">
        <f t="shared" si="10"/>
        <v>3.5833333333333339</v>
      </c>
      <c r="N353" s="12">
        <f>Table1[[#This Row],[Trip Hours]]*Table1[[#This Row],['#Angler]]</f>
        <v>3.5833333333333339</v>
      </c>
      <c r="O353" t="s">
        <v>342</v>
      </c>
      <c r="Q353" t="s">
        <v>247</v>
      </c>
      <c r="R353" s="11">
        <v>0</v>
      </c>
      <c r="S353">
        <v>3</v>
      </c>
      <c r="T353">
        <v>0</v>
      </c>
      <c r="U353">
        <v>0</v>
      </c>
      <c r="V353" s="11">
        <v>0</v>
      </c>
      <c r="W353">
        <v>0</v>
      </c>
      <c r="X353">
        <v>0</v>
      </c>
      <c r="Y353">
        <v>0</v>
      </c>
      <c r="Z353" s="11">
        <f>SUM(Table1[[#This Row],[Chi Kept]],Table1[[#This Row],[Chi Released]])</f>
        <v>0</v>
      </c>
      <c r="AA353">
        <f>SUM(Table1[[#This Row],[Co Kept]],Table1[[#This Row],[Co Released ]])</f>
        <v>3</v>
      </c>
      <c r="AB353">
        <f>SUM(Table1[[#This Row],[Pink Kept]],Table1[[#This Row],[Pink Released]])</f>
        <v>0</v>
      </c>
      <c r="AC353">
        <f>SUM(Table1[[#This Row],[Chu Kept]],Table1[[#This Row],[Chu Released]])</f>
        <v>0</v>
      </c>
    </row>
    <row r="354" spans="1:29" x14ac:dyDescent="0.3">
      <c r="A354" s="7">
        <v>45933</v>
      </c>
      <c r="B354">
        <v>7</v>
      </c>
      <c r="C354" t="s">
        <v>236</v>
      </c>
      <c r="D354" t="s">
        <v>26</v>
      </c>
      <c r="E354">
        <v>28</v>
      </c>
      <c r="F354">
        <v>2</v>
      </c>
      <c r="G354">
        <v>2</v>
      </c>
      <c r="H354" t="s">
        <v>241</v>
      </c>
      <c r="I354">
        <v>1</v>
      </c>
      <c r="J354" s="10">
        <v>0.29166666666666669</v>
      </c>
      <c r="K354" s="10">
        <v>0.42638888888888887</v>
      </c>
      <c r="L354" s="10">
        <f t="shared" si="11"/>
        <v>0.13472222222222219</v>
      </c>
      <c r="M354" s="12">
        <f t="shared" si="10"/>
        <v>3.2333333333333325</v>
      </c>
      <c r="N354" s="12">
        <f>Table1[[#This Row],[Trip Hours]]*Table1[[#This Row],['#Angler]]</f>
        <v>3.2333333333333325</v>
      </c>
      <c r="O354" t="s">
        <v>342</v>
      </c>
      <c r="Q354" t="s">
        <v>247</v>
      </c>
      <c r="R354" s="11">
        <v>0</v>
      </c>
      <c r="S354">
        <v>1</v>
      </c>
      <c r="T354">
        <v>0</v>
      </c>
      <c r="U354">
        <v>0</v>
      </c>
      <c r="V354" s="11">
        <v>0</v>
      </c>
      <c r="W354">
        <v>0</v>
      </c>
      <c r="X354">
        <v>0</v>
      </c>
      <c r="Y354">
        <v>0</v>
      </c>
      <c r="Z354" s="11">
        <f>SUM(Table1[[#This Row],[Chi Kept]],Table1[[#This Row],[Chi Released]])</f>
        <v>0</v>
      </c>
      <c r="AA354">
        <f>SUM(Table1[[#This Row],[Co Kept]],Table1[[#This Row],[Co Released ]])</f>
        <v>1</v>
      </c>
      <c r="AB354">
        <f>SUM(Table1[[#This Row],[Pink Kept]],Table1[[#This Row],[Pink Released]])</f>
        <v>0</v>
      </c>
      <c r="AC354">
        <f>SUM(Table1[[#This Row],[Chu Kept]],Table1[[#This Row],[Chu Released]])</f>
        <v>0</v>
      </c>
    </row>
    <row r="355" spans="1:29" x14ac:dyDescent="0.3">
      <c r="A355" s="7">
        <v>45933</v>
      </c>
      <c r="B355">
        <v>7</v>
      </c>
      <c r="C355" t="s">
        <v>236</v>
      </c>
      <c r="D355" t="s">
        <v>26</v>
      </c>
      <c r="E355">
        <v>29</v>
      </c>
      <c r="F355">
        <v>2</v>
      </c>
      <c r="G355">
        <v>2</v>
      </c>
      <c r="H355" t="s">
        <v>241</v>
      </c>
      <c r="I355">
        <v>1</v>
      </c>
      <c r="J355" s="10">
        <v>0.33333333333333331</v>
      </c>
      <c r="K355" s="10">
        <v>0.42638888888888887</v>
      </c>
      <c r="L355" s="10">
        <f t="shared" si="11"/>
        <v>9.3055555555555558E-2</v>
      </c>
      <c r="M355" s="12">
        <f t="shared" si="10"/>
        <v>2.2333333333333334</v>
      </c>
      <c r="N355" s="12">
        <f>Table1[[#This Row],[Trip Hours]]*Table1[[#This Row],['#Angler]]</f>
        <v>2.2333333333333334</v>
      </c>
      <c r="O355" t="s">
        <v>342</v>
      </c>
      <c r="Q355" t="s">
        <v>247</v>
      </c>
      <c r="R355" s="11">
        <v>0</v>
      </c>
      <c r="S355">
        <v>2</v>
      </c>
      <c r="T355">
        <v>0</v>
      </c>
      <c r="U355">
        <v>0</v>
      </c>
      <c r="V355" s="11">
        <v>0</v>
      </c>
      <c r="W355">
        <v>0</v>
      </c>
      <c r="X355">
        <v>0</v>
      </c>
      <c r="Y355">
        <v>0</v>
      </c>
      <c r="Z355" s="11">
        <f>SUM(Table1[[#This Row],[Chi Kept]],Table1[[#This Row],[Chi Released]])</f>
        <v>0</v>
      </c>
      <c r="AA355">
        <f>SUM(Table1[[#This Row],[Co Kept]],Table1[[#This Row],[Co Released ]])</f>
        <v>2</v>
      </c>
      <c r="AB355">
        <f>SUM(Table1[[#This Row],[Pink Kept]],Table1[[#This Row],[Pink Released]])</f>
        <v>0</v>
      </c>
      <c r="AC355">
        <f>SUM(Table1[[#This Row],[Chu Kept]],Table1[[#This Row],[Chu Released]])</f>
        <v>0</v>
      </c>
    </row>
    <row r="356" spans="1:29" x14ac:dyDescent="0.3">
      <c r="A356" s="7">
        <v>45933</v>
      </c>
      <c r="B356">
        <v>7</v>
      </c>
      <c r="C356" t="s">
        <v>236</v>
      </c>
      <c r="D356" t="s">
        <v>26</v>
      </c>
      <c r="E356">
        <v>30</v>
      </c>
      <c r="F356">
        <v>2</v>
      </c>
      <c r="G356">
        <v>2</v>
      </c>
      <c r="H356" t="s">
        <v>241</v>
      </c>
      <c r="I356">
        <v>1</v>
      </c>
      <c r="J356" s="10">
        <v>0.375</v>
      </c>
      <c r="K356" s="10">
        <v>0.42916666666666664</v>
      </c>
      <c r="L356" s="10">
        <f t="shared" si="11"/>
        <v>5.4166666666666641E-2</v>
      </c>
      <c r="M356" s="12">
        <f t="shared" si="10"/>
        <v>1.2999999999999994</v>
      </c>
      <c r="N356" s="12">
        <f>Table1[[#This Row],[Trip Hours]]*Table1[[#This Row],['#Angler]]</f>
        <v>1.2999999999999994</v>
      </c>
      <c r="O356" t="s">
        <v>342</v>
      </c>
      <c r="P356" t="s">
        <v>56</v>
      </c>
      <c r="Q356" t="s">
        <v>247</v>
      </c>
      <c r="R356" s="11">
        <v>0</v>
      </c>
      <c r="S356">
        <v>0</v>
      </c>
      <c r="T356">
        <v>0</v>
      </c>
      <c r="U356">
        <v>0</v>
      </c>
      <c r="V356" s="11">
        <v>0</v>
      </c>
      <c r="W356">
        <v>0</v>
      </c>
      <c r="X356">
        <v>0</v>
      </c>
      <c r="Y356">
        <v>0</v>
      </c>
      <c r="Z356" s="11">
        <f>SUM(Table1[[#This Row],[Chi Kept]],Table1[[#This Row],[Chi Released]])</f>
        <v>0</v>
      </c>
      <c r="AA356">
        <f>SUM(Table1[[#This Row],[Co Kept]],Table1[[#This Row],[Co Released ]])</f>
        <v>0</v>
      </c>
      <c r="AB356">
        <f>SUM(Table1[[#This Row],[Pink Kept]],Table1[[#This Row],[Pink Released]])</f>
        <v>0</v>
      </c>
      <c r="AC356">
        <f>SUM(Table1[[#This Row],[Chu Kept]],Table1[[#This Row],[Chu Released]])</f>
        <v>0</v>
      </c>
    </row>
    <row r="357" spans="1:29" x14ac:dyDescent="0.3">
      <c r="A357" s="7">
        <v>45933</v>
      </c>
      <c r="B357">
        <v>7</v>
      </c>
      <c r="C357" t="s">
        <v>236</v>
      </c>
      <c r="D357" t="s">
        <v>26</v>
      </c>
      <c r="E357">
        <v>31</v>
      </c>
      <c r="F357">
        <v>2</v>
      </c>
      <c r="G357">
        <v>4</v>
      </c>
      <c r="H357" t="s">
        <v>241</v>
      </c>
      <c r="I357">
        <v>1</v>
      </c>
      <c r="J357" s="10">
        <v>0.29166666666666669</v>
      </c>
      <c r="K357" s="10">
        <v>0.45416666666666666</v>
      </c>
      <c r="L357" s="10">
        <f t="shared" si="11"/>
        <v>0.16249999999999998</v>
      </c>
      <c r="M357" s="12">
        <f t="shared" si="10"/>
        <v>3.8999999999999995</v>
      </c>
      <c r="N357" s="12">
        <f>Table1[[#This Row],[Trip Hours]]*Table1[[#This Row],['#Angler]]</f>
        <v>3.8999999999999995</v>
      </c>
      <c r="O357" t="s">
        <v>342</v>
      </c>
      <c r="Q357" t="s">
        <v>247</v>
      </c>
      <c r="R357" s="11">
        <v>0</v>
      </c>
      <c r="S357">
        <v>0</v>
      </c>
      <c r="T357">
        <v>0</v>
      </c>
      <c r="U357">
        <v>0</v>
      </c>
      <c r="V357" s="11">
        <v>0</v>
      </c>
      <c r="W357">
        <v>0</v>
      </c>
      <c r="X357">
        <v>0</v>
      </c>
      <c r="Y357">
        <v>0</v>
      </c>
      <c r="Z357" s="11">
        <f>SUM(Table1[[#This Row],[Chi Kept]],Table1[[#This Row],[Chi Released]])</f>
        <v>0</v>
      </c>
      <c r="AA357">
        <f>SUM(Table1[[#This Row],[Co Kept]],Table1[[#This Row],[Co Released ]])</f>
        <v>0</v>
      </c>
      <c r="AB357">
        <f>SUM(Table1[[#This Row],[Pink Kept]],Table1[[#This Row],[Pink Released]])</f>
        <v>0</v>
      </c>
      <c r="AC357">
        <f>SUM(Table1[[#This Row],[Chu Kept]],Table1[[#This Row],[Chu Released]])</f>
        <v>0</v>
      </c>
    </row>
    <row r="358" spans="1:29" x14ac:dyDescent="0.3">
      <c r="A358" s="7">
        <v>45934</v>
      </c>
      <c r="B358">
        <v>7</v>
      </c>
      <c r="C358" t="s">
        <v>250</v>
      </c>
      <c r="D358" t="s">
        <v>26</v>
      </c>
      <c r="E358">
        <v>1</v>
      </c>
      <c r="F358">
        <v>2</v>
      </c>
      <c r="G358">
        <v>2</v>
      </c>
      <c r="H358" t="s">
        <v>241</v>
      </c>
      <c r="I358">
        <v>2</v>
      </c>
      <c r="J358" s="10">
        <v>0.29166666666666669</v>
      </c>
      <c r="K358" s="10">
        <v>0.37916666666666665</v>
      </c>
      <c r="L358" s="10">
        <f t="shared" si="11"/>
        <v>8.7499999999999967E-2</v>
      </c>
      <c r="M358" s="12">
        <f t="shared" si="10"/>
        <v>2.0999999999999992</v>
      </c>
      <c r="N358" s="12">
        <f>Table1[[#This Row],[Trip Hours]]*Table1[[#This Row],['#Angler]]</f>
        <v>4.1999999999999984</v>
      </c>
      <c r="O358" t="s">
        <v>342</v>
      </c>
      <c r="Q358" t="s">
        <v>247</v>
      </c>
      <c r="R358" s="11">
        <v>0</v>
      </c>
      <c r="S358">
        <v>0</v>
      </c>
      <c r="T358">
        <v>0</v>
      </c>
      <c r="U358">
        <v>0</v>
      </c>
      <c r="V358" s="11">
        <v>0</v>
      </c>
      <c r="W358">
        <v>0</v>
      </c>
      <c r="X358">
        <v>0</v>
      </c>
      <c r="Y358">
        <v>0</v>
      </c>
      <c r="Z358" s="11">
        <f>SUM(Table1[[#This Row],[Chi Kept]],Table1[[#This Row],[Chi Released]])</f>
        <v>0</v>
      </c>
      <c r="AA358">
        <f>SUM(Table1[[#This Row],[Co Kept]],Table1[[#This Row],[Co Released ]])</f>
        <v>0</v>
      </c>
      <c r="AB358">
        <f>SUM(Table1[[#This Row],[Pink Kept]],Table1[[#This Row],[Pink Released]])</f>
        <v>0</v>
      </c>
      <c r="AC358">
        <f>SUM(Table1[[#This Row],[Chu Kept]],Table1[[#This Row],[Chu Released]])</f>
        <v>0</v>
      </c>
    </row>
    <row r="359" spans="1:29" x14ac:dyDescent="0.3">
      <c r="A359" s="7">
        <v>45934</v>
      </c>
      <c r="B359">
        <v>7</v>
      </c>
      <c r="C359" t="s">
        <v>250</v>
      </c>
      <c r="D359" t="s">
        <v>26</v>
      </c>
      <c r="E359">
        <v>2</v>
      </c>
      <c r="F359">
        <v>2</v>
      </c>
      <c r="G359">
        <v>2</v>
      </c>
      <c r="H359" t="s">
        <v>241</v>
      </c>
      <c r="I359">
        <v>1</v>
      </c>
      <c r="J359" s="10">
        <v>0.25</v>
      </c>
      <c r="K359" s="10">
        <v>0.37916666666666665</v>
      </c>
      <c r="L359" s="10">
        <f t="shared" si="11"/>
        <v>0.12916666666666665</v>
      </c>
      <c r="M359" s="12">
        <f t="shared" si="10"/>
        <v>3.0999999999999996</v>
      </c>
      <c r="N359" s="12">
        <f>Table1[[#This Row],[Trip Hours]]*Table1[[#This Row],['#Angler]]</f>
        <v>3.0999999999999996</v>
      </c>
      <c r="O359" t="s">
        <v>342</v>
      </c>
      <c r="P359" t="s">
        <v>56</v>
      </c>
      <c r="Q359" t="s">
        <v>247</v>
      </c>
      <c r="R359" s="11">
        <v>0</v>
      </c>
      <c r="S359">
        <v>0</v>
      </c>
      <c r="T359">
        <v>0</v>
      </c>
      <c r="U359">
        <v>0</v>
      </c>
      <c r="V359" s="11">
        <v>0</v>
      </c>
      <c r="W359">
        <v>0</v>
      </c>
      <c r="X359">
        <v>0</v>
      </c>
      <c r="Y359">
        <v>0</v>
      </c>
      <c r="Z359" s="11">
        <f>SUM(Table1[[#This Row],[Chi Kept]],Table1[[#This Row],[Chi Released]])</f>
        <v>0</v>
      </c>
      <c r="AA359">
        <f>SUM(Table1[[#This Row],[Co Kept]],Table1[[#This Row],[Co Released ]])</f>
        <v>0</v>
      </c>
      <c r="AB359">
        <f>SUM(Table1[[#This Row],[Pink Kept]],Table1[[#This Row],[Pink Released]])</f>
        <v>0</v>
      </c>
      <c r="AC359">
        <f>SUM(Table1[[#This Row],[Chu Kept]],Table1[[#This Row],[Chu Released]])</f>
        <v>0</v>
      </c>
    </row>
    <row r="360" spans="1:29" x14ac:dyDescent="0.3">
      <c r="A360" s="7">
        <v>45934</v>
      </c>
      <c r="B360">
        <v>7</v>
      </c>
      <c r="C360" t="s">
        <v>250</v>
      </c>
      <c r="D360" t="s">
        <v>26</v>
      </c>
      <c r="E360">
        <v>3</v>
      </c>
      <c r="F360">
        <v>2</v>
      </c>
      <c r="G360">
        <v>2</v>
      </c>
      <c r="H360" t="s">
        <v>241</v>
      </c>
      <c r="I360">
        <v>1</v>
      </c>
      <c r="J360" s="10">
        <v>0.29166666666666669</v>
      </c>
      <c r="K360" s="10">
        <v>0.37916666666666665</v>
      </c>
      <c r="L360" s="10">
        <f t="shared" si="11"/>
        <v>8.7499999999999967E-2</v>
      </c>
      <c r="M360" s="12">
        <f t="shared" si="10"/>
        <v>2.0999999999999992</v>
      </c>
      <c r="N360" s="12">
        <f>Table1[[#This Row],[Trip Hours]]*Table1[[#This Row],['#Angler]]</f>
        <v>2.0999999999999992</v>
      </c>
      <c r="O360" t="s">
        <v>342</v>
      </c>
      <c r="Q360" t="s">
        <v>247</v>
      </c>
      <c r="R360" s="11">
        <v>0</v>
      </c>
      <c r="S360">
        <v>0</v>
      </c>
      <c r="T360">
        <v>0</v>
      </c>
      <c r="U360">
        <v>0</v>
      </c>
      <c r="V360" s="11">
        <v>0</v>
      </c>
      <c r="W360">
        <v>0</v>
      </c>
      <c r="X360">
        <v>0</v>
      </c>
      <c r="Y360">
        <v>0</v>
      </c>
      <c r="Z360" s="11">
        <f>SUM(Table1[[#This Row],[Chi Kept]],Table1[[#This Row],[Chi Released]])</f>
        <v>0</v>
      </c>
      <c r="AA360">
        <f>SUM(Table1[[#This Row],[Co Kept]],Table1[[#This Row],[Co Released ]])</f>
        <v>0</v>
      </c>
      <c r="AB360">
        <f>SUM(Table1[[#This Row],[Pink Kept]],Table1[[#This Row],[Pink Released]])</f>
        <v>0</v>
      </c>
      <c r="AC360">
        <f>SUM(Table1[[#This Row],[Chu Kept]],Table1[[#This Row],[Chu Released]])</f>
        <v>0</v>
      </c>
    </row>
    <row r="361" spans="1:29" x14ac:dyDescent="0.3">
      <c r="A361" s="7">
        <v>45934</v>
      </c>
      <c r="B361">
        <v>7</v>
      </c>
      <c r="C361" t="s">
        <v>250</v>
      </c>
      <c r="D361" t="s">
        <v>26</v>
      </c>
      <c r="E361">
        <v>4</v>
      </c>
      <c r="F361">
        <v>2</v>
      </c>
      <c r="G361">
        <v>2</v>
      </c>
      <c r="H361" t="s">
        <v>241</v>
      </c>
      <c r="I361">
        <v>1</v>
      </c>
      <c r="J361" s="10">
        <v>0.29166666666666669</v>
      </c>
      <c r="K361" s="10">
        <v>0.38750000000000001</v>
      </c>
      <c r="L361" s="10">
        <f t="shared" si="11"/>
        <v>9.5833333333333326E-2</v>
      </c>
      <c r="M361" s="12">
        <f t="shared" si="10"/>
        <v>2.2999999999999998</v>
      </c>
      <c r="N361" s="12">
        <f>Table1[[#This Row],[Trip Hours]]*Table1[[#This Row],['#Angler]]</f>
        <v>2.2999999999999998</v>
      </c>
      <c r="O361" t="s">
        <v>342</v>
      </c>
      <c r="Q361" t="s">
        <v>247</v>
      </c>
      <c r="R361" s="11">
        <v>0</v>
      </c>
      <c r="S361">
        <v>0</v>
      </c>
      <c r="T361">
        <v>0</v>
      </c>
      <c r="U361">
        <v>0</v>
      </c>
      <c r="V361" s="11">
        <v>0</v>
      </c>
      <c r="W361">
        <v>0</v>
      </c>
      <c r="X361">
        <v>0</v>
      </c>
      <c r="Y361">
        <v>0</v>
      </c>
      <c r="Z361" s="11">
        <f>SUM(Table1[[#This Row],[Chi Kept]],Table1[[#This Row],[Chi Released]])</f>
        <v>0</v>
      </c>
      <c r="AA361">
        <f>SUM(Table1[[#This Row],[Co Kept]],Table1[[#This Row],[Co Released ]])</f>
        <v>0</v>
      </c>
      <c r="AB361">
        <f>SUM(Table1[[#This Row],[Pink Kept]],Table1[[#This Row],[Pink Released]])</f>
        <v>0</v>
      </c>
      <c r="AC361">
        <f>SUM(Table1[[#This Row],[Chu Kept]],Table1[[#This Row],[Chu Released]])</f>
        <v>0</v>
      </c>
    </row>
    <row r="362" spans="1:29" x14ac:dyDescent="0.3">
      <c r="A362" s="7">
        <v>45934</v>
      </c>
      <c r="B362">
        <v>7</v>
      </c>
      <c r="C362" t="s">
        <v>250</v>
      </c>
      <c r="D362" t="s">
        <v>26</v>
      </c>
      <c r="E362">
        <v>5</v>
      </c>
      <c r="F362">
        <v>2</v>
      </c>
      <c r="G362">
        <v>2</v>
      </c>
      <c r="H362" t="s">
        <v>241</v>
      </c>
      <c r="I362">
        <v>1</v>
      </c>
      <c r="J362" s="10">
        <v>0.25</v>
      </c>
      <c r="K362" s="10">
        <v>0.38750000000000001</v>
      </c>
      <c r="L362" s="10">
        <f t="shared" si="11"/>
        <v>0.13750000000000001</v>
      </c>
      <c r="M362" s="12">
        <f t="shared" si="10"/>
        <v>3.3000000000000003</v>
      </c>
      <c r="N362" s="12">
        <f>Table1[[#This Row],[Trip Hours]]*Table1[[#This Row],['#Angler]]</f>
        <v>3.3000000000000003</v>
      </c>
      <c r="O362" t="s">
        <v>342</v>
      </c>
      <c r="Q362" t="s">
        <v>247</v>
      </c>
      <c r="R362" s="11">
        <v>0</v>
      </c>
      <c r="S362">
        <v>0</v>
      </c>
      <c r="T362">
        <v>0</v>
      </c>
      <c r="U362">
        <v>0</v>
      </c>
      <c r="V362" s="11">
        <v>0</v>
      </c>
      <c r="W362">
        <v>0</v>
      </c>
      <c r="X362">
        <v>0</v>
      </c>
      <c r="Y362">
        <v>0</v>
      </c>
      <c r="Z362" s="11">
        <f>SUM(Table1[[#This Row],[Chi Kept]],Table1[[#This Row],[Chi Released]])</f>
        <v>0</v>
      </c>
      <c r="AA362">
        <f>SUM(Table1[[#This Row],[Co Kept]],Table1[[#This Row],[Co Released ]])</f>
        <v>0</v>
      </c>
      <c r="AB362">
        <f>SUM(Table1[[#This Row],[Pink Kept]],Table1[[#This Row],[Pink Released]])</f>
        <v>0</v>
      </c>
      <c r="AC362">
        <f>SUM(Table1[[#This Row],[Chu Kept]],Table1[[#This Row],[Chu Released]])</f>
        <v>0</v>
      </c>
    </row>
    <row r="363" spans="1:29" x14ac:dyDescent="0.3">
      <c r="A363" s="7">
        <v>45934</v>
      </c>
      <c r="B363">
        <v>7</v>
      </c>
      <c r="C363" t="s">
        <v>250</v>
      </c>
      <c r="D363" t="s">
        <v>26</v>
      </c>
      <c r="E363">
        <v>6</v>
      </c>
      <c r="F363">
        <v>2</v>
      </c>
      <c r="G363">
        <v>2</v>
      </c>
      <c r="H363" t="s">
        <v>241</v>
      </c>
      <c r="I363">
        <v>2</v>
      </c>
      <c r="J363" s="10">
        <v>0.29166666666666669</v>
      </c>
      <c r="K363" s="10">
        <v>0.39444444444444443</v>
      </c>
      <c r="L363" s="10">
        <f t="shared" si="11"/>
        <v>0.10277777777777775</v>
      </c>
      <c r="M363" s="12">
        <f t="shared" si="10"/>
        <v>2.4666666666666659</v>
      </c>
      <c r="N363" s="12">
        <f>Table1[[#This Row],[Trip Hours]]*Table1[[#This Row],['#Angler]]</f>
        <v>4.9333333333333318</v>
      </c>
      <c r="O363" t="s">
        <v>342</v>
      </c>
      <c r="P363" t="s">
        <v>56</v>
      </c>
      <c r="Q363" t="s">
        <v>247</v>
      </c>
      <c r="R363" s="11">
        <v>0</v>
      </c>
      <c r="S363">
        <v>0</v>
      </c>
      <c r="T363">
        <v>0</v>
      </c>
      <c r="U363">
        <v>0</v>
      </c>
      <c r="V363" s="11">
        <v>0</v>
      </c>
      <c r="W363">
        <v>0</v>
      </c>
      <c r="X363">
        <v>0</v>
      </c>
      <c r="Y363">
        <v>0</v>
      </c>
      <c r="Z363" s="11">
        <f>SUM(Table1[[#This Row],[Chi Kept]],Table1[[#This Row],[Chi Released]])</f>
        <v>0</v>
      </c>
      <c r="AA363">
        <f>SUM(Table1[[#This Row],[Co Kept]],Table1[[#This Row],[Co Released ]])</f>
        <v>0</v>
      </c>
      <c r="AB363">
        <f>SUM(Table1[[#This Row],[Pink Kept]],Table1[[#This Row],[Pink Released]])</f>
        <v>0</v>
      </c>
      <c r="AC363">
        <f>SUM(Table1[[#This Row],[Chu Kept]],Table1[[#This Row],[Chu Released]])</f>
        <v>0</v>
      </c>
    </row>
    <row r="364" spans="1:29" x14ac:dyDescent="0.3">
      <c r="A364" s="7">
        <v>45934</v>
      </c>
      <c r="B364">
        <v>7</v>
      </c>
      <c r="C364" t="s">
        <v>250</v>
      </c>
      <c r="D364" t="s">
        <v>26</v>
      </c>
      <c r="E364">
        <v>7</v>
      </c>
      <c r="F364">
        <v>2</v>
      </c>
      <c r="G364">
        <v>2</v>
      </c>
      <c r="H364" t="s">
        <v>241</v>
      </c>
      <c r="I364">
        <v>1</v>
      </c>
      <c r="J364" s="10">
        <v>0.375</v>
      </c>
      <c r="K364" s="10">
        <v>0.39791666666666664</v>
      </c>
      <c r="L364" s="10">
        <f t="shared" si="11"/>
        <v>2.2916666666666641E-2</v>
      </c>
      <c r="M364" s="12">
        <f t="shared" si="10"/>
        <v>0.54999999999999938</v>
      </c>
      <c r="N364" s="12">
        <f>Table1[[#This Row],[Trip Hours]]*Table1[[#This Row],['#Angler]]</f>
        <v>0.54999999999999938</v>
      </c>
      <c r="O364" t="s">
        <v>342</v>
      </c>
      <c r="Q364" t="s">
        <v>247</v>
      </c>
      <c r="R364" s="11">
        <v>0</v>
      </c>
      <c r="S364">
        <v>0</v>
      </c>
      <c r="T364">
        <v>0</v>
      </c>
      <c r="U364">
        <v>0</v>
      </c>
      <c r="V364" s="11">
        <v>0</v>
      </c>
      <c r="W364">
        <v>0</v>
      </c>
      <c r="X364">
        <v>0</v>
      </c>
      <c r="Y364">
        <v>0</v>
      </c>
      <c r="Z364" s="11">
        <f>SUM(Table1[[#This Row],[Chi Kept]],Table1[[#This Row],[Chi Released]])</f>
        <v>0</v>
      </c>
      <c r="AA364">
        <f>SUM(Table1[[#This Row],[Co Kept]],Table1[[#This Row],[Co Released ]])</f>
        <v>0</v>
      </c>
      <c r="AB364">
        <f>SUM(Table1[[#This Row],[Pink Kept]],Table1[[#This Row],[Pink Released]])</f>
        <v>0</v>
      </c>
      <c r="AC364">
        <f>SUM(Table1[[#This Row],[Chu Kept]],Table1[[#This Row],[Chu Released]])</f>
        <v>0</v>
      </c>
    </row>
    <row r="365" spans="1:29" x14ac:dyDescent="0.3">
      <c r="A365" s="7">
        <v>45934</v>
      </c>
      <c r="B365">
        <v>7</v>
      </c>
      <c r="C365" t="s">
        <v>250</v>
      </c>
      <c r="D365" t="s">
        <v>26</v>
      </c>
      <c r="E365">
        <v>8</v>
      </c>
      <c r="F365">
        <v>2</v>
      </c>
      <c r="G365">
        <v>2</v>
      </c>
      <c r="H365" t="s">
        <v>241</v>
      </c>
      <c r="I365">
        <v>1</v>
      </c>
      <c r="J365" s="10">
        <v>0.33333333333333331</v>
      </c>
      <c r="K365" s="10">
        <v>0.39791666666666664</v>
      </c>
      <c r="L365" s="10">
        <f t="shared" si="11"/>
        <v>6.4583333333333326E-2</v>
      </c>
      <c r="M365" s="12">
        <f t="shared" si="10"/>
        <v>1.5499999999999998</v>
      </c>
      <c r="N365" s="12">
        <f>Table1[[#This Row],[Trip Hours]]*Table1[[#This Row],['#Angler]]</f>
        <v>1.5499999999999998</v>
      </c>
      <c r="O365" t="s">
        <v>342</v>
      </c>
      <c r="Q365" t="s">
        <v>247</v>
      </c>
      <c r="R365" s="11">
        <v>0</v>
      </c>
      <c r="S365">
        <v>0</v>
      </c>
      <c r="T365">
        <v>0</v>
      </c>
      <c r="U365">
        <v>0</v>
      </c>
      <c r="V365" s="11">
        <v>0</v>
      </c>
      <c r="W365">
        <v>0</v>
      </c>
      <c r="X365">
        <v>0</v>
      </c>
      <c r="Y365">
        <v>0</v>
      </c>
      <c r="Z365" s="11">
        <f>SUM(Table1[[#This Row],[Chi Kept]],Table1[[#This Row],[Chi Released]])</f>
        <v>0</v>
      </c>
      <c r="AA365">
        <f>SUM(Table1[[#This Row],[Co Kept]],Table1[[#This Row],[Co Released ]])</f>
        <v>0</v>
      </c>
      <c r="AB365">
        <f>SUM(Table1[[#This Row],[Pink Kept]],Table1[[#This Row],[Pink Released]])</f>
        <v>0</v>
      </c>
      <c r="AC365">
        <f>SUM(Table1[[#This Row],[Chu Kept]],Table1[[#This Row],[Chu Released]])</f>
        <v>0</v>
      </c>
    </row>
    <row r="366" spans="1:29" x14ac:dyDescent="0.3">
      <c r="A366" s="7">
        <v>45934</v>
      </c>
      <c r="B366">
        <v>7</v>
      </c>
      <c r="C366" t="s">
        <v>250</v>
      </c>
      <c r="D366" t="s">
        <v>26</v>
      </c>
      <c r="E366">
        <v>9</v>
      </c>
      <c r="F366">
        <v>2</v>
      </c>
      <c r="G366">
        <v>2</v>
      </c>
      <c r="H366" t="s">
        <v>241</v>
      </c>
      <c r="I366">
        <v>1</v>
      </c>
      <c r="J366" s="10">
        <v>0.3125</v>
      </c>
      <c r="K366" s="10">
        <v>0.39791666666666664</v>
      </c>
      <c r="L366" s="10">
        <f t="shared" si="11"/>
        <v>8.5416666666666641E-2</v>
      </c>
      <c r="M366" s="12">
        <f t="shared" si="10"/>
        <v>2.0499999999999994</v>
      </c>
      <c r="N366" s="12">
        <f>Table1[[#This Row],[Trip Hours]]*Table1[[#This Row],['#Angler]]</f>
        <v>2.0499999999999994</v>
      </c>
      <c r="O366" t="s">
        <v>342</v>
      </c>
      <c r="Q366" t="s">
        <v>247</v>
      </c>
      <c r="R366" s="11">
        <v>0</v>
      </c>
      <c r="S366">
        <v>1</v>
      </c>
      <c r="T366">
        <v>0</v>
      </c>
      <c r="U366">
        <v>0</v>
      </c>
      <c r="V366" s="11">
        <v>0</v>
      </c>
      <c r="W366">
        <v>0</v>
      </c>
      <c r="X366">
        <v>0</v>
      </c>
      <c r="Y366">
        <v>0</v>
      </c>
      <c r="Z366" s="11">
        <f>SUM(Table1[[#This Row],[Chi Kept]],Table1[[#This Row],[Chi Released]])</f>
        <v>0</v>
      </c>
      <c r="AA366">
        <f>SUM(Table1[[#This Row],[Co Kept]],Table1[[#This Row],[Co Released ]])</f>
        <v>1</v>
      </c>
      <c r="AB366">
        <f>SUM(Table1[[#This Row],[Pink Kept]],Table1[[#This Row],[Pink Released]])</f>
        <v>0</v>
      </c>
      <c r="AC366">
        <f>SUM(Table1[[#This Row],[Chu Kept]],Table1[[#This Row],[Chu Released]])</f>
        <v>0</v>
      </c>
    </row>
    <row r="367" spans="1:29" x14ac:dyDescent="0.3">
      <c r="A367" s="7">
        <v>45934</v>
      </c>
      <c r="B367">
        <v>7</v>
      </c>
      <c r="C367" t="s">
        <v>250</v>
      </c>
      <c r="D367" t="s">
        <v>26</v>
      </c>
      <c r="E367">
        <v>10</v>
      </c>
      <c r="F367">
        <v>2</v>
      </c>
      <c r="G367">
        <v>2</v>
      </c>
      <c r="H367" t="s">
        <v>241</v>
      </c>
      <c r="I367">
        <v>1</v>
      </c>
      <c r="J367" s="10">
        <v>0.29166666666666669</v>
      </c>
      <c r="K367" s="10">
        <v>0.40208333333333335</v>
      </c>
      <c r="L367" s="10">
        <f t="shared" si="11"/>
        <v>0.11041666666666666</v>
      </c>
      <c r="M367" s="12">
        <f t="shared" si="10"/>
        <v>2.65</v>
      </c>
      <c r="N367" s="12">
        <f>Table1[[#This Row],[Trip Hours]]*Table1[[#This Row],['#Angler]]</f>
        <v>2.65</v>
      </c>
      <c r="O367" t="s">
        <v>342</v>
      </c>
      <c r="Q367" t="s">
        <v>247</v>
      </c>
      <c r="R367" s="11">
        <v>0</v>
      </c>
      <c r="S367">
        <v>0</v>
      </c>
      <c r="T367">
        <v>0</v>
      </c>
      <c r="U367">
        <v>0</v>
      </c>
      <c r="V367" s="11">
        <v>0</v>
      </c>
      <c r="W367">
        <v>0</v>
      </c>
      <c r="X367">
        <v>0</v>
      </c>
      <c r="Y367">
        <v>0</v>
      </c>
      <c r="Z367" s="11">
        <f>SUM(Table1[[#This Row],[Chi Kept]],Table1[[#This Row],[Chi Released]])</f>
        <v>0</v>
      </c>
      <c r="AA367">
        <f>SUM(Table1[[#This Row],[Co Kept]],Table1[[#This Row],[Co Released ]])</f>
        <v>0</v>
      </c>
      <c r="AB367">
        <f>SUM(Table1[[#This Row],[Pink Kept]],Table1[[#This Row],[Pink Released]])</f>
        <v>0</v>
      </c>
      <c r="AC367">
        <f>SUM(Table1[[#This Row],[Chu Kept]],Table1[[#This Row],[Chu Released]])</f>
        <v>0</v>
      </c>
    </row>
    <row r="368" spans="1:29" x14ac:dyDescent="0.3">
      <c r="A368" s="7">
        <v>45934</v>
      </c>
      <c r="B368">
        <v>7</v>
      </c>
      <c r="C368" t="s">
        <v>250</v>
      </c>
      <c r="D368" t="s">
        <v>26</v>
      </c>
      <c r="E368">
        <v>11</v>
      </c>
      <c r="F368">
        <v>1</v>
      </c>
      <c r="G368">
        <v>1</v>
      </c>
      <c r="H368" t="s">
        <v>344</v>
      </c>
      <c r="I368">
        <v>2</v>
      </c>
      <c r="J368" s="10">
        <v>0.3125</v>
      </c>
      <c r="K368" s="10">
        <v>0.45</v>
      </c>
      <c r="L368" s="10">
        <f t="shared" si="11"/>
        <v>0.13750000000000001</v>
      </c>
      <c r="M368" s="12">
        <f t="shared" si="10"/>
        <v>3.3000000000000003</v>
      </c>
      <c r="N368" s="12">
        <f>Table1[[#This Row],[Trip Hours]]*Table1[[#This Row],['#Angler]]</f>
        <v>6.6000000000000005</v>
      </c>
      <c r="O368" t="s">
        <v>342</v>
      </c>
      <c r="Q368" t="s">
        <v>241</v>
      </c>
      <c r="R368" s="11">
        <v>0</v>
      </c>
      <c r="S368">
        <v>0</v>
      </c>
      <c r="T368">
        <v>0</v>
      </c>
      <c r="U368">
        <v>0</v>
      </c>
      <c r="V368" s="11">
        <v>0</v>
      </c>
      <c r="W368">
        <v>0</v>
      </c>
      <c r="X368">
        <v>0</v>
      </c>
      <c r="Y368">
        <v>0</v>
      </c>
      <c r="Z368" s="11">
        <f>SUM(Table1[[#This Row],[Chi Kept]],Table1[[#This Row],[Chi Released]])</f>
        <v>0</v>
      </c>
      <c r="AA368">
        <f>SUM(Table1[[#This Row],[Co Kept]],Table1[[#This Row],[Co Released ]])</f>
        <v>0</v>
      </c>
      <c r="AB368">
        <f>SUM(Table1[[#This Row],[Pink Kept]],Table1[[#This Row],[Pink Released]])</f>
        <v>0</v>
      </c>
      <c r="AC368">
        <f>SUM(Table1[[#This Row],[Chu Kept]],Table1[[#This Row],[Chu Released]])</f>
        <v>0</v>
      </c>
    </row>
    <row r="369" spans="1:29" x14ac:dyDescent="0.3">
      <c r="A369" s="7">
        <v>45934</v>
      </c>
      <c r="B369">
        <v>7</v>
      </c>
      <c r="C369" t="s">
        <v>250</v>
      </c>
      <c r="D369" t="s">
        <v>26</v>
      </c>
      <c r="E369">
        <v>12</v>
      </c>
      <c r="F369">
        <v>1</v>
      </c>
      <c r="G369">
        <v>1</v>
      </c>
      <c r="H369" t="s">
        <v>344</v>
      </c>
      <c r="I369">
        <v>4</v>
      </c>
      <c r="J369" s="10">
        <v>0.27083333333333331</v>
      </c>
      <c r="K369" s="10">
        <v>0.45</v>
      </c>
      <c r="L369" s="10">
        <f t="shared" si="11"/>
        <v>0.1791666666666667</v>
      </c>
      <c r="M369" s="12">
        <f t="shared" si="10"/>
        <v>4.3000000000000007</v>
      </c>
      <c r="N369" s="12">
        <f>Table1[[#This Row],[Trip Hours]]*Table1[[#This Row],['#Angler]]</f>
        <v>17.200000000000003</v>
      </c>
      <c r="O369" t="s">
        <v>342</v>
      </c>
      <c r="Q369" t="s">
        <v>247</v>
      </c>
      <c r="R369" s="11">
        <v>0</v>
      </c>
      <c r="S369">
        <v>1</v>
      </c>
      <c r="T369">
        <v>0</v>
      </c>
      <c r="U369">
        <v>0</v>
      </c>
      <c r="V369" s="11">
        <v>0</v>
      </c>
      <c r="W369">
        <v>0</v>
      </c>
      <c r="X369">
        <v>0</v>
      </c>
      <c r="Y369">
        <v>0</v>
      </c>
      <c r="Z369" s="11">
        <f>SUM(Table1[[#This Row],[Chi Kept]],Table1[[#This Row],[Chi Released]])</f>
        <v>0</v>
      </c>
      <c r="AA369">
        <f>SUM(Table1[[#This Row],[Co Kept]],Table1[[#This Row],[Co Released ]])</f>
        <v>1</v>
      </c>
      <c r="AB369">
        <f>SUM(Table1[[#This Row],[Pink Kept]],Table1[[#This Row],[Pink Released]])</f>
        <v>0</v>
      </c>
      <c r="AC369">
        <f>SUM(Table1[[#This Row],[Chu Kept]],Table1[[#This Row],[Chu Released]])</f>
        <v>0</v>
      </c>
    </row>
    <row r="370" spans="1:29" x14ac:dyDescent="0.3">
      <c r="A370" s="7">
        <v>45934</v>
      </c>
      <c r="B370">
        <v>7</v>
      </c>
      <c r="C370" t="s">
        <v>250</v>
      </c>
      <c r="D370" t="s">
        <v>26</v>
      </c>
      <c r="E370">
        <v>13</v>
      </c>
      <c r="F370">
        <v>1</v>
      </c>
      <c r="G370">
        <v>1</v>
      </c>
      <c r="H370" t="s">
        <v>344</v>
      </c>
      <c r="I370">
        <v>1</v>
      </c>
      <c r="J370" s="10">
        <v>0.3125</v>
      </c>
      <c r="K370" s="10">
        <v>0.46250000000000002</v>
      </c>
      <c r="L370" s="10">
        <f t="shared" si="11"/>
        <v>0.15000000000000002</v>
      </c>
      <c r="M370" s="12">
        <f t="shared" si="10"/>
        <v>3.6000000000000005</v>
      </c>
      <c r="N370" s="12">
        <f>Table1[[#This Row],[Trip Hours]]*Table1[[#This Row],['#Angler]]</f>
        <v>3.6000000000000005</v>
      </c>
      <c r="O370" t="s">
        <v>342</v>
      </c>
      <c r="Q370" t="s">
        <v>247</v>
      </c>
      <c r="R370" s="11">
        <v>0</v>
      </c>
      <c r="S370">
        <v>0</v>
      </c>
      <c r="T370">
        <v>0</v>
      </c>
      <c r="U370">
        <v>0</v>
      </c>
      <c r="V370" s="11">
        <v>0</v>
      </c>
      <c r="W370">
        <v>0</v>
      </c>
      <c r="X370">
        <v>0</v>
      </c>
      <c r="Y370">
        <v>0</v>
      </c>
      <c r="Z370" s="11">
        <f>SUM(Table1[[#This Row],[Chi Kept]],Table1[[#This Row],[Chi Released]])</f>
        <v>0</v>
      </c>
      <c r="AA370">
        <f>SUM(Table1[[#This Row],[Co Kept]],Table1[[#This Row],[Co Released ]])</f>
        <v>0</v>
      </c>
      <c r="AB370">
        <f>SUM(Table1[[#This Row],[Pink Kept]],Table1[[#This Row],[Pink Released]])</f>
        <v>0</v>
      </c>
      <c r="AC370">
        <f>SUM(Table1[[#This Row],[Chu Kept]],Table1[[#This Row],[Chu Released]])</f>
        <v>0</v>
      </c>
    </row>
    <row r="371" spans="1:29" x14ac:dyDescent="0.3">
      <c r="A371" s="7">
        <v>45934</v>
      </c>
      <c r="B371">
        <v>7</v>
      </c>
      <c r="C371" t="s">
        <v>250</v>
      </c>
      <c r="D371" t="s">
        <v>42</v>
      </c>
      <c r="E371">
        <v>14</v>
      </c>
      <c r="F371">
        <v>2</v>
      </c>
      <c r="G371">
        <v>4</v>
      </c>
      <c r="H371" t="s">
        <v>241</v>
      </c>
      <c r="I371">
        <v>3</v>
      </c>
      <c r="J371" s="10">
        <v>0.59375</v>
      </c>
      <c r="K371" s="10">
        <v>0.66180555555555554</v>
      </c>
      <c r="L371" s="10">
        <f t="shared" si="11"/>
        <v>6.8055555555555536E-2</v>
      </c>
      <c r="M371" s="12">
        <f t="shared" si="10"/>
        <v>1.6333333333333329</v>
      </c>
      <c r="N371" s="12">
        <f>Table1[[#This Row],[Trip Hours]]*Table1[[#This Row],['#Angler]]</f>
        <v>4.8999999999999986</v>
      </c>
      <c r="O371" t="s">
        <v>342</v>
      </c>
      <c r="Q371" t="s">
        <v>238</v>
      </c>
      <c r="R371" s="11">
        <v>0</v>
      </c>
      <c r="S371">
        <v>0</v>
      </c>
      <c r="T371">
        <v>0</v>
      </c>
      <c r="U371">
        <v>0</v>
      </c>
      <c r="V371" s="11">
        <v>0</v>
      </c>
      <c r="W371">
        <v>0</v>
      </c>
      <c r="X371">
        <v>0</v>
      </c>
      <c r="Y371">
        <v>0</v>
      </c>
      <c r="Z371" s="11">
        <f>SUM(Table1[[#This Row],[Chi Kept]],Table1[[#This Row],[Chi Released]])</f>
        <v>0</v>
      </c>
      <c r="AA371">
        <f>SUM(Table1[[#This Row],[Co Kept]],Table1[[#This Row],[Co Released ]])</f>
        <v>0</v>
      </c>
      <c r="AB371">
        <f>SUM(Table1[[#This Row],[Pink Kept]],Table1[[#This Row],[Pink Released]])</f>
        <v>0</v>
      </c>
      <c r="AC371">
        <f>SUM(Table1[[#This Row],[Chu Kept]],Table1[[#This Row],[Chu Released]])</f>
        <v>0</v>
      </c>
    </row>
    <row r="372" spans="1:29" x14ac:dyDescent="0.3">
      <c r="A372" s="7">
        <v>45934</v>
      </c>
      <c r="B372">
        <v>7</v>
      </c>
      <c r="C372" t="s">
        <v>250</v>
      </c>
      <c r="D372" t="s">
        <v>42</v>
      </c>
      <c r="E372">
        <v>15</v>
      </c>
      <c r="F372">
        <v>3</v>
      </c>
      <c r="G372">
        <v>8</v>
      </c>
      <c r="H372" t="s">
        <v>241</v>
      </c>
      <c r="I372">
        <v>2</v>
      </c>
      <c r="J372" s="10">
        <v>0.66666666666666663</v>
      </c>
      <c r="K372" s="10">
        <v>0.75</v>
      </c>
      <c r="L372" s="10">
        <f t="shared" si="11"/>
        <v>8.333333333333337E-2</v>
      </c>
      <c r="M372" s="12">
        <f t="shared" si="10"/>
        <v>2.0000000000000009</v>
      </c>
      <c r="N372" s="12">
        <f>Table1[[#This Row],[Trip Hours]]*Table1[[#This Row],['#Angler]]</f>
        <v>4.0000000000000018</v>
      </c>
      <c r="O372" t="s">
        <v>342</v>
      </c>
      <c r="R372" s="11">
        <v>0</v>
      </c>
      <c r="S372">
        <v>0</v>
      </c>
      <c r="T372">
        <v>0</v>
      </c>
      <c r="U372">
        <v>0</v>
      </c>
      <c r="V372" s="11">
        <v>1</v>
      </c>
      <c r="W372">
        <v>0</v>
      </c>
      <c r="X372">
        <v>12</v>
      </c>
      <c r="Y372">
        <v>0</v>
      </c>
      <c r="Z372" s="11">
        <f>SUM(Table1[[#This Row],[Chi Kept]],Table1[[#This Row],[Chi Released]])</f>
        <v>1</v>
      </c>
      <c r="AA372">
        <f>SUM(Table1[[#This Row],[Co Kept]],Table1[[#This Row],[Co Released ]])</f>
        <v>0</v>
      </c>
      <c r="AB372">
        <f>SUM(Table1[[#This Row],[Pink Kept]],Table1[[#This Row],[Pink Released]])</f>
        <v>12</v>
      </c>
      <c r="AC372">
        <f>SUM(Table1[[#This Row],[Chu Kept]],Table1[[#This Row],[Chu Released]])</f>
        <v>0</v>
      </c>
    </row>
    <row r="373" spans="1:29" x14ac:dyDescent="0.3">
      <c r="A373" s="7">
        <v>45934</v>
      </c>
      <c r="B373">
        <v>7</v>
      </c>
      <c r="C373" t="s">
        <v>250</v>
      </c>
      <c r="D373" t="s">
        <v>42</v>
      </c>
      <c r="E373">
        <v>16</v>
      </c>
      <c r="F373">
        <v>3</v>
      </c>
      <c r="G373">
        <v>8</v>
      </c>
      <c r="H373" t="s">
        <v>241</v>
      </c>
      <c r="I373">
        <v>2</v>
      </c>
      <c r="J373" s="10">
        <v>0.59375</v>
      </c>
      <c r="K373" s="10">
        <v>0.75208333333333333</v>
      </c>
      <c r="L373" s="10">
        <f t="shared" si="11"/>
        <v>0.15833333333333333</v>
      </c>
      <c r="M373" s="12">
        <f t="shared" si="10"/>
        <v>3.8</v>
      </c>
      <c r="N373" s="12">
        <f>Table1[[#This Row],[Trip Hours]]*Table1[[#This Row],['#Angler]]</f>
        <v>7.6</v>
      </c>
      <c r="O373" t="s">
        <v>342</v>
      </c>
      <c r="P373" t="s">
        <v>148</v>
      </c>
      <c r="Q373" t="s">
        <v>247</v>
      </c>
      <c r="R373" s="11">
        <v>0</v>
      </c>
      <c r="S373">
        <v>2</v>
      </c>
      <c r="T373">
        <v>0</v>
      </c>
      <c r="U373">
        <v>0</v>
      </c>
      <c r="V373" s="11">
        <v>0</v>
      </c>
      <c r="W373">
        <v>0</v>
      </c>
      <c r="X373">
        <v>0</v>
      </c>
      <c r="Y373">
        <v>0</v>
      </c>
      <c r="Z373" s="11">
        <f>SUM(Table1[[#This Row],[Chi Kept]],Table1[[#This Row],[Chi Released]])</f>
        <v>0</v>
      </c>
      <c r="AA373">
        <f>SUM(Table1[[#This Row],[Co Kept]],Table1[[#This Row],[Co Released ]])</f>
        <v>2</v>
      </c>
      <c r="AB373">
        <f>SUM(Table1[[#This Row],[Pink Kept]],Table1[[#This Row],[Pink Released]])</f>
        <v>0</v>
      </c>
      <c r="AC373">
        <f>SUM(Table1[[#This Row],[Chu Kept]],Table1[[#This Row],[Chu Released]])</f>
        <v>0</v>
      </c>
    </row>
    <row r="374" spans="1:29" x14ac:dyDescent="0.3">
      <c r="A374" s="7">
        <v>45934</v>
      </c>
      <c r="B374">
        <v>7</v>
      </c>
      <c r="C374" t="s">
        <v>250</v>
      </c>
      <c r="D374" t="s">
        <v>42</v>
      </c>
      <c r="E374">
        <v>17</v>
      </c>
      <c r="F374">
        <v>3</v>
      </c>
      <c r="G374">
        <v>8</v>
      </c>
      <c r="H374" t="s">
        <v>241</v>
      </c>
      <c r="I374">
        <v>2</v>
      </c>
      <c r="J374" s="10">
        <v>0.70833333333333337</v>
      </c>
      <c r="K374" s="10">
        <v>0.75277777777777777</v>
      </c>
      <c r="L374" s="10">
        <f t="shared" si="11"/>
        <v>4.4444444444444398E-2</v>
      </c>
      <c r="M374" s="12">
        <f t="shared" si="10"/>
        <v>1.0666666666666655</v>
      </c>
      <c r="N374" s="12">
        <f>Table1[[#This Row],[Trip Hours]]*Table1[[#This Row],['#Angler]]</f>
        <v>2.1333333333333311</v>
      </c>
      <c r="O374" t="s">
        <v>342</v>
      </c>
      <c r="P374" t="s">
        <v>29</v>
      </c>
      <c r="Q374" t="s">
        <v>238</v>
      </c>
      <c r="R374" s="11">
        <v>0</v>
      </c>
      <c r="S374">
        <v>0</v>
      </c>
      <c r="T374">
        <v>0</v>
      </c>
      <c r="U374">
        <v>0</v>
      </c>
      <c r="V374" s="11">
        <v>0</v>
      </c>
      <c r="W374">
        <v>0</v>
      </c>
      <c r="X374">
        <v>0</v>
      </c>
      <c r="Y374">
        <v>0</v>
      </c>
      <c r="Z374" s="11">
        <f>SUM(Table1[[#This Row],[Chi Kept]],Table1[[#This Row],[Chi Released]])</f>
        <v>0</v>
      </c>
      <c r="AA374">
        <f>SUM(Table1[[#This Row],[Co Kept]],Table1[[#This Row],[Co Released ]])</f>
        <v>0</v>
      </c>
      <c r="AB374">
        <f>SUM(Table1[[#This Row],[Pink Kept]],Table1[[#This Row],[Pink Released]])</f>
        <v>0</v>
      </c>
      <c r="AC374">
        <f>SUM(Table1[[#This Row],[Chu Kept]],Table1[[#This Row],[Chu Released]])</f>
        <v>0</v>
      </c>
    </row>
    <row r="375" spans="1:29" x14ac:dyDescent="0.3">
      <c r="A375" s="7">
        <v>45934</v>
      </c>
      <c r="B375">
        <v>7</v>
      </c>
      <c r="C375" t="s">
        <v>250</v>
      </c>
      <c r="D375" t="s">
        <v>42</v>
      </c>
      <c r="E375">
        <v>18</v>
      </c>
      <c r="F375">
        <v>3</v>
      </c>
      <c r="G375">
        <v>8</v>
      </c>
      <c r="H375" t="s">
        <v>241</v>
      </c>
      <c r="I375">
        <v>1</v>
      </c>
      <c r="J375" s="10">
        <v>0.66666666666666663</v>
      </c>
      <c r="K375" s="10">
        <v>0.75347222222222221</v>
      </c>
      <c r="L375" s="10">
        <f t="shared" si="11"/>
        <v>8.680555555555558E-2</v>
      </c>
      <c r="M375" s="12">
        <f t="shared" si="10"/>
        <v>2.0833333333333339</v>
      </c>
      <c r="N375" s="12">
        <f>Table1[[#This Row],[Trip Hours]]*Table1[[#This Row],['#Angler]]</f>
        <v>2.0833333333333339</v>
      </c>
      <c r="O375" t="s">
        <v>342</v>
      </c>
      <c r="Q375" t="s">
        <v>247</v>
      </c>
      <c r="R375" s="11">
        <v>0</v>
      </c>
      <c r="S375">
        <v>0</v>
      </c>
      <c r="T375">
        <v>0</v>
      </c>
      <c r="U375">
        <v>0</v>
      </c>
      <c r="V375" s="11">
        <v>0</v>
      </c>
      <c r="W375">
        <v>0</v>
      </c>
      <c r="X375">
        <v>0</v>
      </c>
      <c r="Y375">
        <v>0</v>
      </c>
      <c r="Z375" s="11">
        <f>SUM(Table1[[#This Row],[Chi Kept]],Table1[[#This Row],[Chi Released]])</f>
        <v>0</v>
      </c>
      <c r="AA375">
        <f>SUM(Table1[[#This Row],[Co Kept]],Table1[[#This Row],[Co Released ]])</f>
        <v>0</v>
      </c>
      <c r="AB375">
        <f>SUM(Table1[[#This Row],[Pink Kept]],Table1[[#This Row],[Pink Released]])</f>
        <v>0</v>
      </c>
      <c r="AC375">
        <f>SUM(Table1[[#This Row],[Chu Kept]],Table1[[#This Row],[Chu Released]])</f>
        <v>0</v>
      </c>
    </row>
    <row r="376" spans="1:29" x14ac:dyDescent="0.3">
      <c r="A376" s="7">
        <v>45934</v>
      </c>
      <c r="B376">
        <v>7</v>
      </c>
      <c r="C376" t="s">
        <v>250</v>
      </c>
      <c r="D376" t="s">
        <v>42</v>
      </c>
      <c r="E376">
        <v>19</v>
      </c>
      <c r="F376">
        <v>3</v>
      </c>
      <c r="G376">
        <v>8</v>
      </c>
      <c r="H376" t="s">
        <v>241</v>
      </c>
      <c r="I376">
        <v>1</v>
      </c>
      <c r="J376" s="10">
        <v>0.70833333333333337</v>
      </c>
      <c r="K376" s="10">
        <v>0.75416666666666665</v>
      </c>
      <c r="L376" s="10">
        <f t="shared" si="11"/>
        <v>4.5833333333333282E-2</v>
      </c>
      <c r="M376" s="12">
        <f t="shared" si="10"/>
        <v>1.0999999999999988</v>
      </c>
      <c r="N376" s="12">
        <f>Table1[[#This Row],[Trip Hours]]*Table1[[#This Row],['#Angler]]</f>
        <v>1.0999999999999988</v>
      </c>
      <c r="O376" t="s">
        <v>342</v>
      </c>
      <c r="Q376" t="s">
        <v>247</v>
      </c>
      <c r="R376" s="11">
        <v>0</v>
      </c>
      <c r="S376">
        <v>0</v>
      </c>
      <c r="T376">
        <v>0</v>
      </c>
      <c r="U376">
        <v>0</v>
      </c>
      <c r="V376" s="11">
        <v>0</v>
      </c>
      <c r="W376">
        <v>0</v>
      </c>
      <c r="X376">
        <v>0</v>
      </c>
      <c r="Y376">
        <v>0</v>
      </c>
      <c r="Z376" s="11">
        <f>SUM(Table1[[#This Row],[Chi Kept]],Table1[[#This Row],[Chi Released]])</f>
        <v>0</v>
      </c>
      <c r="AA376">
        <f>SUM(Table1[[#This Row],[Co Kept]],Table1[[#This Row],[Co Released ]])</f>
        <v>0</v>
      </c>
      <c r="AB376">
        <f>SUM(Table1[[#This Row],[Pink Kept]],Table1[[#This Row],[Pink Released]])</f>
        <v>0</v>
      </c>
      <c r="AC376">
        <f>SUM(Table1[[#This Row],[Chu Kept]],Table1[[#This Row],[Chu Released]])</f>
        <v>0</v>
      </c>
    </row>
    <row r="377" spans="1:29" x14ac:dyDescent="0.3">
      <c r="A377" s="7">
        <v>45938</v>
      </c>
      <c r="B377">
        <v>8</v>
      </c>
      <c r="C377" t="s">
        <v>236</v>
      </c>
      <c r="D377" t="s">
        <v>26</v>
      </c>
      <c r="E377">
        <v>1</v>
      </c>
      <c r="F377">
        <v>2</v>
      </c>
      <c r="G377">
        <v>4</v>
      </c>
      <c r="H377" t="s">
        <v>241</v>
      </c>
      <c r="I377">
        <v>1</v>
      </c>
      <c r="J377" s="10">
        <v>0.29166666666666669</v>
      </c>
      <c r="K377" s="10">
        <v>0.32916666666666666</v>
      </c>
      <c r="L377" s="10">
        <f t="shared" si="11"/>
        <v>3.7499999999999978E-2</v>
      </c>
      <c r="M377" s="12">
        <f t="shared" si="10"/>
        <v>0.89999999999999947</v>
      </c>
      <c r="N377" s="12">
        <f>Table1[[#This Row],[Trip Hours]]*Table1[[#This Row],['#Angler]]</f>
        <v>0.89999999999999947</v>
      </c>
      <c r="O377" t="s">
        <v>342</v>
      </c>
      <c r="P377" t="s">
        <v>363</v>
      </c>
      <c r="Q377" t="s">
        <v>247</v>
      </c>
      <c r="R377" s="11">
        <v>0</v>
      </c>
      <c r="S377">
        <v>0</v>
      </c>
      <c r="T377">
        <v>0</v>
      </c>
      <c r="U377">
        <v>0</v>
      </c>
      <c r="V377" s="11">
        <v>0</v>
      </c>
      <c r="W377">
        <v>0</v>
      </c>
      <c r="X377">
        <v>0</v>
      </c>
      <c r="Y377">
        <v>0</v>
      </c>
      <c r="Z377" s="11">
        <f>SUM(Table1[[#This Row],[Chi Kept]],Table1[[#This Row],[Chi Released]])</f>
        <v>0</v>
      </c>
      <c r="AA377">
        <f>SUM(Table1[[#This Row],[Co Kept]],Table1[[#This Row],[Co Released ]])</f>
        <v>0</v>
      </c>
      <c r="AB377">
        <f>SUM(Table1[[#This Row],[Pink Kept]],Table1[[#This Row],[Pink Released]])</f>
        <v>0</v>
      </c>
      <c r="AC377">
        <f>SUM(Table1[[#This Row],[Chu Kept]],Table1[[#This Row],[Chu Released]])</f>
        <v>0</v>
      </c>
    </row>
    <row r="378" spans="1:29" x14ac:dyDescent="0.3">
      <c r="A378" s="7">
        <v>45938</v>
      </c>
      <c r="B378">
        <v>8</v>
      </c>
      <c r="C378" t="s">
        <v>236</v>
      </c>
      <c r="D378" t="s">
        <v>42</v>
      </c>
      <c r="E378">
        <v>2</v>
      </c>
      <c r="F378">
        <v>2</v>
      </c>
      <c r="G378">
        <v>4</v>
      </c>
      <c r="H378" t="s">
        <v>241</v>
      </c>
      <c r="I378">
        <v>1</v>
      </c>
      <c r="J378" s="10">
        <v>0.60416666666666663</v>
      </c>
      <c r="K378" s="10">
        <v>0.6645833333333333</v>
      </c>
      <c r="L378" s="10">
        <f t="shared" si="11"/>
        <v>6.0416666666666674E-2</v>
      </c>
      <c r="M378" s="12">
        <f t="shared" si="10"/>
        <v>1.4500000000000002</v>
      </c>
      <c r="N378" s="12">
        <f>Table1[[#This Row],[Trip Hours]]*Table1[[#This Row],['#Angler]]</f>
        <v>1.4500000000000002</v>
      </c>
      <c r="O378" t="s">
        <v>342</v>
      </c>
      <c r="Q378" t="s">
        <v>247</v>
      </c>
      <c r="R378" s="11">
        <v>0</v>
      </c>
      <c r="S378">
        <v>0</v>
      </c>
      <c r="T378">
        <v>0</v>
      </c>
      <c r="U378">
        <v>0</v>
      </c>
      <c r="V378" s="11">
        <v>0</v>
      </c>
      <c r="W378">
        <v>0</v>
      </c>
      <c r="X378">
        <v>0</v>
      </c>
      <c r="Y378">
        <v>0</v>
      </c>
      <c r="Z378" s="11">
        <f>SUM(Table1[[#This Row],[Chi Kept]],Table1[[#This Row],[Chi Released]])</f>
        <v>0</v>
      </c>
      <c r="AA378">
        <f>SUM(Table1[[#This Row],[Co Kept]],Table1[[#This Row],[Co Released ]])</f>
        <v>0</v>
      </c>
      <c r="AB378">
        <f>SUM(Table1[[#This Row],[Pink Kept]],Table1[[#This Row],[Pink Released]])</f>
        <v>0</v>
      </c>
      <c r="AC378">
        <f>SUM(Table1[[#This Row],[Chu Kept]],Table1[[#This Row],[Chu Released]])</f>
        <v>0</v>
      </c>
    </row>
    <row r="379" spans="1:29" x14ac:dyDescent="0.3">
      <c r="A379" s="7">
        <v>45938</v>
      </c>
      <c r="B379">
        <v>8</v>
      </c>
      <c r="C379" t="s">
        <v>236</v>
      </c>
      <c r="D379" t="s">
        <v>42</v>
      </c>
      <c r="E379">
        <v>3</v>
      </c>
      <c r="F379">
        <v>2</v>
      </c>
      <c r="G379">
        <v>4</v>
      </c>
      <c r="H379" t="s">
        <v>241</v>
      </c>
      <c r="I379">
        <v>1</v>
      </c>
      <c r="J379" s="10">
        <v>0.58819444444444446</v>
      </c>
      <c r="K379" s="10">
        <v>0.72916666666666663</v>
      </c>
      <c r="L379" s="10">
        <f t="shared" si="11"/>
        <v>0.14097222222222217</v>
      </c>
      <c r="M379" s="12">
        <f t="shared" si="10"/>
        <v>3.383333333333332</v>
      </c>
      <c r="N379" s="12">
        <f>Table1[[#This Row],[Trip Hours]]*Table1[[#This Row],['#Angler]]</f>
        <v>3.383333333333332</v>
      </c>
      <c r="O379" t="s">
        <v>349</v>
      </c>
      <c r="P379" t="s">
        <v>73</v>
      </c>
      <c r="Q379" t="s">
        <v>247</v>
      </c>
      <c r="R379" s="11">
        <v>0</v>
      </c>
      <c r="S379">
        <v>0</v>
      </c>
      <c r="T379">
        <v>0</v>
      </c>
      <c r="U379">
        <v>0</v>
      </c>
      <c r="V379" s="11">
        <v>0</v>
      </c>
      <c r="W379">
        <v>0</v>
      </c>
      <c r="X379">
        <v>0</v>
      </c>
      <c r="Y379">
        <v>0</v>
      </c>
      <c r="Z379" s="11">
        <f>SUM(Table1[[#This Row],[Chi Kept]],Table1[[#This Row],[Chi Released]])</f>
        <v>0</v>
      </c>
      <c r="AA379">
        <f>SUM(Table1[[#This Row],[Co Kept]],Table1[[#This Row],[Co Released ]])</f>
        <v>0</v>
      </c>
      <c r="AB379">
        <f>SUM(Table1[[#This Row],[Pink Kept]],Table1[[#This Row],[Pink Released]])</f>
        <v>0</v>
      </c>
      <c r="AC379">
        <f>SUM(Table1[[#This Row],[Chu Kept]],Table1[[#This Row],[Chu Released]])</f>
        <v>0</v>
      </c>
    </row>
    <row r="380" spans="1:29" x14ac:dyDescent="0.3">
      <c r="A380" s="7">
        <v>45938</v>
      </c>
      <c r="B380">
        <v>8</v>
      </c>
      <c r="C380" t="s">
        <v>236</v>
      </c>
      <c r="D380" t="s">
        <v>42</v>
      </c>
      <c r="E380">
        <v>4</v>
      </c>
      <c r="F380">
        <v>2</v>
      </c>
      <c r="G380">
        <v>4</v>
      </c>
      <c r="H380" t="s">
        <v>241</v>
      </c>
      <c r="I380">
        <v>1</v>
      </c>
      <c r="J380" s="10">
        <v>0.63888888888888884</v>
      </c>
      <c r="K380" s="10">
        <v>0.68055555555555558</v>
      </c>
      <c r="L380" s="10">
        <f t="shared" si="11"/>
        <v>4.1666666666666741E-2</v>
      </c>
      <c r="M380" s="12">
        <f t="shared" si="10"/>
        <v>1.0000000000000018</v>
      </c>
      <c r="N380" s="12">
        <f>Table1[[#This Row],[Trip Hours]]*Table1[[#This Row],['#Angler]]</f>
        <v>1.0000000000000018</v>
      </c>
      <c r="O380" t="s">
        <v>342</v>
      </c>
      <c r="Q380" t="s">
        <v>238</v>
      </c>
      <c r="R380" s="11">
        <v>0</v>
      </c>
      <c r="S380">
        <v>0</v>
      </c>
      <c r="T380">
        <v>0</v>
      </c>
      <c r="U380">
        <v>0</v>
      </c>
      <c r="V380" s="11">
        <v>0</v>
      </c>
      <c r="W380">
        <v>0</v>
      </c>
      <c r="X380">
        <v>0</v>
      </c>
      <c r="Y380">
        <v>0</v>
      </c>
      <c r="Z380" s="11">
        <f>SUM(Table1[[#This Row],[Chi Kept]],Table1[[#This Row],[Chi Released]])</f>
        <v>0</v>
      </c>
      <c r="AA380">
        <f>SUM(Table1[[#This Row],[Co Kept]],Table1[[#This Row],[Co Released ]])</f>
        <v>0</v>
      </c>
      <c r="AB380">
        <f>SUM(Table1[[#This Row],[Pink Kept]],Table1[[#This Row],[Pink Released]])</f>
        <v>0</v>
      </c>
      <c r="AC380">
        <f>SUM(Table1[[#This Row],[Chu Kept]],Table1[[#This Row],[Chu Released]])</f>
        <v>0</v>
      </c>
    </row>
    <row r="381" spans="1:29" x14ac:dyDescent="0.3">
      <c r="A381" s="7">
        <v>45938</v>
      </c>
      <c r="B381">
        <v>8</v>
      </c>
      <c r="C381" t="s">
        <v>236</v>
      </c>
      <c r="D381" t="s">
        <v>42</v>
      </c>
      <c r="E381">
        <v>5</v>
      </c>
      <c r="F381">
        <v>2</v>
      </c>
      <c r="G381">
        <v>4</v>
      </c>
      <c r="H381" t="s">
        <v>241</v>
      </c>
      <c r="I381">
        <v>1</v>
      </c>
      <c r="J381" s="10">
        <v>0.64583333333333337</v>
      </c>
      <c r="K381" s="10">
        <v>0.69444444444444442</v>
      </c>
      <c r="L381" s="10">
        <f t="shared" si="11"/>
        <v>4.8611111111111049E-2</v>
      </c>
      <c r="M381" s="12">
        <f t="shared" si="10"/>
        <v>1.1666666666666652</v>
      </c>
      <c r="N381" s="12">
        <f>Table1[[#This Row],[Trip Hours]]*Table1[[#This Row],['#Angler]]</f>
        <v>1.1666666666666652</v>
      </c>
      <c r="O381" t="s">
        <v>342</v>
      </c>
      <c r="P381" t="s">
        <v>29</v>
      </c>
      <c r="Q381" t="s">
        <v>238</v>
      </c>
      <c r="R381" s="11">
        <v>0</v>
      </c>
      <c r="S381">
        <v>0</v>
      </c>
      <c r="T381">
        <v>0</v>
      </c>
      <c r="U381">
        <v>0</v>
      </c>
      <c r="V381" s="11">
        <v>0</v>
      </c>
      <c r="W381">
        <v>0</v>
      </c>
      <c r="X381">
        <v>0</v>
      </c>
      <c r="Y381">
        <v>0</v>
      </c>
      <c r="Z381" s="11">
        <f>SUM(Table1[[#This Row],[Chi Kept]],Table1[[#This Row],[Chi Released]])</f>
        <v>0</v>
      </c>
      <c r="AA381">
        <f>SUM(Table1[[#This Row],[Co Kept]],Table1[[#This Row],[Co Released ]])</f>
        <v>0</v>
      </c>
      <c r="AB381">
        <f>SUM(Table1[[#This Row],[Pink Kept]],Table1[[#This Row],[Pink Released]])</f>
        <v>0</v>
      </c>
      <c r="AC381">
        <f>SUM(Table1[[#This Row],[Chu Kept]],Table1[[#This Row],[Chu Released]])</f>
        <v>0</v>
      </c>
    </row>
    <row r="382" spans="1:29" x14ac:dyDescent="0.3">
      <c r="A382" s="7">
        <v>45938</v>
      </c>
      <c r="B382">
        <v>8</v>
      </c>
      <c r="C382" t="s">
        <v>236</v>
      </c>
      <c r="D382" t="s">
        <v>42</v>
      </c>
      <c r="E382">
        <v>6</v>
      </c>
      <c r="F382">
        <v>2</v>
      </c>
      <c r="G382">
        <v>4</v>
      </c>
      <c r="H382" t="s">
        <v>241</v>
      </c>
      <c r="I382">
        <v>1</v>
      </c>
      <c r="J382" s="10">
        <v>0.58333333333333337</v>
      </c>
      <c r="K382" s="10">
        <v>0.71527777777777779</v>
      </c>
      <c r="L382" s="10">
        <f t="shared" si="11"/>
        <v>0.13194444444444442</v>
      </c>
      <c r="M382" s="12">
        <f t="shared" si="10"/>
        <v>3.1666666666666661</v>
      </c>
      <c r="N382" s="12">
        <f>Table1[[#This Row],[Trip Hours]]*Table1[[#This Row],['#Angler]]</f>
        <v>3.1666666666666661</v>
      </c>
      <c r="O382" t="s">
        <v>342</v>
      </c>
      <c r="Q382" t="s">
        <v>241</v>
      </c>
      <c r="R382" s="11">
        <v>0</v>
      </c>
      <c r="S382">
        <v>0</v>
      </c>
      <c r="T382">
        <v>0</v>
      </c>
      <c r="U382">
        <v>0</v>
      </c>
      <c r="V382" s="11">
        <v>0</v>
      </c>
      <c r="W382">
        <v>0</v>
      </c>
      <c r="X382">
        <v>0</v>
      </c>
      <c r="Y382">
        <v>0</v>
      </c>
      <c r="Z382" s="11">
        <f>SUM(Table1[[#This Row],[Chi Kept]],Table1[[#This Row],[Chi Released]])</f>
        <v>0</v>
      </c>
      <c r="AA382">
        <f>SUM(Table1[[#This Row],[Co Kept]],Table1[[#This Row],[Co Released ]])</f>
        <v>0</v>
      </c>
      <c r="AB382">
        <f>SUM(Table1[[#This Row],[Pink Kept]],Table1[[#This Row],[Pink Released]])</f>
        <v>0</v>
      </c>
      <c r="AC382">
        <f>SUM(Table1[[#This Row],[Chu Kept]],Table1[[#This Row],[Chu Released]])</f>
        <v>0</v>
      </c>
    </row>
    <row r="383" spans="1:29" x14ac:dyDescent="0.3">
      <c r="A383" s="7">
        <v>45938</v>
      </c>
      <c r="B383">
        <v>8</v>
      </c>
      <c r="C383" t="s">
        <v>236</v>
      </c>
      <c r="D383" t="s">
        <v>42</v>
      </c>
      <c r="E383">
        <v>7</v>
      </c>
      <c r="F383">
        <v>2</v>
      </c>
      <c r="G383">
        <v>4</v>
      </c>
      <c r="H383" t="s">
        <v>241</v>
      </c>
      <c r="I383">
        <v>1</v>
      </c>
      <c r="J383" s="10">
        <v>0.70833333333333337</v>
      </c>
      <c r="K383" s="10">
        <v>0.73750000000000004</v>
      </c>
      <c r="L383" s="10">
        <f t="shared" si="11"/>
        <v>2.9166666666666674E-2</v>
      </c>
      <c r="M383" s="12">
        <f t="shared" si="10"/>
        <v>0.70000000000000018</v>
      </c>
      <c r="N383" s="12">
        <f>Table1[[#This Row],[Trip Hours]]*Table1[[#This Row],['#Angler]]</f>
        <v>0.70000000000000018</v>
      </c>
      <c r="O383" t="s">
        <v>342</v>
      </c>
      <c r="R383" s="11">
        <v>0</v>
      </c>
      <c r="S383">
        <v>0</v>
      </c>
      <c r="T383">
        <v>2</v>
      </c>
      <c r="U383">
        <v>0</v>
      </c>
      <c r="V383" s="11">
        <v>0</v>
      </c>
      <c r="W383">
        <v>0</v>
      </c>
      <c r="X383">
        <v>0</v>
      </c>
      <c r="Y383">
        <v>0</v>
      </c>
      <c r="Z383" s="11">
        <f>SUM(Table1[[#This Row],[Chi Kept]],Table1[[#This Row],[Chi Released]])</f>
        <v>0</v>
      </c>
      <c r="AA383">
        <f>SUM(Table1[[#This Row],[Co Kept]],Table1[[#This Row],[Co Released ]])</f>
        <v>0</v>
      </c>
      <c r="AB383">
        <f>SUM(Table1[[#This Row],[Pink Kept]],Table1[[#This Row],[Pink Released]])</f>
        <v>2</v>
      </c>
      <c r="AC383">
        <f>SUM(Table1[[#This Row],[Chu Kept]],Table1[[#This Row],[Chu Released]])</f>
        <v>0</v>
      </c>
    </row>
    <row r="384" spans="1:29" x14ac:dyDescent="0.3">
      <c r="A384" s="7">
        <v>45938</v>
      </c>
      <c r="B384">
        <v>8</v>
      </c>
      <c r="C384" t="s">
        <v>236</v>
      </c>
      <c r="D384" t="s">
        <v>42</v>
      </c>
      <c r="E384">
        <v>8</v>
      </c>
      <c r="F384">
        <v>2</v>
      </c>
      <c r="G384">
        <v>4</v>
      </c>
      <c r="H384" t="s">
        <v>241</v>
      </c>
      <c r="I384">
        <v>1</v>
      </c>
      <c r="J384" s="10">
        <v>0.66666666666666663</v>
      </c>
      <c r="K384" s="10">
        <v>0.77638888888888891</v>
      </c>
      <c r="L384" s="10">
        <f t="shared" si="11"/>
        <v>0.10972222222222228</v>
      </c>
      <c r="M384" s="12">
        <f t="shared" si="10"/>
        <v>2.6333333333333346</v>
      </c>
      <c r="N384" s="12">
        <f>Table1[[#This Row],[Trip Hours]]*Table1[[#This Row],['#Angler]]</f>
        <v>2.6333333333333346</v>
      </c>
      <c r="O384" t="s">
        <v>342</v>
      </c>
      <c r="Q384" t="s">
        <v>247</v>
      </c>
      <c r="R384" s="11">
        <v>0</v>
      </c>
      <c r="S384">
        <v>0</v>
      </c>
      <c r="T384">
        <v>0</v>
      </c>
      <c r="U384">
        <v>0</v>
      </c>
      <c r="V384" s="11">
        <v>0</v>
      </c>
      <c r="W384">
        <v>0</v>
      </c>
      <c r="X384">
        <v>0</v>
      </c>
      <c r="Y384">
        <v>0</v>
      </c>
      <c r="Z384" s="11">
        <f>SUM(Table1[[#This Row],[Chi Kept]],Table1[[#This Row],[Chi Released]])</f>
        <v>0</v>
      </c>
      <c r="AA384">
        <f>SUM(Table1[[#This Row],[Co Kept]],Table1[[#This Row],[Co Released ]])</f>
        <v>0</v>
      </c>
      <c r="AB384">
        <f>SUM(Table1[[#This Row],[Pink Kept]],Table1[[#This Row],[Pink Released]])</f>
        <v>0</v>
      </c>
      <c r="AC384">
        <f>SUM(Table1[[#This Row],[Chu Kept]],Table1[[#This Row],[Chu Released]])</f>
        <v>0</v>
      </c>
    </row>
    <row r="385" spans="1:29" x14ac:dyDescent="0.3">
      <c r="A385" s="7">
        <v>45938</v>
      </c>
      <c r="B385">
        <v>8</v>
      </c>
      <c r="C385" t="s">
        <v>236</v>
      </c>
      <c r="D385" t="s">
        <v>42</v>
      </c>
      <c r="E385">
        <v>9</v>
      </c>
      <c r="F385">
        <v>2</v>
      </c>
      <c r="G385">
        <v>4</v>
      </c>
      <c r="H385" t="s">
        <v>241</v>
      </c>
      <c r="I385">
        <v>1</v>
      </c>
      <c r="J385" s="10">
        <v>0.625</v>
      </c>
      <c r="K385" s="10">
        <v>0.77638888888888891</v>
      </c>
      <c r="L385" s="10">
        <f t="shared" si="11"/>
        <v>0.15138888888888891</v>
      </c>
      <c r="M385" s="12">
        <f t="shared" si="10"/>
        <v>3.6333333333333337</v>
      </c>
      <c r="N385" s="12">
        <f>Table1[[#This Row],[Trip Hours]]*Table1[[#This Row],['#Angler]]</f>
        <v>3.6333333333333337</v>
      </c>
      <c r="O385" t="s">
        <v>342</v>
      </c>
      <c r="Q385" t="s">
        <v>247</v>
      </c>
      <c r="R385" s="11">
        <v>0</v>
      </c>
      <c r="S385">
        <v>0</v>
      </c>
      <c r="T385">
        <v>0</v>
      </c>
      <c r="U385">
        <v>0</v>
      </c>
      <c r="V385" s="11">
        <v>0</v>
      </c>
      <c r="W385">
        <v>0</v>
      </c>
      <c r="X385">
        <v>0</v>
      </c>
      <c r="Y385">
        <v>0</v>
      </c>
      <c r="Z385" s="11">
        <f>SUM(Table1[[#This Row],[Chi Kept]],Table1[[#This Row],[Chi Released]])</f>
        <v>0</v>
      </c>
      <c r="AA385">
        <f>SUM(Table1[[#This Row],[Co Kept]],Table1[[#This Row],[Co Released ]])</f>
        <v>0</v>
      </c>
      <c r="AB385">
        <f>SUM(Table1[[#This Row],[Pink Kept]],Table1[[#This Row],[Pink Released]])</f>
        <v>0</v>
      </c>
      <c r="AC385">
        <f>SUM(Table1[[#This Row],[Chu Kept]],Table1[[#This Row],[Chu Released]])</f>
        <v>0</v>
      </c>
    </row>
    <row r="386" spans="1:29" x14ac:dyDescent="0.3">
      <c r="A386" s="7">
        <v>45939</v>
      </c>
      <c r="B386">
        <v>8</v>
      </c>
      <c r="C386" t="s">
        <v>236</v>
      </c>
      <c r="D386" t="s">
        <v>42</v>
      </c>
      <c r="E386">
        <v>1</v>
      </c>
      <c r="F386">
        <v>3</v>
      </c>
      <c r="G386">
        <v>6</v>
      </c>
      <c r="H386" t="s">
        <v>241</v>
      </c>
      <c r="I386">
        <v>1</v>
      </c>
      <c r="J386" s="10">
        <v>0.45833333333333331</v>
      </c>
      <c r="K386" s="10">
        <v>0.70972222222222225</v>
      </c>
      <c r="L386" s="10">
        <f t="shared" si="11"/>
        <v>0.25138888888888894</v>
      </c>
      <c r="M386" s="12">
        <f t="shared" ref="M386:M449" si="12">L386*24</f>
        <v>6.033333333333335</v>
      </c>
      <c r="N386" s="12">
        <f>Table1[[#This Row],[Trip Hours]]*Table1[[#This Row],['#Angler]]</f>
        <v>6.033333333333335</v>
      </c>
      <c r="O386" t="s">
        <v>342</v>
      </c>
      <c r="Q386" t="s">
        <v>247</v>
      </c>
      <c r="R386" s="11">
        <v>0</v>
      </c>
      <c r="S386">
        <v>0</v>
      </c>
      <c r="T386">
        <v>0</v>
      </c>
      <c r="U386">
        <v>0</v>
      </c>
      <c r="V386" s="11">
        <v>0</v>
      </c>
      <c r="W386">
        <v>0</v>
      </c>
      <c r="X386">
        <v>20</v>
      </c>
      <c r="Y386">
        <v>0</v>
      </c>
      <c r="Z386" s="11">
        <f>SUM(Table1[[#This Row],[Chi Kept]],Table1[[#This Row],[Chi Released]])</f>
        <v>0</v>
      </c>
      <c r="AA386">
        <f>SUM(Table1[[#This Row],[Co Kept]],Table1[[#This Row],[Co Released ]])</f>
        <v>0</v>
      </c>
      <c r="AB386">
        <f>SUM(Table1[[#This Row],[Pink Kept]],Table1[[#This Row],[Pink Released]])</f>
        <v>20</v>
      </c>
      <c r="AC386">
        <f>SUM(Table1[[#This Row],[Chu Kept]],Table1[[#This Row],[Chu Released]])</f>
        <v>0</v>
      </c>
    </row>
    <row r="387" spans="1:29" x14ac:dyDescent="0.3">
      <c r="A387" s="7">
        <v>45939</v>
      </c>
      <c r="B387">
        <v>8</v>
      </c>
      <c r="C387" t="s">
        <v>236</v>
      </c>
      <c r="D387" t="s">
        <v>42</v>
      </c>
      <c r="E387">
        <v>2</v>
      </c>
      <c r="F387">
        <v>3</v>
      </c>
      <c r="G387">
        <v>6</v>
      </c>
      <c r="H387" t="s">
        <v>241</v>
      </c>
      <c r="I387">
        <v>1</v>
      </c>
      <c r="J387" s="10">
        <v>0.64583333333333337</v>
      </c>
      <c r="K387" s="10">
        <v>0.71319444444444446</v>
      </c>
      <c r="L387" s="10">
        <f t="shared" ref="L387:L450" si="13">K387-J387</f>
        <v>6.7361111111111094E-2</v>
      </c>
      <c r="M387" s="12">
        <f t="shared" si="12"/>
        <v>1.6166666666666663</v>
      </c>
      <c r="N387" s="12">
        <f>Table1[[#This Row],[Trip Hours]]*Table1[[#This Row],['#Angler]]</f>
        <v>1.6166666666666663</v>
      </c>
      <c r="O387" t="s">
        <v>342</v>
      </c>
      <c r="Q387" t="s">
        <v>247</v>
      </c>
      <c r="R387" s="11">
        <v>0</v>
      </c>
      <c r="S387">
        <v>0</v>
      </c>
      <c r="T387">
        <v>0</v>
      </c>
      <c r="U387">
        <v>0</v>
      </c>
      <c r="V387" s="11">
        <v>0</v>
      </c>
      <c r="W387">
        <v>0</v>
      </c>
      <c r="X387">
        <v>3</v>
      </c>
      <c r="Y387">
        <v>0</v>
      </c>
      <c r="Z387" s="11">
        <f>SUM(Table1[[#This Row],[Chi Kept]],Table1[[#This Row],[Chi Released]])</f>
        <v>0</v>
      </c>
      <c r="AA387">
        <f>SUM(Table1[[#This Row],[Co Kept]],Table1[[#This Row],[Co Released ]])</f>
        <v>0</v>
      </c>
      <c r="AB387">
        <f>SUM(Table1[[#This Row],[Pink Kept]],Table1[[#This Row],[Pink Released]])</f>
        <v>3</v>
      </c>
      <c r="AC387">
        <f>SUM(Table1[[#This Row],[Chu Kept]],Table1[[#This Row],[Chu Released]])</f>
        <v>0</v>
      </c>
    </row>
    <row r="388" spans="1:29" x14ac:dyDescent="0.3">
      <c r="A388" s="7">
        <v>45939</v>
      </c>
      <c r="B388">
        <v>8</v>
      </c>
      <c r="C388" t="s">
        <v>236</v>
      </c>
      <c r="D388" t="s">
        <v>42</v>
      </c>
      <c r="E388">
        <v>3</v>
      </c>
      <c r="F388">
        <v>3</v>
      </c>
      <c r="G388">
        <v>6</v>
      </c>
      <c r="H388" t="s">
        <v>241</v>
      </c>
      <c r="I388">
        <v>1</v>
      </c>
      <c r="J388" s="10">
        <v>0.54166666666666663</v>
      </c>
      <c r="K388" s="10">
        <v>0.72083333333333333</v>
      </c>
      <c r="L388" s="10">
        <f t="shared" si="13"/>
        <v>0.1791666666666667</v>
      </c>
      <c r="M388" s="12">
        <f t="shared" si="12"/>
        <v>4.3000000000000007</v>
      </c>
      <c r="N388" s="12">
        <f>Table1[[#This Row],[Trip Hours]]*Table1[[#This Row],['#Angler]]</f>
        <v>4.3000000000000007</v>
      </c>
      <c r="O388" t="s">
        <v>342</v>
      </c>
      <c r="Q388" t="s">
        <v>247</v>
      </c>
      <c r="R388" s="11">
        <v>0</v>
      </c>
      <c r="S388">
        <v>0</v>
      </c>
      <c r="T388">
        <v>0</v>
      </c>
      <c r="U388">
        <v>0</v>
      </c>
      <c r="V388" s="11">
        <v>0</v>
      </c>
      <c r="W388">
        <v>0</v>
      </c>
      <c r="X388">
        <v>7</v>
      </c>
      <c r="Y388">
        <v>0</v>
      </c>
      <c r="Z388" s="11">
        <f>SUM(Table1[[#This Row],[Chi Kept]],Table1[[#This Row],[Chi Released]])</f>
        <v>0</v>
      </c>
      <c r="AA388">
        <f>SUM(Table1[[#This Row],[Co Kept]],Table1[[#This Row],[Co Released ]])</f>
        <v>0</v>
      </c>
      <c r="AB388">
        <f>SUM(Table1[[#This Row],[Pink Kept]],Table1[[#This Row],[Pink Released]])</f>
        <v>7</v>
      </c>
      <c r="AC388">
        <f>SUM(Table1[[#This Row],[Chu Kept]],Table1[[#This Row],[Chu Released]])</f>
        <v>0</v>
      </c>
    </row>
    <row r="389" spans="1:29" x14ac:dyDescent="0.3">
      <c r="A389" s="7">
        <v>45939</v>
      </c>
      <c r="B389">
        <v>8</v>
      </c>
      <c r="C389" t="s">
        <v>236</v>
      </c>
      <c r="D389" t="s">
        <v>42</v>
      </c>
      <c r="E389">
        <v>4</v>
      </c>
      <c r="F389">
        <v>3</v>
      </c>
      <c r="G389">
        <v>6</v>
      </c>
      <c r="H389" t="s">
        <v>241</v>
      </c>
      <c r="I389">
        <v>1</v>
      </c>
      <c r="J389" s="10">
        <v>0.60416666666666663</v>
      </c>
      <c r="K389" s="10">
        <v>0.72083333333333333</v>
      </c>
      <c r="L389" s="10">
        <f t="shared" si="13"/>
        <v>0.1166666666666667</v>
      </c>
      <c r="M389" s="12">
        <f t="shared" si="12"/>
        <v>2.8000000000000007</v>
      </c>
      <c r="N389" s="12">
        <f>Table1[[#This Row],[Trip Hours]]*Table1[[#This Row],['#Angler]]</f>
        <v>2.8000000000000007</v>
      </c>
      <c r="O389" t="s">
        <v>342</v>
      </c>
      <c r="Q389" t="s">
        <v>247</v>
      </c>
      <c r="R389" s="11">
        <v>0</v>
      </c>
      <c r="S389">
        <v>0</v>
      </c>
      <c r="T389">
        <v>0</v>
      </c>
      <c r="U389">
        <v>0</v>
      </c>
      <c r="V389" s="11">
        <v>0</v>
      </c>
      <c r="W389">
        <v>0</v>
      </c>
      <c r="X389">
        <v>3</v>
      </c>
      <c r="Y389">
        <v>0</v>
      </c>
      <c r="Z389" s="11">
        <f>SUM(Table1[[#This Row],[Chi Kept]],Table1[[#This Row],[Chi Released]])</f>
        <v>0</v>
      </c>
      <c r="AA389">
        <f>SUM(Table1[[#This Row],[Co Kept]],Table1[[#This Row],[Co Released ]])</f>
        <v>0</v>
      </c>
      <c r="AB389">
        <f>SUM(Table1[[#This Row],[Pink Kept]],Table1[[#This Row],[Pink Released]])</f>
        <v>3</v>
      </c>
      <c r="AC389">
        <f>SUM(Table1[[#This Row],[Chu Kept]],Table1[[#This Row],[Chu Released]])</f>
        <v>0</v>
      </c>
    </row>
    <row r="390" spans="1:29" x14ac:dyDescent="0.3">
      <c r="A390" s="7">
        <v>45939</v>
      </c>
      <c r="B390">
        <v>8</v>
      </c>
      <c r="C390" t="s">
        <v>236</v>
      </c>
      <c r="D390" t="s">
        <v>42</v>
      </c>
      <c r="E390">
        <v>5</v>
      </c>
      <c r="F390">
        <v>3</v>
      </c>
      <c r="G390">
        <v>6</v>
      </c>
      <c r="H390" t="s">
        <v>241</v>
      </c>
      <c r="I390">
        <v>1</v>
      </c>
      <c r="J390" s="10">
        <v>0.66666666666666663</v>
      </c>
      <c r="K390" s="10">
        <v>0.74027777777777781</v>
      </c>
      <c r="L390" s="10">
        <f t="shared" si="13"/>
        <v>7.3611111111111183E-2</v>
      </c>
      <c r="M390" s="12">
        <f t="shared" si="12"/>
        <v>1.7666666666666684</v>
      </c>
      <c r="N390" s="12">
        <f>Table1[[#This Row],[Trip Hours]]*Table1[[#This Row],['#Angler]]</f>
        <v>1.7666666666666684</v>
      </c>
      <c r="O390" t="s">
        <v>342</v>
      </c>
      <c r="Q390" t="s">
        <v>247</v>
      </c>
      <c r="R390" s="11">
        <v>0</v>
      </c>
      <c r="S390">
        <v>0</v>
      </c>
      <c r="T390">
        <v>0</v>
      </c>
      <c r="U390">
        <v>0</v>
      </c>
      <c r="V390" s="11">
        <v>0</v>
      </c>
      <c r="W390">
        <v>0</v>
      </c>
      <c r="X390">
        <v>1</v>
      </c>
      <c r="Y390">
        <v>0</v>
      </c>
      <c r="Z390" s="11">
        <f>SUM(Table1[[#This Row],[Chi Kept]],Table1[[#This Row],[Chi Released]])</f>
        <v>0</v>
      </c>
      <c r="AA390">
        <f>SUM(Table1[[#This Row],[Co Kept]],Table1[[#This Row],[Co Released ]])</f>
        <v>0</v>
      </c>
      <c r="AB390">
        <f>SUM(Table1[[#This Row],[Pink Kept]],Table1[[#This Row],[Pink Released]])</f>
        <v>1</v>
      </c>
      <c r="AC390">
        <f>SUM(Table1[[#This Row],[Chu Kept]],Table1[[#This Row],[Chu Released]])</f>
        <v>0</v>
      </c>
    </row>
    <row r="391" spans="1:29" x14ac:dyDescent="0.3">
      <c r="A391" s="7">
        <v>45939</v>
      </c>
      <c r="B391">
        <v>8</v>
      </c>
      <c r="C391" t="s">
        <v>236</v>
      </c>
      <c r="D391" t="s">
        <v>42</v>
      </c>
      <c r="E391">
        <v>6</v>
      </c>
      <c r="F391">
        <v>3</v>
      </c>
      <c r="G391">
        <v>6</v>
      </c>
      <c r="H391" t="s">
        <v>241</v>
      </c>
      <c r="I391">
        <v>2</v>
      </c>
      <c r="J391" s="10">
        <v>0.63541666666666663</v>
      </c>
      <c r="K391" s="10">
        <v>0.75347222222222221</v>
      </c>
      <c r="L391" s="10">
        <f t="shared" si="13"/>
        <v>0.11805555555555558</v>
      </c>
      <c r="M391" s="12">
        <f t="shared" si="12"/>
        <v>2.8333333333333339</v>
      </c>
      <c r="N391" s="12">
        <f>Table1[[#This Row],[Trip Hours]]*Table1[[#This Row],['#Angler]]</f>
        <v>5.6666666666666679</v>
      </c>
      <c r="O391" t="s">
        <v>342</v>
      </c>
      <c r="P391" t="s">
        <v>56</v>
      </c>
      <c r="Q391" t="s">
        <v>247</v>
      </c>
      <c r="R391" s="11">
        <v>0</v>
      </c>
      <c r="S391">
        <v>0</v>
      </c>
      <c r="T391">
        <v>3</v>
      </c>
      <c r="U391">
        <v>0</v>
      </c>
      <c r="V391" s="11">
        <v>0</v>
      </c>
      <c r="W391">
        <v>0</v>
      </c>
      <c r="X391">
        <v>4</v>
      </c>
      <c r="Y391">
        <v>0</v>
      </c>
      <c r="Z391" s="11">
        <f>SUM(Table1[[#This Row],[Chi Kept]],Table1[[#This Row],[Chi Released]])</f>
        <v>0</v>
      </c>
      <c r="AA391">
        <f>SUM(Table1[[#This Row],[Co Kept]],Table1[[#This Row],[Co Released ]])</f>
        <v>0</v>
      </c>
      <c r="AB391">
        <f>SUM(Table1[[#This Row],[Pink Kept]],Table1[[#This Row],[Pink Released]])</f>
        <v>7</v>
      </c>
      <c r="AC391">
        <f>SUM(Table1[[#This Row],[Chu Kept]],Table1[[#This Row],[Chu Released]])</f>
        <v>0</v>
      </c>
    </row>
    <row r="392" spans="1:29" x14ac:dyDescent="0.3">
      <c r="A392" s="7">
        <v>45939</v>
      </c>
      <c r="B392">
        <v>8</v>
      </c>
      <c r="C392" t="s">
        <v>236</v>
      </c>
      <c r="D392" t="s">
        <v>42</v>
      </c>
      <c r="E392">
        <v>7</v>
      </c>
      <c r="F392">
        <v>3</v>
      </c>
      <c r="G392">
        <v>6</v>
      </c>
      <c r="H392" t="s">
        <v>241</v>
      </c>
      <c r="I392">
        <v>1</v>
      </c>
      <c r="J392" s="10">
        <v>0.70833333333333337</v>
      </c>
      <c r="K392" s="10">
        <v>0.76180555555555551</v>
      </c>
      <c r="L392" s="10">
        <f t="shared" si="13"/>
        <v>5.3472222222222143E-2</v>
      </c>
      <c r="M392" s="12">
        <f t="shared" si="12"/>
        <v>1.2833333333333314</v>
      </c>
      <c r="N392" s="12">
        <f>Table1[[#This Row],[Trip Hours]]*Table1[[#This Row],['#Angler]]</f>
        <v>1.2833333333333314</v>
      </c>
      <c r="O392" t="s">
        <v>342</v>
      </c>
      <c r="R392" s="11">
        <v>0</v>
      </c>
      <c r="S392">
        <v>0</v>
      </c>
      <c r="T392">
        <v>0</v>
      </c>
      <c r="U392">
        <v>0</v>
      </c>
      <c r="V392" s="11">
        <v>0</v>
      </c>
      <c r="W392">
        <v>0</v>
      </c>
      <c r="X392">
        <v>4</v>
      </c>
      <c r="Y392">
        <v>0</v>
      </c>
      <c r="Z392" s="11">
        <f>SUM(Table1[[#This Row],[Chi Kept]],Table1[[#This Row],[Chi Released]])</f>
        <v>0</v>
      </c>
      <c r="AA392">
        <f>SUM(Table1[[#This Row],[Co Kept]],Table1[[#This Row],[Co Released ]])</f>
        <v>0</v>
      </c>
      <c r="AB392">
        <f>SUM(Table1[[#This Row],[Pink Kept]],Table1[[#This Row],[Pink Released]])</f>
        <v>4</v>
      </c>
      <c r="AC392">
        <f>SUM(Table1[[#This Row],[Chu Kept]],Table1[[#This Row],[Chu Released]])</f>
        <v>0</v>
      </c>
    </row>
    <row r="393" spans="1:29" x14ac:dyDescent="0.3">
      <c r="A393" s="7">
        <v>45939</v>
      </c>
      <c r="B393">
        <v>8</v>
      </c>
      <c r="C393" t="s">
        <v>236</v>
      </c>
      <c r="D393" t="s">
        <v>42</v>
      </c>
      <c r="E393">
        <v>8</v>
      </c>
      <c r="F393">
        <v>3</v>
      </c>
      <c r="G393">
        <v>6</v>
      </c>
      <c r="H393" t="s">
        <v>241</v>
      </c>
      <c r="I393">
        <v>1</v>
      </c>
      <c r="J393" s="10">
        <v>0.64583333333333337</v>
      </c>
      <c r="K393" s="10">
        <v>0.76180555555555551</v>
      </c>
      <c r="L393" s="10">
        <f t="shared" si="13"/>
        <v>0.11597222222222214</v>
      </c>
      <c r="M393" s="12">
        <f t="shared" si="12"/>
        <v>2.7833333333333314</v>
      </c>
      <c r="N393" s="12">
        <f>Table1[[#This Row],[Trip Hours]]*Table1[[#This Row],['#Angler]]</f>
        <v>2.7833333333333314</v>
      </c>
      <c r="O393" t="s">
        <v>342</v>
      </c>
      <c r="Q393" t="s">
        <v>247</v>
      </c>
      <c r="R393" s="11">
        <v>0</v>
      </c>
      <c r="S393">
        <v>0</v>
      </c>
      <c r="T393">
        <v>0</v>
      </c>
      <c r="U393">
        <v>0</v>
      </c>
      <c r="V393" s="11">
        <v>0</v>
      </c>
      <c r="W393">
        <v>0</v>
      </c>
      <c r="X393">
        <v>0</v>
      </c>
      <c r="Y393">
        <v>0</v>
      </c>
      <c r="Z393" s="11">
        <f>SUM(Table1[[#This Row],[Chi Kept]],Table1[[#This Row],[Chi Released]])</f>
        <v>0</v>
      </c>
      <c r="AA393">
        <f>SUM(Table1[[#This Row],[Co Kept]],Table1[[#This Row],[Co Released ]])</f>
        <v>0</v>
      </c>
      <c r="AB393">
        <f>SUM(Table1[[#This Row],[Pink Kept]],Table1[[#This Row],[Pink Released]])</f>
        <v>0</v>
      </c>
      <c r="AC393">
        <f>SUM(Table1[[#This Row],[Chu Kept]],Table1[[#This Row],[Chu Released]])</f>
        <v>0</v>
      </c>
    </row>
    <row r="394" spans="1:29" x14ac:dyDescent="0.3">
      <c r="A394" s="7">
        <v>45939</v>
      </c>
      <c r="B394">
        <v>8</v>
      </c>
      <c r="C394" t="s">
        <v>236</v>
      </c>
      <c r="D394" t="s">
        <v>42</v>
      </c>
      <c r="E394">
        <v>9</v>
      </c>
      <c r="F394">
        <v>3</v>
      </c>
      <c r="G394">
        <v>6</v>
      </c>
      <c r="H394" t="s">
        <v>241</v>
      </c>
      <c r="I394">
        <v>2</v>
      </c>
      <c r="J394" s="10">
        <v>0.66666666666666663</v>
      </c>
      <c r="K394" s="10">
        <v>0.7729166666666667</v>
      </c>
      <c r="L394" s="10">
        <f t="shared" si="13"/>
        <v>0.10625000000000007</v>
      </c>
      <c r="M394" s="12">
        <f t="shared" si="12"/>
        <v>2.5500000000000016</v>
      </c>
      <c r="N394" s="12">
        <f>Table1[[#This Row],[Trip Hours]]*Table1[[#This Row],['#Angler]]</f>
        <v>5.1000000000000032</v>
      </c>
      <c r="O394" t="s">
        <v>342</v>
      </c>
      <c r="Q394" t="s">
        <v>343</v>
      </c>
      <c r="R394" s="11">
        <v>0</v>
      </c>
      <c r="S394">
        <v>0</v>
      </c>
      <c r="T394">
        <v>1</v>
      </c>
      <c r="U394">
        <v>0</v>
      </c>
      <c r="V394" s="11">
        <v>0</v>
      </c>
      <c r="W394">
        <v>0</v>
      </c>
      <c r="X394">
        <v>0</v>
      </c>
      <c r="Y394">
        <v>0</v>
      </c>
      <c r="Z394" s="11">
        <f>SUM(Table1[[#This Row],[Chi Kept]],Table1[[#This Row],[Chi Released]])</f>
        <v>0</v>
      </c>
      <c r="AA394">
        <f>SUM(Table1[[#This Row],[Co Kept]],Table1[[#This Row],[Co Released ]])</f>
        <v>0</v>
      </c>
      <c r="AB394">
        <f>SUM(Table1[[#This Row],[Pink Kept]],Table1[[#This Row],[Pink Released]])</f>
        <v>1</v>
      </c>
      <c r="AC394">
        <f>SUM(Table1[[#This Row],[Chu Kept]],Table1[[#This Row],[Chu Released]])</f>
        <v>0</v>
      </c>
    </row>
    <row r="395" spans="1:29" x14ac:dyDescent="0.3">
      <c r="A395" s="7">
        <v>45940</v>
      </c>
      <c r="B395">
        <v>8</v>
      </c>
      <c r="C395" t="s">
        <v>236</v>
      </c>
      <c r="D395" t="s">
        <v>26</v>
      </c>
      <c r="E395">
        <v>1</v>
      </c>
      <c r="F395">
        <v>2</v>
      </c>
      <c r="G395">
        <v>1</v>
      </c>
      <c r="H395" t="s">
        <v>241</v>
      </c>
      <c r="I395">
        <v>2</v>
      </c>
      <c r="J395" s="10">
        <v>0.32291666666666669</v>
      </c>
      <c r="K395" s="10">
        <v>0.33958333333333335</v>
      </c>
      <c r="L395" s="10">
        <f t="shared" si="13"/>
        <v>1.6666666666666663E-2</v>
      </c>
      <c r="M395" s="12">
        <f t="shared" si="12"/>
        <v>0.39999999999999991</v>
      </c>
      <c r="N395" s="12">
        <f>Table1[[#This Row],[Trip Hours]]*Table1[[#This Row],['#Angler]]</f>
        <v>0.79999999999999982</v>
      </c>
      <c r="O395" t="s">
        <v>349</v>
      </c>
      <c r="P395" t="s">
        <v>56</v>
      </c>
      <c r="Q395" t="s">
        <v>241</v>
      </c>
      <c r="R395" s="11">
        <v>0</v>
      </c>
      <c r="S395">
        <v>0</v>
      </c>
      <c r="T395">
        <v>0</v>
      </c>
      <c r="U395">
        <v>0</v>
      </c>
      <c r="V395" s="11">
        <v>0</v>
      </c>
      <c r="W395">
        <v>0</v>
      </c>
      <c r="X395">
        <v>0</v>
      </c>
      <c r="Y395">
        <v>0</v>
      </c>
      <c r="Z395" s="11">
        <f>SUM(Table1[[#This Row],[Chi Kept]],Table1[[#This Row],[Chi Released]])</f>
        <v>0</v>
      </c>
      <c r="AA395">
        <f>SUM(Table1[[#This Row],[Co Kept]],Table1[[#This Row],[Co Released ]])</f>
        <v>0</v>
      </c>
      <c r="AB395">
        <f>SUM(Table1[[#This Row],[Pink Kept]],Table1[[#This Row],[Pink Released]])</f>
        <v>0</v>
      </c>
      <c r="AC395">
        <f>SUM(Table1[[#This Row],[Chu Kept]],Table1[[#This Row],[Chu Released]])</f>
        <v>0</v>
      </c>
    </row>
    <row r="396" spans="1:29" x14ac:dyDescent="0.3">
      <c r="A396" s="7">
        <v>45940</v>
      </c>
      <c r="B396">
        <v>8</v>
      </c>
      <c r="C396" t="s">
        <v>236</v>
      </c>
      <c r="D396" t="s">
        <v>26</v>
      </c>
      <c r="E396">
        <v>2</v>
      </c>
      <c r="F396">
        <v>2</v>
      </c>
      <c r="G396">
        <v>1</v>
      </c>
      <c r="H396" t="s">
        <v>241</v>
      </c>
      <c r="I396">
        <v>1</v>
      </c>
      <c r="J396" s="10">
        <v>0.29166666666666669</v>
      </c>
      <c r="K396" s="10">
        <v>0.34027777777777779</v>
      </c>
      <c r="L396" s="10">
        <f t="shared" si="13"/>
        <v>4.8611111111111105E-2</v>
      </c>
      <c r="M396" s="12">
        <f t="shared" si="12"/>
        <v>1.1666666666666665</v>
      </c>
      <c r="N396" s="12">
        <f>Table1[[#This Row],[Trip Hours]]*Table1[[#This Row],['#Angler]]</f>
        <v>1.1666666666666665</v>
      </c>
      <c r="O396" t="s">
        <v>349</v>
      </c>
      <c r="Q396" t="s">
        <v>247</v>
      </c>
      <c r="R396" s="11">
        <v>0</v>
      </c>
      <c r="S396">
        <v>0</v>
      </c>
      <c r="T396">
        <v>0</v>
      </c>
      <c r="U396">
        <v>0</v>
      </c>
      <c r="V396" s="11">
        <v>0</v>
      </c>
      <c r="W396">
        <v>0</v>
      </c>
      <c r="X396">
        <v>0</v>
      </c>
      <c r="Y396">
        <v>0</v>
      </c>
      <c r="Z396" s="11">
        <f>SUM(Table1[[#This Row],[Chi Kept]],Table1[[#This Row],[Chi Released]])</f>
        <v>0</v>
      </c>
      <c r="AA396">
        <f>SUM(Table1[[#This Row],[Co Kept]],Table1[[#This Row],[Co Released ]])</f>
        <v>0</v>
      </c>
      <c r="AB396">
        <f>SUM(Table1[[#This Row],[Pink Kept]],Table1[[#This Row],[Pink Released]])</f>
        <v>0</v>
      </c>
      <c r="AC396">
        <f>SUM(Table1[[#This Row],[Chu Kept]],Table1[[#This Row],[Chu Released]])</f>
        <v>0</v>
      </c>
    </row>
    <row r="397" spans="1:29" x14ac:dyDescent="0.3">
      <c r="A397" s="7">
        <v>45940</v>
      </c>
      <c r="B397">
        <v>8</v>
      </c>
      <c r="C397" t="s">
        <v>236</v>
      </c>
      <c r="D397" t="s">
        <v>26</v>
      </c>
      <c r="E397">
        <v>3</v>
      </c>
      <c r="F397">
        <v>2</v>
      </c>
      <c r="G397">
        <v>2</v>
      </c>
      <c r="H397" t="s">
        <v>241</v>
      </c>
      <c r="I397">
        <v>1</v>
      </c>
      <c r="J397" s="10">
        <v>0.29166666666666669</v>
      </c>
      <c r="K397" s="10">
        <v>0.34930555555555554</v>
      </c>
      <c r="L397" s="10">
        <f t="shared" si="13"/>
        <v>5.7638888888888851E-2</v>
      </c>
      <c r="M397" s="12">
        <f t="shared" si="12"/>
        <v>1.3833333333333324</v>
      </c>
      <c r="N397" s="12">
        <f>Table1[[#This Row],[Trip Hours]]*Table1[[#This Row],['#Angler]]</f>
        <v>1.3833333333333324</v>
      </c>
      <c r="O397" t="s">
        <v>349</v>
      </c>
      <c r="P397" t="s">
        <v>56</v>
      </c>
      <c r="Q397" t="s">
        <v>247</v>
      </c>
      <c r="R397" s="11">
        <v>0</v>
      </c>
      <c r="S397">
        <v>0</v>
      </c>
      <c r="T397">
        <v>0</v>
      </c>
      <c r="U397">
        <v>0</v>
      </c>
      <c r="V397" s="11">
        <v>0</v>
      </c>
      <c r="W397">
        <v>0</v>
      </c>
      <c r="X397">
        <v>0</v>
      </c>
      <c r="Y397">
        <v>0</v>
      </c>
      <c r="Z397" s="11">
        <f>SUM(Table1[[#This Row],[Chi Kept]],Table1[[#This Row],[Chi Released]])</f>
        <v>0</v>
      </c>
      <c r="AA397">
        <f>SUM(Table1[[#This Row],[Co Kept]],Table1[[#This Row],[Co Released ]])</f>
        <v>0</v>
      </c>
      <c r="AB397">
        <f>SUM(Table1[[#This Row],[Pink Kept]],Table1[[#This Row],[Pink Released]])</f>
        <v>0</v>
      </c>
      <c r="AC397">
        <f>SUM(Table1[[#This Row],[Chu Kept]],Table1[[#This Row],[Chu Released]])</f>
        <v>0</v>
      </c>
    </row>
    <row r="398" spans="1:29" x14ac:dyDescent="0.3">
      <c r="A398" s="7">
        <v>45940</v>
      </c>
      <c r="B398">
        <v>8</v>
      </c>
      <c r="C398" t="s">
        <v>236</v>
      </c>
      <c r="D398" t="s">
        <v>26</v>
      </c>
      <c r="E398">
        <v>4</v>
      </c>
      <c r="F398">
        <v>2</v>
      </c>
      <c r="G398">
        <v>4</v>
      </c>
      <c r="H398" t="s">
        <v>241</v>
      </c>
      <c r="I398">
        <v>2</v>
      </c>
      <c r="J398" s="10">
        <v>0.28125</v>
      </c>
      <c r="K398" s="10">
        <v>0.39374999999999999</v>
      </c>
      <c r="L398" s="10">
        <f t="shared" si="13"/>
        <v>0.11249999999999999</v>
      </c>
      <c r="M398" s="12">
        <f t="shared" si="12"/>
        <v>2.6999999999999997</v>
      </c>
      <c r="N398" s="12">
        <f>Table1[[#This Row],[Trip Hours]]*Table1[[#This Row],['#Angler]]</f>
        <v>5.3999999999999995</v>
      </c>
      <c r="O398" t="s">
        <v>349</v>
      </c>
      <c r="P398" t="s">
        <v>29</v>
      </c>
      <c r="Q398" t="s">
        <v>364</v>
      </c>
      <c r="R398" s="11">
        <v>0</v>
      </c>
      <c r="S398">
        <v>0</v>
      </c>
      <c r="T398">
        <v>1</v>
      </c>
      <c r="U398">
        <v>0</v>
      </c>
      <c r="V398" s="11">
        <v>0</v>
      </c>
      <c r="W398">
        <v>0</v>
      </c>
      <c r="X398">
        <v>0</v>
      </c>
      <c r="Y398">
        <v>0</v>
      </c>
      <c r="Z398" s="11">
        <f>SUM(Table1[[#This Row],[Chi Kept]],Table1[[#This Row],[Chi Released]])</f>
        <v>0</v>
      </c>
      <c r="AA398">
        <f>SUM(Table1[[#This Row],[Co Kept]],Table1[[#This Row],[Co Released ]])</f>
        <v>0</v>
      </c>
      <c r="AB398">
        <f>SUM(Table1[[#This Row],[Pink Kept]],Table1[[#This Row],[Pink Released]])</f>
        <v>1</v>
      </c>
      <c r="AC398">
        <f>SUM(Table1[[#This Row],[Chu Kept]],Table1[[#This Row],[Chu Released]])</f>
        <v>0</v>
      </c>
    </row>
    <row r="399" spans="1:29" x14ac:dyDescent="0.3">
      <c r="A399" s="7">
        <v>45940</v>
      </c>
      <c r="B399">
        <v>8</v>
      </c>
      <c r="C399" t="s">
        <v>236</v>
      </c>
      <c r="D399" t="s">
        <v>26</v>
      </c>
      <c r="E399">
        <v>5</v>
      </c>
      <c r="F399">
        <v>3</v>
      </c>
      <c r="G399">
        <v>6</v>
      </c>
      <c r="H399" t="s">
        <v>241</v>
      </c>
      <c r="I399">
        <v>1</v>
      </c>
      <c r="J399" s="10">
        <v>0.28125</v>
      </c>
      <c r="K399" s="10">
        <v>0.42152777777777778</v>
      </c>
      <c r="L399" s="10">
        <f t="shared" si="13"/>
        <v>0.14027777777777778</v>
      </c>
      <c r="M399" s="12">
        <f t="shared" si="12"/>
        <v>3.3666666666666667</v>
      </c>
      <c r="N399" s="12">
        <f>Table1[[#This Row],[Trip Hours]]*Table1[[#This Row],['#Angler]]</f>
        <v>3.3666666666666667</v>
      </c>
      <c r="O399" t="s">
        <v>342</v>
      </c>
      <c r="P399" t="s">
        <v>29</v>
      </c>
      <c r="Q399" t="s">
        <v>238</v>
      </c>
      <c r="R399" s="11">
        <v>0</v>
      </c>
      <c r="S399">
        <v>0</v>
      </c>
      <c r="T399">
        <v>0</v>
      </c>
      <c r="U399">
        <v>0</v>
      </c>
      <c r="V399" s="11">
        <v>0</v>
      </c>
      <c r="W399">
        <v>0</v>
      </c>
      <c r="X399">
        <v>5</v>
      </c>
      <c r="Y399">
        <v>0</v>
      </c>
      <c r="Z399" s="11">
        <f>SUM(Table1[[#This Row],[Chi Kept]],Table1[[#This Row],[Chi Released]])</f>
        <v>0</v>
      </c>
      <c r="AA399">
        <f>SUM(Table1[[#This Row],[Co Kept]],Table1[[#This Row],[Co Released ]])</f>
        <v>0</v>
      </c>
      <c r="AB399">
        <f>SUM(Table1[[#This Row],[Pink Kept]],Table1[[#This Row],[Pink Released]])</f>
        <v>5</v>
      </c>
      <c r="AC399">
        <f>SUM(Table1[[#This Row],[Chu Kept]],Table1[[#This Row],[Chu Released]])</f>
        <v>0</v>
      </c>
    </row>
    <row r="400" spans="1:29" x14ac:dyDescent="0.3">
      <c r="A400" s="7">
        <v>45940</v>
      </c>
      <c r="B400">
        <v>8</v>
      </c>
      <c r="C400" t="s">
        <v>236</v>
      </c>
      <c r="D400" t="s">
        <v>26</v>
      </c>
      <c r="E400">
        <v>6</v>
      </c>
      <c r="F400">
        <v>3</v>
      </c>
      <c r="G400">
        <v>6</v>
      </c>
      <c r="H400" t="s">
        <v>241</v>
      </c>
      <c r="I400">
        <v>2</v>
      </c>
      <c r="J400" s="10">
        <v>0.28125</v>
      </c>
      <c r="K400" s="10">
        <v>0.4236111111111111</v>
      </c>
      <c r="L400" s="10">
        <f t="shared" si="13"/>
        <v>0.1423611111111111</v>
      </c>
      <c r="M400" s="12">
        <f t="shared" si="12"/>
        <v>3.4166666666666665</v>
      </c>
      <c r="N400" s="12">
        <f>Table1[[#This Row],[Trip Hours]]*Table1[[#This Row],['#Angler]]</f>
        <v>6.833333333333333</v>
      </c>
      <c r="O400" t="s">
        <v>342</v>
      </c>
      <c r="Q400" t="s">
        <v>343</v>
      </c>
      <c r="R400" s="11">
        <v>0</v>
      </c>
      <c r="S400">
        <v>0</v>
      </c>
      <c r="T400">
        <v>5</v>
      </c>
      <c r="U400">
        <v>0</v>
      </c>
      <c r="V400" s="11">
        <v>0</v>
      </c>
      <c r="W400">
        <v>0</v>
      </c>
      <c r="X400">
        <v>10</v>
      </c>
      <c r="Y400">
        <v>0</v>
      </c>
      <c r="Z400" s="11">
        <f>SUM(Table1[[#This Row],[Chi Kept]],Table1[[#This Row],[Chi Released]])</f>
        <v>0</v>
      </c>
      <c r="AA400">
        <f>SUM(Table1[[#This Row],[Co Kept]],Table1[[#This Row],[Co Released ]])</f>
        <v>0</v>
      </c>
      <c r="AB400">
        <f>SUM(Table1[[#This Row],[Pink Kept]],Table1[[#This Row],[Pink Released]])</f>
        <v>15</v>
      </c>
      <c r="AC400">
        <f>SUM(Table1[[#This Row],[Chu Kept]],Table1[[#This Row],[Chu Released]])</f>
        <v>0</v>
      </c>
    </row>
    <row r="401" spans="1:29" x14ac:dyDescent="0.3">
      <c r="A401" s="7">
        <v>45940</v>
      </c>
      <c r="B401">
        <v>8</v>
      </c>
      <c r="C401" t="s">
        <v>236</v>
      </c>
      <c r="D401" t="s">
        <v>26</v>
      </c>
      <c r="E401">
        <v>7</v>
      </c>
      <c r="F401">
        <v>3</v>
      </c>
      <c r="G401">
        <v>6</v>
      </c>
      <c r="H401" t="s">
        <v>241</v>
      </c>
      <c r="I401">
        <v>1</v>
      </c>
      <c r="J401" s="10">
        <v>0.3125</v>
      </c>
      <c r="K401" s="10">
        <v>0.43333333333333335</v>
      </c>
      <c r="L401" s="10">
        <f t="shared" si="13"/>
        <v>0.12083333333333335</v>
      </c>
      <c r="M401" s="12">
        <f t="shared" si="12"/>
        <v>2.9000000000000004</v>
      </c>
      <c r="N401" s="12">
        <f>Table1[[#This Row],[Trip Hours]]*Table1[[#This Row],['#Angler]]</f>
        <v>2.9000000000000004</v>
      </c>
      <c r="O401" t="s">
        <v>342</v>
      </c>
      <c r="Q401" t="s">
        <v>247</v>
      </c>
      <c r="R401" s="11">
        <v>0</v>
      </c>
      <c r="S401">
        <v>0</v>
      </c>
      <c r="T401">
        <v>0</v>
      </c>
      <c r="U401">
        <v>0</v>
      </c>
      <c r="V401" s="11">
        <v>0</v>
      </c>
      <c r="W401">
        <v>0</v>
      </c>
      <c r="X401">
        <v>1</v>
      </c>
      <c r="Y401">
        <v>0</v>
      </c>
      <c r="Z401" s="11">
        <f>SUM(Table1[[#This Row],[Chi Kept]],Table1[[#This Row],[Chi Released]])</f>
        <v>0</v>
      </c>
      <c r="AA401">
        <f>SUM(Table1[[#This Row],[Co Kept]],Table1[[#This Row],[Co Released ]])</f>
        <v>0</v>
      </c>
      <c r="AB401">
        <f>SUM(Table1[[#This Row],[Pink Kept]],Table1[[#This Row],[Pink Released]])</f>
        <v>1</v>
      </c>
      <c r="AC401">
        <f>SUM(Table1[[#This Row],[Chu Kept]],Table1[[#This Row],[Chu Released]])</f>
        <v>0</v>
      </c>
    </row>
    <row r="402" spans="1:29" x14ac:dyDescent="0.3">
      <c r="A402" s="7">
        <v>45940</v>
      </c>
      <c r="B402">
        <v>8</v>
      </c>
      <c r="C402" t="s">
        <v>236</v>
      </c>
      <c r="D402" t="s">
        <v>26</v>
      </c>
      <c r="E402">
        <v>8</v>
      </c>
      <c r="F402">
        <v>3</v>
      </c>
      <c r="G402">
        <v>6</v>
      </c>
      <c r="H402" t="s">
        <v>241</v>
      </c>
      <c r="I402">
        <v>3</v>
      </c>
      <c r="J402" s="10">
        <v>0.3125</v>
      </c>
      <c r="K402" s="10">
        <v>0.46180555555555558</v>
      </c>
      <c r="L402" s="10">
        <f t="shared" si="13"/>
        <v>0.14930555555555558</v>
      </c>
      <c r="M402" s="12">
        <f t="shared" si="12"/>
        <v>3.5833333333333339</v>
      </c>
      <c r="N402" s="12">
        <f>Table1[[#This Row],[Trip Hours]]*Table1[[#This Row],['#Angler]]</f>
        <v>10.750000000000002</v>
      </c>
      <c r="O402" t="s">
        <v>342</v>
      </c>
      <c r="Q402" t="s">
        <v>247</v>
      </c>
      <c r="R402" s="11">
        <v>0</v>
      </c>
      <c r="S402">
        <v>0</v>
      </c>
      <c r="T402">
        <v>12</v>
      </c>
      <c r="U402">
        <v>0</v>
      </c>
      <c r="V402" s="11">
        <v>1</v>
      </c>
      <c r="W402">
        <v>0</v>
      </c>
      <c r="X402">
        <v>20</v>
      </c>
      <c r="Y402">
        <v>0</v>
      </c>
      <c r="Z402" s="11">
        <f>SUM(Table1[[#This Row],[Chi Kept]],Table1[[#This Row],[Chi Released]])</f>
        <v>1</v>
      </c>
      <c r="AA402">
        <f>SUM(Table1[[#This Row],[Co Kept]],Table1[[#This Row],[Co Released ]])</f>
        <v>0</v>
      </c>
      <c r="AB402">
        <f>SUM(Table1[[#This Row],[Pink Kept]],Table1[[#This Row],[Pink Released]])</f>
        <v>32</v>
      </c>
      <c r="AC402">
        <f>SUM(Table1[[#This Row],[Chu Kept]],Table1[[#This Row],[Chu Released]])</f>
        <v>0</v>
      </c>
    </row>
    <row r="403" spans="1:29" x14ac:dyDescent="0.3">
      <c r="A403" s="7">
        <v>45941</v>
      </c>
      <c r="B403">
        <v>8</v>
      </c>
      <c r="C403" t="s">
        <v>250</v>
      </c>
      <c r="D403" t="s">
        <v>26</v>
      </c>
      <c r="E403">
        <v>1</v>
      </c>
      <c r="F403">
        <v>3</v>
      </c>
      <c r="G403">
        <v>8</v>
      </c>
      <c r="H403" t="s">
        <v>241</v>
      </c>
      <c r="I403">
        <v>1</v>
      </c>
      <c r="J403" s="10">
        <v>0.29166666666666669</v>
      </c>
      <c r="K403" s="10">
        <v>0.375</v>
      </c>
      <c r="L403" s="10">
        <f t="shared" si="13"/>
        <v>8.3333333333333315E-2</v>
      </c>
      <c r="M403" s="12">
        <f t="shared" si="12"/>
        <v>1.9999999999999996</v>
      </c>
      <c r="N403" s="12">
        <f>Table1[[#This Row],[Trip Hours]]*Table1[[#This Row],['#Angler]]</f>
        <v>1.9999999999999996</v>
      </c>
      <c r="O403" t="s">
        <v>342</v>
      </c>
      <c r="R403" s="11">
        <v>0</v>
      </c>
      <c r="S403">
        <v>0</v>
      </c>
      <c r="T403">
        <v>1</v>
      </c>
      <c r="U403">
        <v>0</v>
      </c>
      <c r="V403" s="11">
        <v>0</v>
      </c>
      <c r="W403">
        <v>0</v>
      </c>
      <c r="X403">
        <v>0</v>
      </c>
      <c r="Y403">
        <v>0</v>
      </c>
      <c r="Z403" s="11">
        <f>SUM(Table1[[#This Row],[Chi Kept]],Table1[[#This Row],[Chi Released]])</f>
        <v>0</v>
      </c>
      <c r="AA403">
        <f>SUM(Table1[[#This Row],[Co Kept]],Table1[[#This Row],[Co Released ]])</f>
        <v>0</v>
      </c>
      <c r="AB403">
        <f>SUM(Table1[[#This Row],[Pink Kept]],Table1[[#This Row],[Pink Released]])</f>
        <v>1</v>
      </c>
      <c r="AC403">
        <f>SUM(Table1[[#This Row],[Chu Kept]],Table1[[#This Row],[Chu Released]])</f>
        <v>0</v>
      </c>
    </row>
    <row r="404" spans="1:29" x14ac:dyDescent="0.3">
      <c r="A404" s="7">
        <v>45941</v>
      </c>
      <c r="B404">
        <v>8</v>
      </c>
      <c r="C404" t="s">
        <v>250</v>
      </c>
      <c r="D404" t="s">
        <v>26</v>
      </c>
      <c r="E404">
        <v>2</v>
      </c>
      <c r="F404">
        <v>3</v>
      </c>
      <c r="G404">
        <v>8</v>
      </c>
      <c r="H404" t="s">
        <v>241</v>
      </c>
      <c r="I404">
        <v>1</v>
      </c>
      <c r="J404" s="10">
        <v>0.33333333333333331</v>
      </c>
      <c r="K404" s="10">
        <v>0.37847222222222221</v>
      </c>
      <c r="L404" s="10">
        <f t="shared" si="13"/>
        <v>4.5138888888888895E-2</v>
      </c>
      <c r="M404" s="12">
        <f t="shared" si="12"/>
        <v>1.0833333333333335</v>
      </c>
      <c r="N404" s="12">
        <f>Table1[[#This Row],[Trip Hours]]*Table1[[#This Row],['#Angler]]</f>
        <v>1.0833333333333335</v>
      </c>
      <c r="O404" t="s">
        <v>342</v>
      </c>
      <c r="R404" s="11">
        <v>0</v>
      </c>
      <c r="S404">
        <v>0</v>
      </c>
      <c r="T404">
        <v>0</v>
      </c>
      <c r="U404">
        <v>0</v>
      </c>
      <c r="V404" s="11">
        <v>0</v>
      </c>
      <c r="W404">
        <v>0</v>
      </c>
      <c r="X404">
        <v>0</v>
      </c>
      <c r="Y404">
        <v>0</v>
      </c>
      <c r="Z404" s="11">
        <f>SUM(Table1[[#This Row],[Chi Kept]],Table1[[#This Row],[Chi Released]])</f>
        <v>0</v>
      </c>
      <c r="AA404">
        <f>SUM(Table1[[#This Row],[Co Kept]],Table1[[#This Row],[Co Released ]])</f>
        <v>0</v>
      </c>
      <c r="AB404">
        <f>SUM(Table1[[#This Row],[Pink Kept]],Table1[[#This Row],[Pink Released]])</f>
        <v>0</v>
      </c>
      <c r="AC404">
        <f>SUM(Table1[[#This Row],[Chu Kept]],Table1[[#This Row],[Chu Released]])</f>
        <v>0</v>
      </c>
    </row>
    <row r="405" spans="1:29" x14ac:dyDescent="0.3">
      <c r="A405" s="7">
        <v>45941</v>
      </c>
      <c r="B405">
        <v>8</v>
      </c>
      <c r="C405" t="s">
        <v>250</v>
      </c>
      <c r="D405" t="s">
        <v>26</v>
      </c>
      <c r="E405">
        <v>3</v>
      </c>
      <c r="F405">
        <v>3</v>
      </c>
      <c r="G405">
        <v>8</v>
      </c>
      <c r="H405" t="s">
        <v>241</v>
      </c>
      <c r="I405">
        <v>1</v>
      </c>
      <c r="J405" s="10">
        <v>0.29166666666666669</v>
      </c>
      <c r="K405" s="10">
        <v>0.38333333333333336</v>
      </c>
      <c r="L405" s="10">
        <f t="shared" si="13"/>
        <v>9.1666666666666674E-2</v>
      </c>
      <c r="M405" s="12">
        <f t="shared" si="12"/>
        <v>2.2000000000000002</v>
      </c>
      <c r="N405" s="12">
        <f>Table1[[#This Row],[Trip Hours]]*Table1[[#This Row],['#Angler]]</f>
        <v>2.2000000000000002</v>
      </c>
      <c r="O405" t="s">
        <v>342</v>
      </c>
      <c r="P405" t="s">
        <v>73</v>
      </c>
      <c r="Q405" t="s">
        <v>343</v>
      </c>
      <c r="R405" s="11">
        <v>0</v>
      </c>
      <c r="S405">
        <v>0</v>
      </c>
      <c r="T405">
        <v>4</v>
      </c>
      <c r="U405">
        <v>0</v>
      </c>
      <c r="V405" s="11">
        <v>0</v>
      </c>
      <c r="W405">
        <v>0</v>
      </c>
      <c r="X405">
        <v>1</v>
      </c>
      <c r="Y405">
        <v>0</v>
      </c>
      <c r="Z405" s="11">
        <f>SUM(Table1[[#This Row],[Chi Kept]],Table1[[#This Row],[Chi Released]])</f>
        <v>0</v>
      </c>
      <c r="AA405">
        <f>SUM(Table1[[#This Row],[Co Kept]],Table1[[#This Row],[Co Released ]])</f>
        <v>0</v>
      </c>
      <c r="AB405">
        <f>SUM(Table1[[#This Row],[Pink Kept]],Table1[[#This Row],[Pink Released]])</f>
        <v>5</v>
      </c>
      <c r="AC405">
        <f>SUM(Table1[[#This Row],[Chu Kept]],Table1[[#This Row],[Chu Released]])</f>
        <v>0</v>
      </c>
    </row>
    <row r="406" spans="1:29" x14ac:dyDescent="0.3">
      <c r="A406" s="7">
        <v>45941</v>
      </c>
      <c r="B406">
        <v>8</v>
      </c>
      <c r="C406" t="s">
        <v>250</v>
      </c>
      <c r="D406" t="s">
        <v>26</v>
      </c>
      <c r="E406">
        <v>4</v>
      </c>
      <c r="F406">
        <v>3</v>
      </c>
      <c r="G406">
        <v>8</v>
      </c>
      <c r="H406" t="s">
        <v>241</v>
      </c>
      <c r="I406">
        <v>1</v>
      </c>
      <c r="J406" s="10">
        <v>0.29166666666666669</v>
      </c>
      <c r="K406" s="10">
        <v>0.38472222222222224</v>
      </c>
      <c r="L406" s="10">
        <f t="shared" si="13"/>
        <v>9.3055555555555558E-2</v>
      </c>
      <c r="M406" s="12">
        <f t="shared" si="12"/>
        <v>2.2333333333333334</v>
      </c>
      <c r="N406" s="12">
        <f>Table1[[#This Row],[Trip Hours]]*Table1[[#This Row],['#Angler]]</f>
        <v>2.2333333333333334</v>
      </c>
      <c r="O406" t="s">
        <v>342</v>
      </c>
      <c r="Q406" t="s">
        <v>247</v>
      </c>
      <c r="R406" s="11">
        <v>0</v>
      </c>
      <c r="S406">
        <v>0</v>
      </c>
      <c r="T406">
        <v>0</v>
      </c>
      <c r="U406">
        <v>0</v>
      </c>
      <c r="V406" s="11">
        <v>0</v>
      </c>
      <c r="W406">
        <v>0</v>
      </c>
      <c r="X406">
        <v>2</v>
      </c>
      <c r="Y406">
        <v>0</v>
      </c>
      <c r="Z406" s="11">
        <f>SUM(Table1[[#This Row],[Chi Kept]],Table1[[#This Row],[Chi Released]])</f>
        <v>0</v>
      </c>
      <c r="AA406">
        <f>SUM(Table1[[#This Row],[Co Kept]],Table1[[#This Row],[Co Released ]])</f>
        <v>0</v>
      </c>
      <c r="AB406">
        <f>SUM(Table1[[#This Row],[Pink Kept]],Table1[[#This Row],[Pink Released]])</f>
        <v>2</v>
      </c>
      <c r="AC406">
        <f>SUM(Table1[[#This Row],[Chu Kept]],Table1[[#This Row],[Chu Released]])</f>
        <v>0</v>
      </c>
    </row>
    <row r="407" spans="1:29" x14ac:dyDescent="0.3">
      <c r="A407" s="7">
        <v>45941</v>
      </c>
      <c r="B407">
        <v>8</v>
      </c>
      <c r="C407" t="s">
        <v>250</v>
      </c>
      <c r="D407" t="s">
        <v>26</v>
      </c>
      <c r="E407">
        <v>5</v>
      </c>
      <c r="F407">
        <v>3</v>
      </c>
      <c r="G407">
        <v>8</v>
      </c>
      <c r="H407" t="s">
        <v>241</v>
      </c>
      <c r="I407">
        <v>1</v>
      </c>
      <c r="J407" s="10">
        <v>0.33333333333333331</v>
      </c>
      <c r="K407" s="10">
        <v>0.38750000000000001</v>
      </c>
      <c r="L407" s="10">
        <f t="shared" si="13"/>
        <v>5.4166666666666696E-2</v>
      </c>
      <c r="M407" s="12">
        <f t="shared" si="12"/>
        <v>1.3000000000000007</v>
      </c>
      <c r="N407" s="12">
        <f>Table1[[#This Row],[Trip Hours]]*Table1[[#This Row],['#Angler]]</f>
        <v>1.3000000000000007</v>
      </c>
      <c r="O407" t="s">
        <v>342</v>
      </c>
      <c r="R407" s="11">
        <v>0</v>
      </c>
      <c r="S407">
        <v>0</v>
      </c>
      <c r="T407">
        <v>4</v>
      </c>
      <c r="U407">
        <v>0</v>
      </c>
      <c r="V407" s="11">
        <v>0</v>
      </c>
      <c r="W407">
        <v>0</v>
      </c>
      <c r="X407">
        <v>0</v>
      </c>
      <c r="Y407">
        <v>0</v>
      </c>
      <c r="Z407" s="11">
        <f>SUM(Table1[[#This Row],[Chi Kept]],Table1[[#This Row],[Chi Released]])</f>
        <v>0</v>
      </c>
      <c r="AA407">
        <f>SUM(Table1[[#This Row],[Co Kept]],Table1[[#This Row],[Co Released ]])</f>
        <v>0</v>
      </c>
      <c r="AB407">
        <f>SUM(Table1[[#This Row],[Pink Kept]],Table1[[#This Row],[Pink Released]])</f>
        <v>4</v>
      </c>
      <c r="AC407">
        <f>SUM(Table1[[#This Row],[Chu Kept]],Table1[[#This Row],[Chu Released]])</f>
        <v>0</v>
      </c>
    </row>
    <row r="408" spans="1:29" x14ac:dyDescent="0.3">
      <c r="A408" s="7">
        <v>45941</v>
      </c>
      <c r="B408">
        <v>8</v>
      </c>
      <c r="C408" t="s">
        <v>250</v>
      </c>
      <c r="D408" t="s">
        <v>26</v>
      </c>
      <c r="E408">
        <v>6</v>
      </c>
      <c r="F408">
        <v>3</v>
      </c>
      <c r="G408">
        <v>8</v>
      </c>
      <c r="H408" t="s">
        <v>241</v>
      </c>
      <c r="I408">
        <v>1</v>
      </c>
      <c r="J408" s="10">
        <v>0.33333333333333331</v>
      </c>
      <c r="K408" s="10">
        <v>0.39097222222222222</v>
      </c>
      <c r="L408" s="10">
        <f t="shared" si="13"/>
        <v>5.7638888888888906E-2</v>
      </c>
      <c r="M408" s="12">
        <f t="shared" si="12"/>
        <v>1.3833333333333337</v>
      </c>
      <c r="N408" s="12">
        <f>Table1[[#This Row],[Trip Hours]]*Table1[[#This Row],['#Angler]]</f>
        <v>1.3833333333333337</v>
      </c>
      <c r="O408" t="s">
        <v>342</v>
      </c>
      <c r="Q408" t="s">
        <v>247</v>
      </c>
      <c r="R408" s="11">
        <v>0</v>
      </c>
      <c r="S408">
        <v>0</v>
      </c>
      <c r="T408">
        <v>0</v>
      </c>
      <c r="U408">
        <v>0</v>
      </c>
      <c r="V408" s="11">
        <v>0</v>
      </c>
      <c r="W408">
        <v>0</v>
      </c>
      <c r="X408">
        <v>2</v>
      </c>
      <c r="Y408">
        <v>0</v>
      </c>
      <c r="Z408" s="11">
        <f>SUM(Table1[[#This Row],[Chi Kept]],Table1[[#This Row],[Chi Released]])</f>
        <v>0</v>
      </c>
      <c r="AA408">
        <f>SUM(Table1[[#This Row],[Co Kept]],Table1[[#This Row],[Co Released ]])</f>
        <v>0</v>
      </c>
      <c r="AB408">
        <f>SUM(Table1[[#This Row],[Pink Kept]],Table1[[#This Row],[Pink Released]])</f>
        <v>2</v>
      </c>
      <c r="AC408">
        <f>SUM(Table1[[#This Row],[Chu Kept]],Table1[[#This Row],[Chu Released]])</f>
        <v>0</v>
      </c>
    </row>
    <row r="409" spans="1:29" x14ac:dyDescent="0.3">
      <c r="A409" s="7">
        <v>45941</v>
      </c>
      <c r="B409">
        <v>8</v>
      </c>
      <c r="C409" t="s">
        <v>250</v>
      </c>
      <c r="D409" t="s">
        <v>26</v>
      </c>
      <c r="E409">
        <v>7</v>
      </c>
      <c r="F409">
        <v>3</v>
      </c>
      <c r="G409">
        <v>8</v>
      </c>
      <c r="H409" t="s">
        <v>241</v>
      </c>
      <c r="I409">
        <v>2</v>
      </c>
      <c r="J409" s="10">
        <v>0.25</v>
      </c>
      <c r="K409" s="10">
        <v>0.39652777777777776</v>
      </c>
      <c r="L409" s="10">
        <f t="shared" si="13"/>
        <v>0.14652777777777776</v>
      </c>
      <c r="M409" s="12">
        <f t="shared" si="12"/>
        <v>3.5166666666666662</v>
      </c>
      <c r="N409" s="12">
        <f>Table1[[#This Row],[Trip Hours]]*Table1[[#This Row],['#Angler]]</f>
        <v>7.0333333333333323</v>
      </c>
      <c r="O409" t="s">
        <v>342</v>
      </c>
      <c r="R409" s="11">
        <v>0</v>
      </c>
      <c r="S409">
        <v>0</v>
      </c>
      <c r="T409">
        <v>0</v>
      </c>
      <c r="U409">
        <v>0</v>
      </c>
      <c r="V409" s="11">
        <v>0</v>
      </c>
      <c r="W409">
        <v>0</v>
      </c>
      <c r="X409">
        <v>0</v>
      </c>
      <c r="Y409">
        <v>0</v>
      </c>
      <c r="Z409" s="11">
        <f>SUM(Table1[[#This Row],[Chi Kept]],Table1[[#This Row],[Chi Released]])</f>
        <v>0</v>
      </c>
      <c r="AA409">
        <f>SUM(Table1[[#This Row],[Co Kept]],Table1[[#This Row],[Co Released ]])</f>
        <v>0</v>
      </c>
      <c r="AB409">
        <f>SUM(Table1[[#This Row],[Pink Kept]],Table1[[#This Row],[Pink Released]])</f>
        <v>0</v>
      </c>
      <c r="AC409">
        <f>SUM(Table1[[#This Row],[Chu Kept]],Table1[[#This Row],[Chu Released]])</f>
        <v>0</v>
      </c>
    </row>
    <row r="410" spans="1:29" x14ac:dyDescent="0.3">
      <c r="A410" s="7">
        <v>45941</v>
      </c>
      <c r="B410">
        <v>8</v>
      </c>
      <c r="C410" t="s">
        <v>250</v>
      </c>
      <c r="D410" t="s">
        <v>26</v>
      </c>
      <c r="E410">
        <v>8</v>
      </c>
      <c r="F410">
        <v>3</v>
      </c>
      <c r="G410">
        <v>8</v>
      </c>
      <c r="H410" t="s">
        <v>241</v>
      </c>
      <c r="I410">
        <v>1</v>
      </c>
      <c r="J410" s="10">
        <v>0.29166666666666669</v>
      </c>
      <c r="K410" s="10">
        <v>0.40277777777777779</v>
      </c>
      <c r="L410" s="10">
        <f t="shared" si="13"/>
        <v>0.1111111111111111</v>
      </c>
      <c r="M410" s="12">
        <f t="shared" si="12"/>
        <v>2.6666666666666665</v>
      </c>
      <c r="N410" s="12">
        <f>Table1[[#This Row],[Trip Hours]]*Table1[[#This Row],['#Angler]]</f>
        <v>2.6666666666666665</v>
      </c>
      <c r="O410" t="s">
        <v>342</v>
      </c>
      <c r="R410" s="11">
        <v>0</v>
      </c>
      <c r="S410">
        <v>0</v>
      </c>
      <c r="T410">
        <v>0</v>
      </c>
      <c r="U410">
        <v>0</v>
      </c>
      <c r="V410" s="11">
        <v>0</v>
      </c>
      <c r="W410">
        <v>0</v>
      </c>
      <c r="X410">
        <v>0</v>
      </c>
      <c r="Y410">
        <v>0</v>
      </c>
      <c r="Z410" s="11">
        <f>SUM(Table1[[#This Row],[Chi Kept]],Table1[[#This Row],[Chi Released]])</f>
        <v>0</v>
      </c>
      <c r="AA410">
        <f>SUM(Table1[[#This Row],[Co Kept]],Table1[[#This Row],[Co Released ]])</f>
        <v>0</v>
      </c>
      <c r="AB410">
        <f>SUM(Table1[[#This Row],[Pink Kept]],Table1[[#This Row],[Pink Released]])</f>
        <v>0</v>
      </c>
      <c r="AC410">
        <f>SUM(Table1[[#This Row],[Chu Kept]],Table1[[#This Row],[Chu Released]])</f>
        <v>0</v>
      </c>
    </row>
    <row r="411" spans="1:29" x14ac:dyDescent="0.3">
      <c r="A411" s="7">
        <v>45941</v>
      </c>
      <c r="B411">
        <v>8</v>
      </c>
      <c r="C411" t="s">
        <v>250</v>
      </c>
      <c r="D411" t="s">
        <v>26</v>
      </c>
      <c r="E411">
        <v>9</v>
      </c>
      <c r="F411">
        <v>3</v>
      </c>
      <c r="G411">
        <v>8</v>
      </c>
      <c r="H411" t="s">
        <v>241</v>
      </c>
      <c r="I411">
        <v>2</v>
      </c>
      <c r="J411" s="10">
        <v>0.27083333333333331</v>
      </c>
      <c r="K411" s="10">
        <v>0.40277777777777779</v>
      </c>
      <c r="L411" s="10">
        <f t="shared" si="13"/>
        <v>0.13194444444444448</v>
      </c>
      <c r="M411" s="12">
        <f t="shared" si="12"/>
        <v>3.1666666666666674</v>
      </c>
      <c r="N411" s="12">
        <f>Table1[[#This Row],[Trip Hours]]*Table1[[#This Row],['#Angler]]</f>
        <v>6.3333333333333348</v>
      </c>
      <c r="O411" t="s">
        <v>342</v>
      </c>
      <c r="Q411" t="s">
        <v>247</v>
      </c>
      <c r="R411" s="11">
        <v>0</v>
      </c>
      <c r="S411">
        <v>0</v>
      </c>
      <c r="T411">
        <v>0</v>
      </c>
      <c r="U411">
        <v>0</v>
      </c>
      <c r="V411" s="11">
        <v>1</v>
      </c>
      <c r="W411">
        <v>0</v>
      </c>
      <c r="X411">
        <v>2</v>
      </c>
      <c r="Y411">
        <v>0</v>
      </c>
      <c r="Z411" s="11">
        <f>SUM(Table1[[#This Row],[Chi Kept]],Table1[[#This Row],[Chi Released]])</f>
        <v>1</v>
      </c>
      <c r="AA411">
        <f>SUM(Table1[[#This Row],[Co Kept]],Table1[[#This Row],[Co Released ]])</f>
        <v>0</v>
      </c>
      <c r="AB411">
        <f>SUM(Table1[[#This Row],[Pink Kept]],Table1[[#This Row],[Pink Released]])</f>
        <v>2</v>
      </c>
      <c r="AC411">
        <f>SUM(Table1[[#This Row],[Chu Kept]],Table1[[#This Row],[Chu Released]])</f>
        <v>0</v>
      </c>
    </row>
    <row r="412" spans="1:29" x14ac:dyDescent="0.3">
      <c r="A412" s="7">
        <v>45941</v>
      </c>
      <c r="B412">
        <v>8</v>
      </c>
      <c r="C412" t="s">
        <v>250</v>
      </c>
      <c r="D412" t="s">
        <v>26</v>
      </c>
      <c r="E412">
        <v>10</v>
      </c>
      <c r="F412">
        <v>3</v>
      </c>
      <c r="G412">
        <v>8</v>
      </c>
      <c r="H412" t="s">
        <v>241</v>
      </c>
      <c r="I412">
        <v>3</v>
      </c>
      <c r="J412" s="10">
        <v>0.3125</v>
      </c>
      <c r="K412" s="10">
        <v>0.40833333333333333</v>
      </c>
      <c r="L412" s="10">
        <f t="shared" si="13"/>
        <v>9.5833333333333326E-2</v>
      </c>
      <c r="M412" s="12">
        <f t="shared" si="12"/>
        <v>2.2999999999999998</v>
      </c>
      <c r="N412" s="12">
        <f>Table1[[#This Row],[Trip Hours]]*Table1[[#This Row],['#Angler]]</f>
        <v>6.8999999999999995</v>
      </c>
      <c r="O412" t="s">
        <v>342</v>
      </c>
      <c r="Q412" t="s">
        <v>247</v>
      </c>
      <c r="R412" s="11">
        <v>0</v>
      </c>
      <c r="S412">
        <v>0</v>
      </c>
      <c r="T412">
        <v>0</v>
      </c>
      <c r="U412">
        <v>0</v>
      </c>
      <c r="V412" s="11">
        <v>0</v>
      </c>
      <c r="W412">
        <v>0</v>
      </c>
      <c r="X412">
        <v>2</v>
      </c>
      <c r="Y412">
        <v>0</v>
      </c>
      <c r="Z412" s="11">
        <f>SUM(Table1[[#This Row],[Chi Kept]],Table1[[#This Row],[Chi Released]])</f>
        <v>0</v>
      </c>
      <c r="AA412">
        <f>SUM(Table1[[#This Row],[Co Kept]],Table1[[#This Row],[Co Released ]])</f>
        <v>0</v>
      </c>
      <c r="AB412">
        <f>SUM(Table1[[#This Row],[Pink Kept]],Table1[[#This Row],[Pink Released]])</f>
        <v>2</v>
      </c>
      <c r="AC412">
        <f>SUM(Table1[[#This Row],[Chu Kept]],Table1[[#This Row],[Chu Released]])</f>
        <v>0</v>
      </c>
    </row>
    <row r="413" spans="1:29" x14ac:dyDescent="0.3">
      <c r="A413" s="7">
        <v>45941</v>
      </c>
      <c r="B413">
        <v>8</v>
      </c>
      <c r="C413" t="s">
        <v>250</v>
      </c>
      <c r="D413" t="s">
        <v>26</v>
      </c>
      <c r="E413">
        <v>11</v>
      </c>
      <c r="F413">
        <v>3</v>
      </c>
      <c r="G413">
        <v>8</v>
      </c>
      <c r="H413" t="s">
        <v>241</v>
      </c>
      <c r="I413">
        <v>1</v>
      </c>
      <c r="J413" s="10">
        <v>0.3263888888888889</v>
      </c>
      <c r="K413" s="10">
        <v>0.40972222222222221</v>
      </c>
      <c r="L413" s="10">
        <f t="shared" si="13"/>
        <v>8.3333333333333315E-2</v>
      </c>
      <c r="M413" s="12">
        <f t="shared" si="12"/>
        <v>1.9999999999999996</v>
      </c>
      <c r="N413" s="12">
        <f>Table1[[#This Row],[Trip Hours]]*Table1[[#This Row],['#Angler]]</f>
        <v>1.9999999999999996</v>
      </c>
      <c r="O413" t="s">
        <v>342</v>
      </c>
      <c r="R413" s="11">
        <v>0</v>
      </c>
      <c r="S413">
        <v>0</v>
      </c>
      <c r="T413">
        <v>4</v>
      </c>
      <c r="U413">
        <v>0</v>
      </c>
      <c r="V413" s="11">
        <v>0</v>
      </c>
      <c r="W413">
        <v>0</v>
      </c>
      <c r="X413">
        <v>0</v>
      </c>
      <c r="Y413">
        <v>0</v>
      </c>
      <c r="Z413" s="11">
        <f>SUM(Table1[[#This Row],[Chi Kept]],Table1[[#This Row],[Chi Released]])</f>
        <v>0</v>
      </c>
      <c r="AA413">
        <f>SUM(Table1[[#This Row],[Co Kept]],Table1[[#This Row],[Co Released ]])</f>
        <v>0</v>
      </c>
      <c r="AB413">
        <f>SUM(Table1[[#This Row],[Pink Kept]],Table1[[#This Row],[Pink Released]])</f>
        <v>4</v>
      </c>
      <c r="AC413">
        <f>SUM(Table1[[#This Row],[Chu Kept]],Table1[[#This Row],[Chu Released]])</f>
        <v>0</v>
      </c>
    </row>
    <row r="414" spans="1:29" x14ac:dyDescent="0.3">
      <c r="A414" s="7">
        <v>45941</v>
      </c>
      <c r="B414">
        <v>8</v>
      </c>
      <c r="C414" t="s">
        <v>250</v>
      </c>
      <c r="D414" t="s">
        <v>26</v>
      </c>
      <c r="E414">
        <v>12</v>
      </c>
      <c r="F414">
        <v>3</v>
      </c>
      <c r="G414">
        <v>8</v>
      </c>
      <c r="H414" t="s">
        <v>241</v>
      </c>
      <c r="I414">
        <v>1</v>
      </c>
      <c r="J414" s="10">
        <v>0.33333333333333331</v>
      </c>
      <c r="K414" s="10">
        <v>0.41111111111111109</v>
      </c>
      <c r="L414" s="10">
        <f t="shared" si="13"/>
        <v>7.7777777777777779E-2</v>
      </c>
      <c r="M414" s="12">
        <f t="shared" si="12"/>
        <v>1.8666666666666667</v>
      </c>
      <c r="N414" s="12">
        <f>Table1[[#This Row],[Trip Hours]]*Table1[[#This Row],['#Angler]]</f>
        <v>1.8666666666666667</v>
      </c>
      <c r="O414" t="s">
        <v>342</v>
      </c>
      <c r="Q414" t="s">
        <v>247</v>
      </c>
      <c r="R414" s="11">
        <v>0</v>
      </c>
      <c r="S414">
        <v>0</v>
      </c>
      <c r="T414">
        <v>0</v>
      </c>
      <c r="U414">
        <v>0</v>
      </c>
      <c r="V414" s="11">
        <v>0</v>
      </c>
      <c r="W414">
        <v>0</v>
      </c>
      <c r="X414">
        <v>0</v>
      </c>
      <c r="Y414">
        <v>0</v>
      </c>
      <c r="Z414" s="11">
        <f>SUM(Table1[[#This Row],[Chi Kept]],Table1[[#This Row],[Chi Released]])</f>
        <v>0</v>
      </c>
      <c r="AA414">
        <f>SUM(Table1[[#This Row],[Co Kept]],Table1[[#This Row],[Co Released ]])</f>
        <v>0</v>
      </c>
      <c r="AB414">
        <f>SUM(Table1[[#This Row],[Pink Kept]],Table1[[#This Row],[Pink Released]])</f>
        <v>0</v>
      </c>
      <c r="AC414">
        <f>SUM(Table1[[#This Row],[Chu Kept]],Table1[[#This Row],[Chu Released]])</f>
        <v>0</v>
      </c>
    </row>
    <row r="415" spans="1:29" x14ac:dyDescent="0.3">
      <c r="A415" s="7">
        <v>45941</v>
      </c>
      <c r="B415">
        <v>8</v>
      </c>
      <c r="C415" t="s">
        <v>250</v>
      </c>
      <c r="D415" t="s">
        <v>26</v>
      </c>
      <c r="E415">
        <v>13</v>
      </c>
      <c r="F415">
        <v>3</v>
      </c>
      <c r="G415">
        <v>8</v>
      </c>
      <c r="H415" t="s">
        <v>241</v>
      </c>
      <c r="I415">
        <v>1</v>
      </c>
      <c r="J415" s="10">
        <v>0.29166666666666669</v>
      </c>
      <c r="K415" s="10">
        <v>0.41388888888888886</v>
      </c>
      <c r="L415" s="10">
        <f t="shared" si="13"/>
        <v>0.12222222222222218</v>
      </c>
      <c r="M415" s="12">
        <f t="shared" si="12"/>
        <v>2.9333333333333322</v>
      </c>
      <c r="N415" s="12">
        <f>Table1[[#This Row],[Trip Hours]]*Table1[[#This Row],['#Angler]]</f>
        <v>2.9333333333333322</v>
      </c>
      <c r="O415" t="s">
        <v>342</v>
      </c>
      <c r="Q415" t="s">
        <v>247</v>
      </c>
      <c r="R415" s="11">
        <v>0</v>
      </c>
      <c r="S415">
        <v>0</v>
      </c>
      <c r="T415">
        <v>0</v>
      </c>
      <c r="U415">
        <v>0</v>
      </c>
      <c r="V415" s="11">
        <v>0</v>
      </c>
      <c r="W415">
        <v>0</v>
      </c>
      <c r="X415">
        <v>5</v>
      </c>
      <c r="Y415">
        <v>0</v>
      </c>
      <c r="Z415" s="11">
        <f>SUM(Table1[[#This Row],[Chi Kept]],Table1[[#This Row],[Chi Released]])</f>
        <v>0</v>
      </c>
      <c r="AA415">
        <f>SUM(Table1[[#This Row],[Co Kept]],Table1[[#This Row],[Co Released ]])</f>
        <v>0</v>
      </c>
      <c r="AB415">
        <f>SUM(Table1[[#This Row],[Pink Kept]],Table1[[#This Row],[Pink Released]])</f>
        <v>5</v>
      </c>
      <c r="AC415">
        <f>SUM(Table1[[#This Row],[Chu Kept]],Table1[[#This Row],[Chu Released]])</f>
        <v>0</v>
      </c>
    </row>
    <row r="416" spans="1:29" x14ac:dyDescent="0.3">
      <c r="A416" s="7">
        <v>45941</v>
      </c>
      <c r="B416">
        <v>8</v>
      </c>
      <c r="C416" t="s">
        <v>250</v>
      </c>
      <c r="D416" t="s">
        <v>26</v>
      </c>
      <c r="E416">
        <v>14</v>
      </c>
      <c r="F416">
        <v>3</v>
      </c>
      <c r="G416">
        <v>8</v>
      </c>
      <c r="H416" t="s">
        <v>241</v>
      </c>
      <c r="I416">
        <v>1</v>
      </c>
      <c r="J416" s="10">
        <v>0.32291666666666669</v>
      </c>
      <c r="K416" s="10">
        <v>0.41388888888888886</v>
      </c>
      <c r="L416" s="10">
        <f t="shared" si="13"/>
        <v>9.0972222222222177E-2</v>
      </c>
      <c r="M416" s="12">
        <f t="shared" si="12"/>
        <v>2.1833333333333322</v>
      </c>
      <c r="N416" s="12">
        <f>Table1[[#This Row],[Trip Hours]]*Table1[[#This Row],['#Angler]]</f>
        <v>2.1833333333333322</v>
      </c>
      <c r="O416" t="s">
        <v>342</v>
      </c>
      <c r="Q416" t="s">
        <v>247</v>
      </c>
      <c r="R416" s="11">
        <v>0</v>
      </c>
      <c r="S416">
        <v>0</v>
      </c>
      <c r="T416">
        <v>0</v>
      </c>
      <c r="U416">
        <v>0</v>
      </c>
      <c r="V416" s="11">
        <v>0</v>
      </c>
      <c r="W416">
        <v>0</v>
      </c>
      <c r="X416">
        <v>4</v>
      </c>
      <c r="Y416">
        <v>0</v>
      </c>
      <c r="Z416" s="11">
        <f>SUM(Table1[[#This Row],[Chi Kept]],Table1[[#This Row],[Chi Released]])</f>
        <v>0</v>
      </c>
      <c r="AA416">
        <f>SUM(Table1[[#This Row],[Co Kept]],Table1[[#This Row],[Co Released ]])</f>
        <v>0</v>
      </c>
      <c r="AB416">
        <f>SUM(Table1[[#This Row],[Pink Kept]],Table1[[#This Row],[Pink Released]])</f>
        <v>4</v>
      </c>
      <c r="AC416">
        <f>SUM(Table1[[#This Row],[Chu Kept]],Table1[[#This Row],[Chu Released]])</f>
        <v>0</v>
      </c>
    </row>
    <row r="417" spans="1:29" x14ac:dyDescent="0.3">
      <c r="A417" s="7">
        <v>45941</v>
      </c>
      <c r="B417">
        <v>8</v>
      </c>
      <c r="C417" t="s">
        <v>250</v>
      </c>
      <c r="D417" t="s">
        <v>26</v>
      </c>
      <c r="E417">
        <v>15</v>
      </c>
      <c r="F417">
        <v>3</v>
      </c>
      <c r="G417">
        <v>8</v>
      </c>
      <c r="H417" t="s">
        <v>241</v>
      </c>
      <c r="I417">
        <v>1</v>
      </c>
      <c r="J417" s="10">
        <v>0.33333333333333331</v>
      </c>
      <c r="K417" s="10">
        <v>0.42222222222222222</v>
      </c>
      <c r="L417" s="10">
        <f t="shared" si="13"/>
        <v>8.8888888888888906E-2</v>
      </c>
      <c r="M417" s="12">
        <f t="shared" si="12"/>
        <v>2.1333333333333337</v>
      </c>
      <c r="N417" s="12">
        <f>Table1[[#This Row],[Trip Hours]]*Table1[[#This Row],['#Angler]]</f>
        <v>2.1333333333333337</v>
      </c>
      <c r="O417" t="s">
        <v>342</v>
      </c>
      <c r="Q417" t="s">
        <v>247</v>
      </c>
      <c r="R417" s="11">
        <v>0</v>
      </c>
      <c r="S417">
        <v>2</v>
      </c>
      <c r="T417">
        <v>0</v>
      </c>
      <c r="U417">
        <v>0</v>
      </c>
      <c r="V417" s="11">
        <v>0</v>
      </c>
      <c r="W417">
        <v>0</v>
      </c>
      <c r="X417">
        <v>5</v>
      </c>
      <c r="Y417">
        <v>0</v>
      </c>
      <c r="Z417" s="11">
        <f>SUM(Table1[[#This Row],[Chi Kept]],Table1[[#This Row],[Chi Released]])</f>
        <v>0</v>
      </c>
      <c r="AA417">
        <f>SUM(Table1[[#This Row],[Co Kept]],Table1[[#This Row],[Co Released ]])</f>
        <v>2</v>
      </c>
      <c r="AB417">
        <f>SUM(Table1[[#This Row],[Pink Kept]],Table1[[#This Row],[Pink Released]])</f>
        <v>5</v>
      </c>
      <c r="AC417">
        <f>SUM(Table1[[#This Row],[Chu Kept]],Table1[[#This Row],[Chu Released]])</f>
        <v>0</v>
      </c>
    </row>
    <row r="418" spans="1:29" x14ac:dyDescent="0.3">
      <c r="A418" s="7">
        <v>45941</v>
      </c>
      <c r="B418">
        <v>8</v>
      </c>
      <c r="C418" t="s">
        <v>250</v>
      </c>
      <c r="D418" t="s">
        <v>26</v>
      </c>
      <c r="E418">
        <v>16</v>
      </c>
      <c r="F418">
        <v>3</v>
      </c>
      <c r="G418">
        <v>8</v>
      </c>
      <c r="H418" t="s">
        <v>241</v>
      </c>
      <c r="I418">
        <v>1</v>
      </c>
      <c r="J418" s="10">
        <v>0.28125</v>
      </c>
      <c r="K418" s="10">
        <v>0.4236111111111111</v>
      </c>
      <c r="L418" s="10">
        <f t="shared" si="13"/>
        <v>0.1423611111111111</v>
      </c>
      <c r="M418" s="12">
        <f t="shared" si="12"/>
        <v>3.4166666666666665</v>
      </c>
      <c r="N418" s="12">
        <f>Table1[[#This Row],[Trip Hours]]*Table1[[#This Row],['#Angler]]</f>
        <v>3.4166666666666665</v>
      </c>
      <c r="O418" t="s">
        <v>342</v>
      </c>
      <c r="Q418" t="s">
        <v>241</v>
      </c>
      <c r="R418" s="11">
        <v>0</v>
      </c>
      <c r="S418">
        <v>0</v>
      </c>
      <c r="T418">
        <v>1</v>
      </c>
      <c r="U418">
        <v>0</v>
      </c>
      <c r="V418" s="11">
        <v>0</v>
      </c>
      <c r="W418">
        <v>0</v>
      </c>
      <c r="X418">
        <v>4</v>
      </c>
      <c r="Y418">
        <v>0</v>
      </c>
      <c r="Z418" s="11">
        <f>SUM(Table1[[#This Row],[Chi Kept]],Table1[[#This Row],[Chi Released]])</f>
        <v>0</v>
      </c>
      <c r="AA418">
        <f>SUM(Table1[[#This Row],[Co Kept]],Table1[[#This Row],[Co Released ]])</f>
        <v>0</v>
      </c>
      <c r="AB418">
        <f>SUM(Table1[[#This Row],[Pink Kept]],Table1[[#This Row],[Pink Released]])</f>
        <v>5</v>
      </c>
      <c r="AC418">
        <f>SUM(Table1[[#This Row],[Chu Kept]],Table1[[#This Row],[Chu Released]])</f>
        <v>0</v>
      </c>
    </row>
    <row r="419" spans="1:29" x14ac:dyDescent="0.3">
      <c r="A419" s="7">
        <v>45941</v>
      </c>
      <c r="B419">
        <v>8</v>
      </c>
      <c r="C419" t="s">
        <v>250</v>
      </c>
      <c r="D419" t="s">
        <v>26</v>
      </c>
      <c r="E419">
        <v>17</v>
      </c>
      <c r="F419">
        <v>3</v>
      </c>
      <c r="G419">
        <v>8</v>
      </c>
      <c r="H419" t="s">
        <v>241</v>
      </c>
      <c r="I419">
        <v>1</v>
      </c>
      <c r="J419" s="10">
        <v>0.3125</v>
      </c>
      <c r="K419" s="10">
        <v>0.42499999999999999</v>
      </c>
      <c r="L419" s="10">
        <f t="shared" si="13"/>
        <v>0.11249999999999999</v>
      </c>
      <c r="M419" s="12">
        <f t="shared" si="12"/>
        <v>2.6999999999999997</v>
      </c>
      <c r="N419" s="12">
        <f>Table1[[#This Row],[Trip Hours]]*Table1[[#This Row],['#Angler]]</f>
        <v>2.6999999999999997</v>
      </c>
      <c r="O419" t="s">
        <v>342</v>
      </c>
      <c r="Q419" t="s">
        <v>241</v>
      </c>
      <c r="R419" s="11">
        <v>0</v>
      </c>
      <c r="S419">
        <v>0</v>
      </c>
      <c r="T419">
        <v>0</v>
      </c>
      <c r="U419">
        <v>0</v>
      </c>
      <c r="V419" s="11">
        <v>0</v>
      </c>
      <c r="W419">
        <v>0</v>
      </c>
      <c r="X419">
        <v>0</v>
      </c>
      <c r="Y419">
        <v>0</v>
      </c>
      <c r="Z419" s="11">
        <f>SUM(Table1[[#This Row],[Chi Kept]],Table1[[#This Row],[Chi Released]])</f>
        <v>0</v>
      </c>
      <c r="AA419">
        <f>SUM(Table1[[#This Row],[Co Kept]],Table1[[#This Row],[Co Released ]])</f>
        <v>0</v>
      </c>
      <c r="AB419">
        <f>SUM(Table1[[#This Row],[Pink Kept]],Table1[[#This Row],[Pink Released]])</f>
        <v>0</v>
      </c>
      <c r="AC419">
        <f>SUM(Table1[[#This Row],[Chu Kept]],Table1[[#This Row],[Chu Released]])</f>
        <v>0</v>
      </c>
    </row>
    <row r="420" spans="1:29" x14ac:dyDescent="0.3">
      <c r="A420" s="7">
        <v>45941</v>
      </c>
      <c r="B420">
        <v>8</v>
      </c>
      <c r="C420" t="s">
        <v>250</v>
      </c>
      <c r="D420" t="s">
        <v>26</v>
      </c>
      <c r="E420">
        <v>18</v>
      </c>
      <c r="F420">
        <v>3</v>
      </c>
      <c r="G420">
        <v>8</v>
      </c>
      <c r="H420" t="s">
        <v>241</v>
      </c>
      <c r="I420">
        <v>1</v>
      </c>
      <c r="J420" s="10">
        <v>0.28125</v>
      </c>
      <c r="K420" s="10">
        <v>0.43125000000000002</v>
      </c>
      <c r="L420" s="10">
        <f t="shared" si="13"/>
        <v>0.15000000000000002</v>
      </c>
      <c r="M420" s="12">
        <f t="shared" si="12"/>
        <v>3.6000000000000005</v>
      </c>
      <c r="N420" s="12">
        <f>Table1[[#This Row],[Trip Hours]]*Table1[[#This Row],['#Angler]]</f>
        <v>3.6000000000000005</v>
      </c>
      <c r="O420" t="s">
        <v>342</v>
      </c>
      <c r="R420" s="11">
        <v>0</v>
      </c>
      <c r="S420">
        <v>0</v>
      </c>
      <c r="T420">
        <v>5</v>
      </c>
      <c r="U420">
        <v>0</v>
      </c>
      <c r="V420" s="11">
        <v>0</v>
      </c>
      <c r="W420">
        <v>0</v>
      </c>
      <c r="X420">
        <v>13</v>
      </c>
      <c r="Y420">
        <v>0</v>
      </c>
      <c r="Z420" s="11">
        <f>SUM(Table1[[#This Row],[Chi Kept]],Table1[[#This Row],[Chi Released]])</f>
        <v>0</v>
      </c>
      <c r="AA420">
        <f>SUM(Table1[[#This Row],[Co Kept]],Table1[[#This Row],[Co Released ]])</f>
        <v>0</v>
      </c>
      <c r="AB420">
        <f>SUM(Table1[[#This Row],[Pink Kept]],Table1[[#This Row],[Pink Released]])</f>
        <v>18</v>
      </c>
      <c r="AC420">
        <f>SUM(Table1[[#This Row],[Chu Kept]],Table1[[#This Row],[Chu Released]])</f>
        <v>0</v>
      </c>
    </row>
    <row r="421" spans="1:29" x14ac:dyDescent="0.3">
      <c r="A421" s="7">
        <v>45941</v>
      </c>
      <c r="B421">
        <v>8</v>
      </c>
      <c r="C421" t="s">
        <v>250</v>
      </c>
      <c r="D421" t="s">
        <v>26</v>
      </c>
      <c r="E421">
        <v>19</v>
      </c>
      <c r="F421">
        <v>3</v>
      </c>
      <c r="G421">
        <v>8</v>
      </c>
      <c r="H421" t="s">
        <v>241</v>
      </c>
      <c r="I421">
        <v>1</v>
      </c>
      <c r="J421" s="10">
        <v>0.29166666666666669</v>
      </c>
      <c r="K421" s="10">
        <v>0.43333333333333335</v>
      </c>
      <c r="L421" s="10">
        <f t="shared" si="13"/>
        <v>0.14166666666666666</v>
      </c>
      <c r="M421" s="12">
        <f t="shared" si="12"/>
        <v>3.4</v>
      </c>
      <c r="N421" s="12">
        <f>Table1[[#This Row],[Trip Hours]]*Table1[[#This Row],['#Angler]]</f>
        <v>3.4</v>
      </c>
      <c r="O421" t="s">
        <v>342</v>
      </c>
      <c r="Q421" t="s">
        <v>247</v>
      </c>
      <c r="R421" s="11">
        <v>0</v>
      </c>
      <c r="S421">
        <v>0</v>
      </c>
      <c r="T421">
        <v>0</v>
      </c>
      <c r="U421">
        <v>0</v>
      </c>
      <c r="V421" s="11">
        <v>0</v>
      </c>
      <c r="W421">
        <v>0</v>
      </c>
      <c r="X421">
        <v>15</v>
      </c>
      <c r="Y421">
        <v>0</v>
      </c>
      <c r="Z421" s="11">
        <f>SUM(Table1[[#This Row],[Chi Kept]],Table1[[#This Row],[Chi Released]])</f>
        <v>0</v>
      </c>
      <c r="AA421">
        <f>SUM(Table1[[#This Row],[Co Kept]],Table1[[#This Row],[Co Released ]])</f>
        <v>0</v>
      </c>
      <c r="AB421">
        <f>SUM(Table1[[#This Row],[Pink Kept]],Table1[[#This Row],[Pink Released]])</f>
        <v>15</v>
      </c>
      <c r="AC421">
        <f>SUM(Table1[[#This Row],[Chu Kept]],Table1[[#This Row],[Chu Released]])</f>
        <v>0</v>
      </c>
    </row>
    <row r="422" spans="1:29" x14ac:dyDescent="0.3">
      <c r="A422" s="7">
        <v>45941</v>
      </c>
      <c r="B422">
        <v>8</v>
      </c>
      <c r="C422" t="s">
        <v>250</v>
      </c>
      <c r="D422" t="s">
        <v>26</v>
      </c>
      <c r="E422">
        <v>20</v>
      </c>
      <c r="F422">
        <v>3</v>
      </c>
      <c r="G422">
        <v>8</v>
      </c>
      <c r="H422" t="s">
        <v>241</v>
      </c>
      <c r="I422">
        <v>1</v>
      </c>
      <c r="J422" s="10">
        <v>0.375</v>
      </c>
      <c r="K422" s="10">
        <v>0.44444444444444442</v>
      </c>
      <c r="L422" s="10">
        <f t="shared" si="13"/>
        <v>6.944444444444442E-2</v>
      </c>
      <c r="M422" s="12">
        <f t="shared" si="12"/>
        <v>1.6666666666666661</v>
      </c>
      <c r="N422" s="12">
        <f>Table1[[#This Row],[Trip Hours]]*Table1[[#This Row],['#Angler]]</f>
        <v>1.6666666666666661</v>
      </c>
      <c r="O422" t="s">
        <v>342</v>
      </c>
      <c r="R422" s="11">
        <v>0</v>
      </c>
      <c r="S422">
        <v>0</v>
      </c>
      <c r="T422">
        <v>0</v>
      </c>
      <c r="U422">
        <v>0</v>
      </c>
      <c r="V422" s="11">
        <v>0</v>
      </c>
      <c r="W422">
        <v>0</v>
      </c>
      <c r="X422">
        <v>0</v>
      </c>
      <c r="Y422">
        <v>0</v>
      </c>
      <c r="Z422" s="11">
        <f>SUM(Table1[[#This Row],[Chi Kept]],Table1[[#This Row],[Chi Released]])</f>
        <v>0</v>
      </c>
      <c r="AA422">
        <f>SUM(Table1[[#This Row],[Co Kept]],Table1[[#This Row],[Co Released ]])</f>
        <v>0</v>
      </c>
      <c r="AB422">
        <f>SUM(Table1[[#This Row],[Pink Kept]],Table1[[#This Row],[Pink Released]])</f>
        <v>0</v>
      </c>
      <c r="AC422">
        <f>SUM(Table1[[#This Row],[Chu Kept]],Table1[[#This Row],[Chu Released]])</f>
        <v>0</v>
      </c>
    </row>
    <row r="423" spans="1:29" x14ac:dyDescent="0.3">
      <c r="A423" s="7">
        <v>45941</v>
      </c>
      <c r="B423">
        <v>8</v>
      </c>
      <c r="C423" t="s">
        <v>250</v>
      </c>
      <c r="D423" t="s">
        <v>26</v>
      </c>
      <c r="E423">
        <v>21</v>
      </c>
      <c r="F423">
        <v>3</v>
      </c>
      <c r="G423">
        <v>8</v>
      </c>
      <c r="H423" t="s">
        <v>241</v>
      </c>
      <c r="I423">
        <v>1</v>
      </c>
      <c r="J423" s="10">
        <v>0.29166666666666669</v>
      </c>
      <c r="K423" s="10">
        <v>0.44583333333333336</v>
      </c>
      <c r="L423" s="10">
        <f t="shared" si="13"/>
        <v>0.15416666666666667</v>
      </c>
      <c r="M423" s="12">
        <f t="shared" si="12"/>
        <v>3.7</v>
      </c>
      <c r="N423" s="12">
        <f>Table1[[#This Row],[Trip Hours]]*Table1[[#This Row],['#Angler]]</f>
        <v>3.7</v>
      </c>
      <c r="O423" t="s">
        <v>342</v>
      </c>
      <c r="Q423" t="s">
        <v>343</v>
      </c>
      <c r="R423" s="11">
        <v>0</v>
      </c>
      <c r="S423">
        <v>0</v>
      </c>
      <c r="T423">
        <v>0</v>
      </c>
      <c r="U423">
        <v>0</v>
      </c>
      <c r="V423" s="11">
        <v>0</v>
      </c>
      <c r="W423">
        <v>0</v>
      </c>
      <c r="X423">
        <v>2</v>
      </c>
      <c r="Y423">
        <v>0</v>
      </c>
      <c r="Z423" s="11">
        <f>SUM(Table1[[#This Row],[Chi Kept]],Table1[[#This Row],[Chi Released]])</f>
        <v>0</v>
      </c>
      <c r="AA423">
        <f>SUM(Table1[[#This Row],[Co Kept]],Table1[[#This Row],[Co Released ]])</f>
        <v>0</v>
      </c>
      <c r="AB423">
        <f>SUM(Table1[[#This Row],[Pink Kept]],Table1[[#This Row],[Pink Released]])</f>
        <v>2</v>
      </c>
      <c r="AC423">
        <f>SUM(Table1[[#This Row],[Chu Kept]],Table1[[#This Row],[Chu Released]])</f>
        <v>0</v>
      </c>
    </row>
    <row r="424" spans="1:29" x14ac:dyDescent="0.3">
      <c r="A424" s="7">
        <v>45941</v>
      </c>
      <c r="B424">
        <v>8</v>
      </c>
      <c r="C424" t="s">
        <v>250</v>
      </c>
      <c r="D424" t="s">
        <v>26</v>
      </c>
      <c r="E424">
        <v>22</v>
      </c>
      <c r="F424">
        <v>3</v>
      </c>
      <c r="G424">
        <v>8</v>
      </c>
      <c r="H424" t="s">
        <v>241</v>
      </c>
      <c r="I424">
        <v>1</v>
      </c>
      <c r="J424" s="10">
        <v>0.41666666666666669</v>
      </c>
      <c r="K424" s="10">
        <v>0.45833333333333331</v>
      </c>
      <c r="L424" s="10">
        <f t="shared" si="13"/>
        <v>4.166666666666663E-2</v>
      </c>
      <c r="M424" s="12">
        <f t="shared" si="12"/>
        <v>0.99999999999999911</v>
      </c>
      <c r="N424" s="12">
        <f>Table1[[#This Row],[Trip Hours]]*Table1[[#This Row],['#Angler]]</f>
        <v>0.99999999999999911</v>
      </c>
      <c r="O424" t="s">
        <v>342</v>
      </c>
      <c r="R424" s="11">
        <v>0</v>
      </c>
      <c r="S424">
        <v>0</v>
      </c>
      <c r="T424">
        <v>0</v>
      </c>
      <c r="U424">
        <v>0</v>
      </c>
      <c r="V424" s="11">
        <v>0</v>
      </c>
      <c r="W424">
        <v>0</v>
      </c>
      <c r="X424">
        <v>1</v>
      </c>
      <c r="Y424">
        <v>0</v>
      </c>
      <c r="Z424" s="11">
        <f>SUM(Table1[[#This Row],[Chi Kept]],Table1[[#This Row],[Chi Released]])</f>
        <v>0</v>
      </c>
      <c r="AA424">
        <f>SUM(Table1[[#This Row],[Co Kept]],Table1[[#This Row],[Co Released ]])</f>
        <v>0</v>
      </c>
      <c r="AB424">
        <f>SUM(Table1[[#This Row],[Pink Kept]],Table1[[#This Row],[Pink Released]])</f>
        <v>1</v>
      </c>
      <c r="AC424">
        <f>SUM(Table1[[#This Row],[Chu Kept]],Table1[[#This Row],[Chu Released]])</f>
        <v>0</v>
      </c>
    </row>
    <row r="425" spans="1:29" x14ac:dyDescent="0.3">
      <c r="A425" s="7">
        <v>45941</v>
      </c>
      <c r="B425">
        <v>8</v>
      </c>
      <c r="C425" t="s">
        <v>250</v>
      </c>
      <c r="D425" t="s">
        <v>26</v>
      </c>
      <c r="E425">
        <v>23</v>
      </c>
      <c r="F425">
        <v>3</v>
      </c>
      <c r="G425">
        <v>8</v>
      </c>
      <c r="H425" t="s">
        <v>241</v>
      </c>
      <c r="I425">
        <v>1</v>
      </c>
      <c r="J425" s="10">
        <v>0.29166666666666669</v>
      </c>
      <c r="K425" s="10">
        <v>0.45833333333333331</v>
      </c>
      <c r="L425" s="10">
        <f t="shared" si="13"/>
        <v>0.16666666666666663</v>
      </c>
      <c r="M425" s="12">
        <f t="shared" si="12"/>
        <v>3.9999999999999991</v>
      </c>
      <c r="N425" s="12">
        <f>Table1[[#This Row],[Trip Hours]]*Table1[[#This Row],['#Angler]]</f>
        <v>3.9999999999999991</v>
      </c>
      <c r="O425" t="s">
        <v>342</v>
      </c>
      <c r="Q425" t="s">
        <v>247</v>
      </c>
      <c r="R425" s="11">
        <v>0</v>
      </c>
      <c r="S425">
        <v>0</v>
      </c>
      <c r="T425">
        <v>0</v>
      </c>
      <c r="U425">
        <v>0</v>
      </c>
      <c r="V425" s="11">
        <v>0</v>
      </c>
      <c r="W425">
        <v>0</v>
      </c>
      <c r="X425">
        <v>3</v>
      </c>
      <c r="Y425">
        <v>0</v>
      </c>
      <c r="Z425" s="11">
        <f>SUM(Table1[[#This Row],[Chi Kept]],Table1[[#This Row],[Chi Released]])</f>
        <v>0</v>
      </c>
      <c r="AA425">
        <f>SUM(Table1[[#This Row],[Co Kept]],Table1[[#This Row],[Co Released ]])</f>
        <v>0</v>
      </c>
      <c r="AB425">
        <f>SUM(Table1[[#This Row],[Pink Kept]],Table1[[#This Row],[Pink Released]])</f>
        <v>3</v>
      </c>
      <c r="AC425">
        <f>SUM(Table1[[#This Row],[Chu Kept]],Table1[[#This Row],[Chu Released]])</f>
        <v>0</v>
      </c>
    </row>
    <row r="426" spans="1:29" x14ac:dyDescent="0.3">
      <c r="A426" s="7">
        <v>45941</v>
      </c>
      <c r="B426">
        <v>8</v>
      </c>
      <c r="C426" t="s">
        <v>250</v>
      </c>
      <c r="D426" t="s">
        <v>26</v>
      </c>
      <c r="E426">
        <v>24</v>
      </c>
      <c r="F426">
        <v>3</v>
      </c>
      <c r="G426">
        <v>8</v>
      </c>
      <c r="H426" t="s">
        <v>241</v>
      </c>
      <c r="I426">
        <v>1</v>
      </c>
      <c r="J426" s="10">
        <v>0.3125</v>
      </c>
      <c r="K426" s="10">
        <v>0.46875</v>
      </c>
      <c r="L426" s="10">
        <f t="shared" si="13"/>
        <v>0.15625</v>
      </c>
      <c r="M426" s="12">
        <f t="shared" si="12"/>
        <v>3.75</v>
      </c>
      <c r="N426" s="12">
        <f>Table1[[#This Row],[Trip Hours]]*Table1[[#This Row],['#Angler]]</f>
        <v>3.75</v>
      </c>
      <c r="O426" t="s">
        <v>342</v>
      </c>
      <c r="Q426" t="s">
        <v>247</v>
      </c>
      <c r="R426" s="11">
        <v>0</v>
      </c>
      <c r="S426">
        <v>0</v>
      </c>
      <c r="T426">
        <v>6</v>
      </c>
      <c r="U426">
        <v>0</v>
      </c>
      <c r="V426" s="11">
        <v>0</v>
      </c>
      <c r="W426">
        <v>0</v>
      </c>
      <c r="X426">
        <v>8</v>
      </c>
      <c r="Y426">
        <v>0</v>
      </c>
      <c r="Z426" s="11">
        <f>SUM(Table1[[#This Row],[Chi Kept]],Table1[[#This Row],[Chi Released]])</f>
        <v>0</v>
      </c>
      <c r="AA426">
        <f>SUM(Table1[[#This Row],[Co Kept]],Table1[[#This Row],[Co Released ]])</f>
        <v>0</v>
      </c>
      <c r="AB426">
        <f>SUM(Table1[[#This Row],[Pink Kept]],Table1[[#This Row],[Pink Released]])</f>
        <v>14</v>
      </c>
      <c r="AC426">
        <f>SUM(Table1[[#This Row],[Chu Kept]],Table1[[#This Row],[Chu Released]])</f>
        <v>0</v>
      </c>
    </row>
    <row r="427" spans="1:29" x14ac:dyDescent="0.3">
      <c r="A427" s="7">
        <v>45941</v>
      </c>
      <c r="B427">
        <v>8</v>
      </c>
      <c r="C427" t="s">
        <v>250</v>
      </c>
      <c r="D427" t="s">
        <v>42</v>
      </c>
      <c r="E427">
        <v>25</v>
      </c>
      <c r="F427">
        <v>3</v>
      </c>
      <c r="G427">
        <v>8</v>
      </c>
      <c r="H427" t="s">
        <v>241</v>
      </c>
      <c r="I427">
        <v>1</v>
      </c>
      <c r="J427" s="10">
        <v>0.375</v>
      </c>
      <c r="K427" s="10">
        <v>0.56805555555555554</v>
      </c>
      <c r="L427" s="10">
        <f t="shared" si="13"/>
        <v>0.19305555555555554</v>
      </c>
      <c r="M427" s="12">
        <f t="shared" si="12"/>
        <v>4.6333333333333329</v>
      </c>
      <c r="N427" s="12">
        <f>Table1[[#This Row],[Trip Hours]]*Table1[[#This Row],['#Angler]]</f>
        <v>4.6333333333333329</v>
      </c>
      <c r="O427" t="s">
        <v>342</v>
      </c>
      <c r="R427" s="11">
        <v>0</v>
      </c>
      <c r="S427">
        <v>0</v>
      </c>
      <c r="T427">
        <v>0</v>
      </c>
      <c r="U427">
        <v>0</v>
      </c>
      <c r="V427" s="11">
        <v>0</v>
      </c>
      <c r="W427">
        <v>0</v>
      </c>
      <c r="X427">
        <v>12</v>
      </c>
      <c r="Y427">
        <v>0</v>
      </c>
      <c r="Z427" s="11">
        <f>SUM(Table1[[#This Row],[Chi Kept]],Table1[[#This Row],[Chi Released]])</f>
        <v>0</v>
      </c>
      <c r="AA427">
        <f>SUM(Table1[[#This Row],[Co Kept]],Table1[[#This Row],[Co Released ]])</f>
        <v>0</v>
      </c>
      <c r="AB427">
        <f>SUM(Table1[[#This Row],[Pink Kept]],Table1[[#This Row],[Pink Released]])</f>
        <v>12</v>
      </c>
      <c r="AC427">
        <f>SUM(Table1[[#This Row],[Chu Kept]],Table1[[#This Row],[Chu Released]])</f>
        <v>0</v>
      </c>
    </row>
    <row r="428" spans="1:29" x14ac:dyDescent="0.3">
      <c r="A428" s="7">
        <v>45941</v>
      </c>
      <c r="B428">
        <v>8</v>
      </c>
      <c r="C428" t="s">
        <v>250</v>
      </c>
      <c r="D428" t="s">
        <v>42</v>
      </c>
      <c r="E428">
        <v>26</v>
      </c>
      <c r="F428">
        <v>2</v>
      </c>
      <c r="G428">
        <v>2</v>
      </c>
      <c r="H428" t="s">
        <v>241</v>
      </c>
      <c r="I428">
        <v>2</v>
      </c>
      <c r="J428" s="10">
        <v>0.64583333333333337</v>
      </c>
      <c r="K428" s="10">
        <v>0.70486111111111116</v>
      </c>
      <c r="L428" s="10">
        <f t="shared" si="13"/>
        <v>5.902777777777779E-2</v>
      </c>
      <c r="M428" s="12">
        <f t="shared" si="12"/>
        <v>1.416666666666667</v>
      </c>
      <c r="N428" s="12">
        <f>Table1[[#This Row],[Trip Hours]]*Table1[[#This Row],['#Angler]]</f>
        <v>2.8333333333333339</v>
      </c>
      <c r="O428" t="s">
        <v>342</v>
      </c>
      <c r="P428" t="s">
        <v>56</v>
      </c>
      <c r="Q428" t="s">
        <v>247</v>
      </c>
      <c r="R428" s="11">
        <v>0</v>
      </c>
      <c r="S428">
        <v>1</v>
      </c>
      <c r="T428">
        <v>0</v>
      </c>
      <c r="U428">
        <v>0</v>
      </c>
      <c r="V428" s="11">
        <v>0</v>
      </c>
      <c r="W428">
        <v>0</v>
      </c>
      <c r="X428">
        <v>0</v>
      </c>
      <c r="Y428">
        <v>0</v>
      </c>
      <c r="Z428" s="11">
        <f>SUM(Table1[[#This Row],[Chi Kept]],Table1[[#This Row],[Chi Released]])</f>
        <v>0</v>
      </c>
      <c r="AA428">
        <f>SUM(Table1[[#This Row],[Co Kept]],Table1[[#This Row],[Co Released ]])</f>
        <v>1</v>
      </c>
      <c r="AB428">
        <f>SUM(Table1[[#This Row],[Pink Kept]],Table1[[#This Row],[Pink Released]])</f>
        <v>0</v>
      </c>
      <c r="AC428">
        <f>SUM(Table1[[#This Row],[Chu Kept]],Table1[[#This Row],[Chu Released]])</f>
        <v>0</v>
      </c>
    </row>
    <row r="429" spans="1:29" x14ac:dyDescent="0.3">
      <c r="A429" s="7">
        <v>45945</v>
      </c>
      <c r="B429">
        <v>9</v>
      </c>
      <c r="C429" t="s">
        <v>236</v>
      </c>
      <c r="D429" t="s">
        <v>26</v>
      </c>
      <c r="E429">
        <v>1</v>
      </c>
      <c r="F429">
        <v>2</v>
      </c>
      <c r="G429">
        <v>2</v>
      </c>
      <c r="H429" t="s">
        <v>241</v>
      </c>
      <c r="I429">
        <v>1</v>
      </c>
      <c r="J429" s="10">
        <v>0.33333333333333331</v>
      </c>
      <c r="K429" s="10">
        <v>0.37152777777777779</v>
      </c>
      <c r="L429" s="10">
        <f t="shared" si="13"/>
        <v>3.8194444444444475E-2</v>
      </c>
      <c r="M429" s="12">
        <f t="shared" si="12"/>
        <v>0.91666666666666741</v>
      </c>
      <c r="N429" s="12">
        <f>Table1[[#This Row],[Trip Hours]]*Table1[[#This Row],['#Angler]]</f>
        <v>0.91666666666666741</v>
      </c>
      <c r="O429" t="s">
        <v>349</v>
      </c>
      <c r="P429" t="s">
        <v>56</v>
      </c>
      <c r="Q429" t="s">
        <v>241</v>
      </c>
      <c r="R429" s="11">
        <v>0</v>
      </c>
      <c r="S429">
        <v>1</v>
      </c>
      <c r="T429">
        <v>0</v>
      </c>
      <c r="U429">
        <v>0</v>
      </c>
      <c r="V429" s="11">
        <v>0</v>
      </c>
      <c r="W429">
        <v>0</v>
      </c>
      <c r="X429">
        <v>0</v>
      </c>
      <c r="Y429">
        <v>0</v>
      </c>
      <c r="Z429" s="11">
        <f>SUM(Table1[[#This Row],[Chi Kept]],Table1[[#This Row],[Chi Released]])</f>
        <v>0</v>
      </c>
      <c r="AA429">
        <f>SUM(Table1[[#This Row],[Co Kept]],Table1[[#This Row],[Co Released ]])</f>
        <v>1</v>
      </c>
      <c r="AB429">
        <f>SUM(Table1[[#This Row],[Pink Kept]],Table1[[#This Row],[Pink Released]])</f>
        <v>0</v>
      </c>
      <c r="AC429">
        <f>SUM(Table1[[#This Row],[Chu Kept]],Table1[[#This Row],[Chu Released]])</f>
        <v>0</v>
      </c>
    </row>
    <row r="430" spans="1:29" x14ac:dyDescent="0.3">
      <c r="A430" s="7">
        <v>45945</v>
      </c>
      <c r="B430">
        <v>9</v>
      </c>
      <c r="C430" t="s">
        <v>236</v>
      </c>
      <c r="D430" t="s">
        <v>26</v>
      </c>
      <c r="E430">
        <v>2</v>
      </c>
      <c r="F430">
        <v>2</v>
      </c>
      <c r="G430">
        <v>2</v>
      </c>
      <c r="H430" t="s">
        <v>241</v>
      </c>
      <c r="I430">
        <v>1</v>
      </c>
      <c r="J430" s="10">
        <v>0.3125</v>
      </c>
      <c r="K430" s="10">
        <v>0.37152777777777779</v>
      </c>
      <c r="L430" s="10">
        <f t="shared" si="13"/>
        <v>5.902777777777779E-2</v>
      </c>
      <c r="M430" s="12">
        <f t="shared" si="12"/>
        <v>1.416666666666667</v>
      </c>
      <c r="N430" s="12">
        <f>Table1[[#This Row],[Trip Hours]]*Table1[[#This Row],['#Angler]]</f>
        <v>1.416666666666667</v>
      </c>
      <c r="O430" t="s">
        <v>349</v>
      </c>
      <c r="P430" t="s">
        <v>56</v>
      </c>
      <c r="Q430" t="s">
        <v>247</v>
      </c>
      <c r="R430" s="11">
        <v>0</v>
      </c>
      <c r="S430">
        <v>1</v>
      </c>
      <c r="T430">
        <v>0</v>
      </c>
      <c r="U430">
        <v>0</v>
      </c>
      <c r="V430" s="11">
        <v>0</v>
      </c>
      <c r="W430">
        <v>0</v>
      </c>
      <c r="X430">
        <v>0</v>
      </c>
      <c r="Y430">
        <v>0</v>
      </c>
      <c r="Z430" s="11">
        <f>SUM(Table1[[#This Row],[Chi Kept]],Table1[[#This Row],[Chi Released]])</f>
        <v>0</v>
      </c>
      <c r="AA430">
        <f>SUM(Table1[[#This Row],[Co Kept]],Table1[[#This Row],[Co Released ]])</f>
        <v>1</v>
      </c>
      <c r="AB430">
        <f>SUM(Table1[[#This Row],[Pink Kept]],Table1[[#This Row],[Pink Released]])</f>
        <v>0</v>
      </c>
      <c r="AC430">
        <f>SUM(Table1[[#This Row],[Chu Kept]],Table1[[#This Row],[Chu Released]])</f>
        <v>0</v>
      </c>
    </row>
    <row r="431" spans="1:29" x14ac:dyDescent="0.3">
      <c r="A431" s="7">
        <v>45945</v>
      </c>
      <c r="B431">
        <v>9</v>
      </c>
      <c r="C431" t="s">
        <v>236</v>
      </c>
      <c r="D431" t="s">
        <v>26</v>
      </c>
      <c r="E431">
        <v>3</v>
      </c>
      <c r="F431">
        <v>2</v>
      </c>
      <c r="G431">
        <v>2</v>
      </c>
      <c r="H431" t="s">
        <v>241</v>
      </c>
      <c r="I431">
        <v>1</v>
      </c>
      <c r="J431" s="10">
        <v>0.3125</v>
      </c>
      <c r="K431" s="10">
        <v>0.37152777777777779</v>
      </c>
      <c r="L431" s="10">
        <f t="shared" si="13"/>
        <v>5.902777777777779E-2</v>
      </c>
      <c r="M431" s="12">
        <f t="shared" si="12"/>
        <v>1.416666666666667</v>
      </c>
      <c r="N431" s="12">
        <f>Table1[[#This Row],[Trip Hours]]*Table1[[#This Row],['#Angler]]</f>
        <v>1.416666666666667</v>
      </c>
      <c r="O431" t="s">
        <v>349</v>
      </c>
      <c r="P431" t="s">
        <v>56</v>
      </c>
      <c r="Q431" t="s">
        <v>247</v>
      </c>
      <c r="R431" s="11">
        <v>0</v>
      </c>
      <c r="S431">
        <v>0</v>
      </c>
      <c r="T431">
        <v>0</v>
      </c>
      <c r="U431">
        <v>0</v>
      </c>
      <c r="V431" s="11">
        <v>0</v>
      </c>
      <c r="W431">
        <v>0</v>
      </c>
      <c r="X431">
        <v>0</v>
      </c>
      <c r="Y431">
        <v>0</v>
      </c>
      <c r="Z431" s="11">
        <f>SUM(Table1[[#This Row],[Chi Kept]],Table1[[#This Row],[Chi Released]])</f>
        <v>0</v>
      </c>
      <c r="AA431">
        <f>SUM(Table1[[#This Row],[Co Kept]],Table1[[#This Row],[Co Released ]])</f>
        <v>0</v>
      </c>
      <c r="AB431">
        <f>SUM(Table1[[#This Row],[Pink Kept]],Table1[[#This Row],[Pink Released]])</f>
        <v>0</v>
      </c>
      <c r="AC431">
        <f>SUM(Table1[[#This Row],[Chu Kept]],Table1[[#This Row],[Chu Released]])</f>
        <v>0</v>
      </c>
    </row>
    <row r="432" spans="1:29" x14ac:dyDescent="0.3">
      <c r="A432" s="7">
        <v>45945</v>
      </c>
      <c r="B432">
        <v>9</v>
      </c>
      <c r="C432" t="s">
        <v>236</v>
      </c>
      <c r="D432" t="s">
        <v>26</v>
      </c>
      <c r="E432">
        <v>4</v>
      </c>
      <c r="F432">
        <v>3</v>
      </c>
      <c r="G432">
        <v>6</v>
      </c>
      <c r="H432" t="s">
        <v>241</v>
      </c>
      <c r="I432">
        <v>1</v>
      </c>
      <c r="J432" s="10">
        <v>0.3923611111111111</v>
      </c>
      <c r="K432" s="10">
        <v>0.41319444444444442</v>
      </c>
      <c r="L432" s="10">
        <f t="shared" si="13"/>
        <v>2.0833333333333315E-2</v>
      </c>
      <c r="M432" s="12">
        <f t="shared" si="12"/>
        <v>0.49999999999999956</v>
      </c>
      <c r="N432" s="12">
        <f>Table1[[#This Row],[Trip Hours]]*Table1[[#This Row],['#Angler]]</f>
        <v>0.49999999999999956</v>
      </c>
      <c r="O432" t="s">
        <v>342</v>
      </c>
      <c r="R432" s="11">
        <v>0</v>
      </c>
      <c r="S432">
        <v>0</v>
      </c>
      <c r="T432">
        <v>0</v>
      </c>
      <c r="U432">
        <v>0</v>
      </c>
      <c r="V432" s="11">
        <v>0</v>
      </c>
      <c r="W432">
        <v>0</v>
      </c>
      <c r="X432">
        <v>3</v>
      </c>
      <c r="Y432">
        <v>0</v>
      </c>
      <c r="Z432" s="11">
        <f>SUM(Table1[[#This Row],[Chi Kept]],Table1[[#This Row],[Chi Released]])</f>
        <v>0</v>
      </c>
      <c r="AA432">
        <f>SUM(Table1[[#This Row],[Co Kept]],Table1[[#This Row],[Co Released ]])</f>
        <v>0</v>
      </c>
      <c r="AB432">
        <f>SUM(Table1[[#This Row],[Pink Kept]],Table1[[#This Row],[Pink Released]])</f>
        <v>3</v>
      </c>
      <c r="AC432">
        <f>SUM(Table1[[#This Row],[Chu Kept]],Table1[[#This Row],[Chu Released]])</f>
        <v>0</v>
      </c>
    </row>
    <row r="433" spans="1:31" x14ac:dyDescent="0.3">
      <c r="A433" s="7">
        <v>45946</v>
      </c>
      <c r="B433">
        <v>9</v>
      </c>
      <c r="C433" t="s">
        <v>236</v>
      </c>
      <c r="D433" t="s">
        <v>26</v>
      </c>
      <c r="E433">
        <v>1</v>
      </c>
      <c r="F433">
        <v>2</v>
      </c>
      <c r="G433">
        <v>2</v>
      </c>
      <c r="H433" t="s">
        <v>241</v>
      </c>
      <c r="I433">
        <v>1</v>
      </c>
      <c r="J433" s="10">
        <v>0.32291666666666669</v>
      </c>
      <c r="K433" s="10">
        <v>0.34375</v>
      </c>
      <c r="L433" s="10">
        <f t="shared" si="13"/>
        <v>2.0833333333333315E-2</v>
      </c>
      <c r="M433" s="12">
        <f t="shared" si="12"/>
        <v>0.49999999999999956</v>
      </c>
      <c r="N433" s="12">
        <f>Table1[[#This Row],[Trip Hours]]*Table1[[#This Row],['#Angler]]</f>
        <v>0.49999999999999956</v>
      </c>
      <c r="O433" t="s">
        <v>349</v>
      </c>
      <c r="P433" t="s">
        <v>56</v>
      </c>
      <c r="Q433" t="s">
        <v>247</v>
      </c>
      <c r="R433" s="11">
        <v>0</v>
      </c>
      <c r="S433">
        <v>0</v>
      </c>
      <c r="T433">
        <v>0</v>
      </c>
      <c r="U433">
        <v>0</v>
      </c>
      <c r="V433" s="11">
        <v>0</v>
      </c>
      <c r="W433">
        <v>0</v>
      </c>
      <c r="X433">
        <v>0</v>
      </c>
      <c r="Y433">
        <v>0</v>
      </c>
      <c r="Z433" s="11">
        <f>SUM(Table1[[#This Row],[Chi Kept]],Table1[[#This Row],[Chi Released]])</f>
        <v>0</v>
      </c>
      <c r="AA433">
        <f>SUM(Table1[[#This Row],[Co Kept]],Table1[[#This Row],[Co Released ]])</f>
        <v>0</v>
      </c>
      <c r="AB433">
        <f>SUM(Table1[[#This Row],[Pink Kept]],Table1[[#This Row],[Pink Released]])</f>
        <v>0</v>
      </c>
      <c r="AC433">
        <f>SUM(Table1[[#This Row],[Chu Kept]],Table1[[#This Row],[Chu Released]])</f>
        <v>0</v>
      </c>
    </row>
    <row r="434" spans="1:31" x14ac:dyDescent="0.3">
      <c r="A434" s="7">
        <v>45946</v>
      </c>
      <c r="B434">
        <v>9</v>
      </c>
      <c r="C434" t="s">
        <v>236</v>
      </c>
      <c r="D434" t="s">
        <v>26</v>
      </c>
      <c r="E434">
        <v>2</v>
      </c>
      <c r="F434">
        <v>2</v>
      </c>
      <c r="G434">
        <v>2</v>
      </c>
      <c r="H434" t="s">
        <v>241</v>
      </c>
      <c r="I434">
        <v>1</v>
      </c>
      <c r="J434" s="10">
        <v>0.30555555555555558</v>
      </c>
      <c r="K434" s="10">
        <v>0.375</v>
      </c>
      <c r="L434" s="10">
        <f t="shared" si="13"/>
        <v>6.944444444444442E-2</v>
      </c>
      <c r="M434" s="12">
        <f t="shared" si="12"/>
        <v>1.6666666666666661</v>
      </c>
      <c r="N434" s="12">
        <f>Table1[[#This Row],[Trip Hours]]*Table1[[#This Row],['#Angler]]</f>
        <v>1.6666666666666661</v>
      </c>
      <c r="O434" t="s">
        <v>342</v>
      </c>
      <c r="R434" s="11">
        <v>0</v>
      </c>
      <c r="S434">
        <v>0</v>
      </c>
      <c r="T434">
        <v>0</v>
      </c>
      <c r="U434">
        <v>0</v>
      </c>
      <c r="V434" s="11">
        <v>0</v>
      </c>
      <c r="W434">
        <v>0</v>
      </c>
      <c r="X434">
        <v>0</v>
      </c>
      <c r="Y434">
        <v>0</v>
      </c>
      <c r="Z434" s="11">
        <f>SUM(Table1[[#This Row],[Chi Kept]],Table1[[#This Row],[Chi Released]])</f>
        <v>0</v>
      </c>
      <c r="AA434">
        <f>SUM(Table1[[#This Row],[Co Kept]],Table1[[#This Row],[Co Released ]])</f>
        <v>0</v>
      </c>
      <c r="AB434">
        <f>SUM(Table1[[#This Row],[Pink Kept]],Table1[[#This Row],[Pink Released]])</f>
        <v>0</v>
      </c>
      <c r="AC434">
        <f>SUM(Table1[[#This Row],[Chu Kept]],Table1[[#This Row],[Chu Released]])</f>
        <v>0</v>
      </c>
    </row>
    <row r="435" spans="1:31" x14ac:dyDescent="0.3">
      <c r="A435" s="7">
        <v>45946</v>
      </c>
      <c r="B435">
        <v>9</v>
      </c>
      <c r="C435" t="s">
        <v>236</v>
      </c>
      <c r="D435" t="s">
        <v>26</v>
      </c>
      <c r="E435">
        <v>3</v>
      </c>
      <c r="F435">
        <v>2</v>
      </c>
      <c r="G435">
        <v>2</v>
      </c>
      <c r="H435" t="s">
        <v>241</v>
      </c>
      <c r="I435">
        <v>2</v>
      </c>
      <c r="J435" s="10">
        <v>0.3263888888888889</v>
      </c>
      <c r="K435" s="10">
        <v>0.38263888888888886</v>
      </c>
      <c r="L435" s="10">
        <f t="shared" si="13"/>
        <v>5.6249999999999967E-2</v>
      </c>
      <c r="M435" s="12">
        <f t="shared" si="12"/>
        <v>1.3499999999999992</v>
      </c>
      <c r="N435" s="12">
        <f>Table1[[#This Row],[Trip Hours]]*Table1[[#This Row],['#Angler]]</f>
        <v>2.6999999999999984</v>
      </c>
      <c r="O435" t="s">
        <v>342</v>
      </c>
      <c r="P435" t="s">
        <v>56</v>
      </c>
      <c r="Q435" t="s">
        <v>247</v>
      </c>
      <c r="R435" s="11">
        <v>0</v>
      </c>
      <c r="S435">
        <v>0</v>
      </c>
      <c r="T435">
        <v>0</v>
      </c>
      <c r="U435">
        <v>0</v>
      </c>
      <c r="V435" s="11">
        <v>0</v>
      </c>
      <c r="W435">
        <v>0</v>
      </c>
      <c r="X435">
        <v>0</v>
      </c>
      <c r="Y435">
        <v>0</v>
      </c>
      <c r="Z435" s="11">
        <f>SUM(Table1[[#This Row],[Chi Kept]],Table1[[#This Row],[Chi Released]])</f>
        <v>0</v>
      </c>
      <c r="AA435">
        <f>SUM(Table1[[#This Row],[Co Kept]],Table1[[#This Row],[Co Released ]])</f>
        <v>0</v>
      </c>
      <c r="AB435">
        <f>SUM(Table1[[#This Row],[Pink Kept]],Table1[[#This Row],[Pink Released]])</f>
        <v>0</v>
      </c>
      <c r="AC435">
        <f>SUM(Table1[[#This Row],[Chu Kept]],Table1[[#This Row],[Chu Released]])</f>
        <v>0</v>
      </c>
    </row>
    <row r="436" spans="1:31" x14ac:dyDescent="0.3">
      <c r="A436" s="7">
        <v>45946</v>
      </c>
      <c r="B436">
        <v>9</v>
      </c>
      <c r="C436" t="s">
        <v>236</v>
      </c>
      <c r="D436" t="s">
        <v>26</v>
      </c>
      <c r="E436">
        <v>4</v>
      </c>
      <c r="F436">
        <v>2</v>
      </c>
      <c r="G436">
        <v>2</v>
      </c>
      <c r="H436" t="s">
        <v>241</v>
      </c>
      <c r="I436">
        <v>1</v>
      </c>
      <c r="J436" s="10">
        <v>0.3125</v>
      </c>
      <c r="K436" s="10">
        <v>0.38541666666666669</v>
      </c>
      <c r="L436" s="10">
        <f t="shared" si="13"/>
        <v>7.2916666666666685E-2</v>
      </c>
      <c r="M436" s="12">
        <f t="shared" si="12"/>
        <v>1.7500000000000004</v>
      </c>
      <c r="N436" s="12">
        <f>Table1[[#This Row],[Trip Hours]]*Table1[[#This Row],['#Angler]]</f>
        <v>1.7500000000000004</v>
      </c>
      <c r="O436" t="s">
        <v>349</v>
      </c>
      <c r="P436" t="s">
        <v>56</v>
      </c>
      <c r="Q436" t="s">
        <v>247</v>
      </c>
      <c r="R436" s="11">
        <v>0</v>
      </c>
      <c r="S436">
        <v>1</v>
      </c>
      <c r="T436">
        <v>0</v>
      </c>
      <c r="U436">
        <v>0</v>
      </c>
      <c r="V436" s="11">
        <v>0</v>
      </c>
      <c r="W436">
        <v>0</v>
      </c>
      <c r="X436">
        <v>0</v>
      </c>
      <c r="Y436">
        <v>0</v>
      </c>
      <c r="Z436" s="11">
        <f>SUM(Table1[[#This Row],[Chi Kept]],Table1[[#This Row],[Chi Released]])</f>
        <v>0</v>
      </c>
      <c r="AA436">
        <f>SUM(Table1[[#This Row],[Co Kept]],Table1[[#This Row],[Co Released ]])</f>
        <v>1</v>
      </c>
      <c r="AB436">
        <f>SUM(Table1[[#This Row],[Pink Kept]],Table1[[#This Row],[Pink Released]])</f>
        <v>0</v>
      </c>
      <c r="AC436">
        <f>SUM(Table1[[#This Row],[Chu Kept]],Table1[[#This Row],[Chu Released]])</f>
        <v>0</v>
      </c>
    </row>
    <row r="437" spans="1:31" x14ac:dyDescent="0.3">
      <c r="A437" s="7">
        <v>45946</v>
      </c>
      <c r="B437">
        <v>9</v>
      </c>
      <c r="C437" t="s">
        <v>236</v>
      </c>
      <c r="D437" t="s">
        <v>26</v>
      </c>
      <c r="E437">
        <v>5</v>
      </c>
      <c r="F437">
        <v>2</v>
      </c>
      <c r="G437">
        <v>2</v>
      </c>
      <c r="H437" t="s">
        <v>241</v>
      </c>
      <c r="I437">
        <v>1</v>
      </c>
      <c r="J437" s="10">
        <v>0.3125</v>
      </c>
      <c r="K437" s="10">
        <v>0.38541666666666669</v>
      </c>
      <c r="L437" s="10">
        <f t="shared" si="13"/>
        <v>7.2916666666666685E-2</v>
      </c>
      <c r="M437" s="12">
        <f t="shared" si="12"/>
        <v>1.7500000000000004</v>
      </c>
      <c r="N437" s="12">
        <f>Table1[[#This Row],[Trip Hours]]*Table1[[#This Row],['#Angler]]</f>
        <v>1.7500000000000004</v>
      </c>
      <c r="O437" t="s">
        <v>349</v>
      </c>
      <c r="P437" t="s">
        <v>56</v>
      </c>
      <c r="Q437" t="s">
        <v>247</v>
      </c>
      <c r="R437" s="11">
        <v>0</v>
      </c>
      <c r="S437">
        <v>0</v>
      </c>
      <c r="T437">
        <v>0</v>
      </c>
      <c r="U437">
        <v>0</v>
      </c>
      <c r="V437" s="11">
        <v>0</v>
      </c>
      <c r="W437">
        <v>0</v>
      </c>
      <c r="X437">
        <v>0</v>
      </c>
      <c r="Y437">
        <v>0</v>
      </c>
      <c r="Z437" s="11">
        <f>SUM(Table1[[#This Row],[Chi Kept]],Table1[[#This Row],[Chi Released]])</f>
        <v>0</v>
      </c>
      <c r="AA437">
        <f>SUM(Table1[[#This Row],[Co Kept]],Table1[[#This Row],[Co Released ]])</f>
        <v>0</v>
      </c>
      <c r="AB437">
        <f>SUM(Table1[[#This Row],[Pink Kept]],Table1[[#This Row],[Pink Released]])</f>
        <v>0</v>
      </c>
      <c r="AC437">
        <f>SUM(Table1[[#This Row],[Chu Kept]],Table1[[#This Row],[Chu Released]])</f>
        <v>0</v>
      </c>
      <c r="AD437" s="11" t="s">
        <v>365</v>
      </c>
    </row>
    <row r="438" spans="1:31" x14ac:dyDescent="0.3">
      <c r="A438" s="7">
        <v>45946</v>
      </c>
      <c r="B438">
        <v>9</v>
      </c>
      <c r="C438" t="s">
        <v>236</v>
      </c>
      <c r="D438" t="s">
        <v>26</v>
      </c>
      <c r="E438">
        <v>6</v>
      </c>
      <c r="F438">
        <v>2</v>
      </c>
      <c r="G438">
        <v>2</v>
      </c>
      <c r="H438" t="s">
        <v>241</v>
      </c>
      <c r="I438">
        <v>2</v>
      </c>
      <c r="J438" s="10">
        <v>0.29166666666666669</v>
      </c>
      <c r="K438" s="10">
        <v>0.43888888888888888</v>
      </c>
      <c r="L438" s="10">
        <f t="shared" si="13"/>
        <v>0.1472222222222222</v>
      </c>
      <c r="M438" s="12">
        <f t="shared" si="12"/>
        <v>3.5333333333333328</v>
      </c>
      <c r="N438" s="12">
        <f>Table1[[#This Row],[Trip Hours]]*Table1[[#This Row],['#Angler]]</f>
        <v>7.0666666666666655</v>
      </c>
      <c r="O438" t="s">
        <v>342</v>
      </c>
      <c r="P438" t="s">
        <v>56</v>
      </c>
      <c r="Q438" t="s">
        <v>247</v>
      </c>
      <c r="R438" s="11">
        <v>0</v>
      </c>
      <c r="S438">
        <v>2</v>
      </c>
      <c r="T438">
        <v>0</v>
      </c>
      <c r="U438">
        <v>0</v>
      </c>
      <c r="V438" s="11">
        <v>0</v>
      </c>
      <c r="W438">
        <v>0</v>
      </c>
      <c r="X438">
        <v>0</v>
      </c>
      <c r="Y438">
        <v>0</v>
      </c>
      <c r="Z438" s="11">
        <f>SUM(Table1[[#This Row],[Chi Kept]],Table1[[#This Row],[Chi Released]])</f>
        <v>0</v>
      </c>
      <c r="AA438">
        <f>SUM(Table1[[#This Row],[Co Kept]],Table1[[#This Row],[Co Released ]])</f>
        <v>2</v>
      </c>
      <c r="AB438">
        <f>SUM(Table1[[#This Row],[Pink Kept]],Table1[[#This Row],[Pink Released]])</f>
        <v>0</v>
      </c>
      <c r="AC438">
        <f>SUM(Table1[[#This Row],[Chu Kept]],Table1[[#This Row],[Chu Released]])</f>
        <v>0</v>
      </c>
      <c r="AE438" t="s">
        <v>184</v>
      </c>
    </row>
    <row r="439" spans="1:31" x14ac:dyDescent="0.3">
      <c r="A439" s="7">
        <v>45946</v>
      </c>
      <c r="B439">
        <v>9</v>
      </c>
      <c r="C439" t="s">
        <v>236</v>
      </c>
      <c r="D439" t="s">
        <v>42</v>
      </c>
      <c r="E439">
        <v>7</v>
      </c>
      <c r="F439">
        <v>2</v>
      </c>
      <c r="G439">
        <v>3</v>
      </c>
      <c r="H439" t="s">
        <v>241</v>
      </c>
      <c r="I439">
        <v>2</v>
      </c>
      <c r="J439" s="10">
        <v>0.58333333333333337</v>
      </c>
      <c r="K439" s="10">
        <v>0.69652777777777775</v>
      </c>
      <c r="L439" s="10">
        <f t="shared" si="13"/>
        <v>0.11319444444444438</v>
      </c>
      <c r="M439" s="12">
        <f t="shared" si="12"/>
        <v>2.716666666666665</v>
      </c>
      <c r="N439" s="12">
        <f>Table1[[#This Row],[Trip Hours]]*Table1[[#This Row],['#Angler]]</f>
        <v>5.43333333333333</v>
      </c>
      <c r="O439" t="s">
        <v>342</v>
      </c>
      <c r="P439" t="s">
        <v>73</v>
      </c>
      <c r="Q439" t="s">
        <v>247</v>
      </c>
      <c r="R439" s="11">
        <v>0</v>
      </c>
      <c r="S439">
        <v>0</v>
      </c>
      <c r="T439">
        <v>0</v>
      </c>
      <c r="U439">
        <v>0</v>
      </c>
      <c r="V439" s="11">
        <v>0</v>
      </c>
      <c r="W439">
        <v>0</v>
      </c>
      <c r="X439">
        <v>0</v>
      </c>
      <c r="Y439">
        <v>0</v>
      </c>
      <c r="Z439" s="11">
        <f>SUM(Table1[[#This Row],[Chi Kept]],Table1[[#This Row],[Chi Released]])</f>
        <v>0</v>
      </c>
      <c r="AA439">
        <f>SUM(Table1[[#This Row],[Co Kept]],Table1[[#This Row],[Co Released ]])</f>
        <v>0</v>
      </c>
      <c r="AB439">
        <f>SUM(Table1[[#This Row],[Pink Kept]],Table1[[#This Row],[Pink Released]])</f>
        <v>0</v>
      </c>
      <c r="AC439">
        <f>SUM(Table1[[#This Row],[Chu Kept]],Table1[[#This Row],[Chu Released]])</f>
        <v>0</v>
      </c>
    </row>
    <row r="440" spans="1:31" x14ac:dyDescent="0.3">
      <c r="A440" s="7">
        <v>45946</v>
      </c>
      <c r="B440">
        <v>9</v>
      </c>
      <c r="C440" t="s">
        <v>236</v>
      </c>
      <c r="D440" t="s">
        <v>42</v>
      </c>
      <c r="E440">
        <v>8</v>
      </c>
      <c r="F440">
        <v>2</v>
      </c>
      <c r="G440">
        <v>4</v>
      </c>
      <c r="H440" t="s">
        <v>241</v>
      </c>
      <c r="I440">
        <v>3</v>
      </c>
      <c r="J440" s="10">
        <v>0.71875</v>
      </c>
      <c r="K440" s="10">
        <v>0.73958333333333337</v>
      </c>
      <c r="L440" s="10">
        <f t="shared" si="13"/>
        <v>2.083333333333337E-2</v>
      </c>
      <c r="M440" s="12">
        <f t="shared" si="12"/>
        <v>0.50000000000000089</v>
      </c>
      <c r="N440" s="12">
        <f>Table1[[#This Row],[Trip Hours]]*Table1[[#This Row],['#Angler]]</f>
        <v>1.5000000000000027</v>
      </c>
      <c r="O440" t="s">
        <v>342</v>
      </c>
      <c r="Q440" t="s">
        <v>224</v>
      </c>
      <c r="R440" s="11">
        <v>0</v>
      </c>
      <c r="S440">
        <v>0</v>
      </c>
      <c r="T440">
        <v>0</v>
      </c>
      <c r="U440">
        <v>0</v>
      </c>
      <c r="V440" s="11">
        <v>0</v>
      </c>
      <c r="W440">
        <v>0</v>
      </c>
      <c r="X440">
        <v>0</v>
      </c>
      <c r="Y440">
        <v>0</v>
      </c>
      <c r="Z440" s="11">
        <f>SUM(Table1[[#This Row],[Chi Kept]],Table1[[#This Row],[Chi Released]])</f>
        <v>0</v>
      </c>
      <c r="AA440">
        <f>SUM(Table1[[#This Row],[Co Kept]],Table1[[#This Row],[Co Released ]])</f>
        <v>0</v>
      </c>
      <c r="AB440">
        <f>SUM(Table1[[#This Row],[Pink Kept]],Table1[[#This Row],[Pink Released]])</f>
        <v>0</v>
      </c>
      <c r="AC440">
        <f>SUM(Table1[[#This Row],[Chu Kept]],Table1[[#This Row],[Chu Released]])</f>
        <v>0</v>
      </c>
    </row>
    <row r="441" spans="1:31" x14ac:dyDescent="0.3">
      <c r="A441" s="7">
        <v>45946</v>
      </c>
      <c r="B441">
        <v>9</v>
      </c>
      <c r="C441" t="s">
        <v>236</v>
      </c>
      <c r="D441" t="s">
        <v>42</v>
      </c>
      <c r="E441">
        <v>9</v>
      </c>
      <c r="F441">
        <v>2</v>
      </c>
      <c r="G441">
        <v>4</v>
      </c>
      <c r="H441" t="s">
        <v>241</v>
      </c>
      <c r="I441">
        <v>1</v>
      </c>
      <c r="J441" s="10">
        <v>0.73958333333333337</v>
      </c>
      <c r="K441" s="10">
        <v>0.75763888888888886</v>
      </c>
      <c r="L441" s="10">
        <f t="shared" si="13"/>
        <v>1.8055555555555491E-2</v>
      </c>
      <c r="M441" s="12">
        <f t="shared" si="12"/>
        <v>0.43333333333333179</v>
      </c>
      <c r="N441" s="12">
        <f>Table1[[#This Row],[Trip Hours]]*Table1[[#This Row],['#Angler]]</f>
        <v>0.43333333333333179</v>
      </c>
      <c r="O441" t="s">
        <v>342</v>
      </c>
      <c r="Q441" t="s">
        <v>345</v>
      </c>
      <c r="R441" s="11">
        <v>0</v>
      </c>
      <c r="S441">
        <v>0</v>
      </c>
      <c r="T441">
        <v>0</v>
      </c>
      <c r="U441">
        <v>0</v>
      </c>
      <c r="V441" s="11">
        <v>0</v>
      </c>
      <c r="W441">
        <v>0</v>
      </c>
      <c r="X441">
        <v>0</v>
      </c>
      <c r="Y441">
        <v>0</v>
      </c>
      <c r="Z441" s="11">
        <f>SUM(Table1[[#This Row],[Chi Kept]],Table1[[#This Row],[Chi Released]])</f>
        <v>0</v>
      </c>
      <c r="AA441">
        <f>SUM(Table1[[#This Row],[Co Kept]],Table1[[#This Row],[Co Released ]])</f>
        <v>0</v>
      </c>
      <c r="AB441">
        <f>SUM(Table1[[#This Row],[Pink Kept]],Table1[[#This Row],[Pink Released]])</f>
        <v>0</v>
      </c>
      <c r="AC441">
        <f>SUM(Table1[[#This Row],[Chu Kept]],Table1[[#This Row],[Chu Released]])</f>
        <v>0</v>
      </c>
    </row>
    <row r="442" spans="1:31" x14ac:dyDescent="0.3">
      <c r="A442" s="7">
        <v>45947</v>
      </c>
      <c r="B442">
        <v>9</v>
      </c>
      <c r="C442" t="s">
        <v>236</v>
      </c>
      <c r="D442" t="s">
        <v>26</v>
      </c>
      <c r="E442">
        <v>1</v>
      </c>
      <c r="F442">
        <v>3</v>
      </c>
      <c r="G442">
        <v>8</v>
      </c>
      <c r="H442" t="s">
        <v>241</v>
      </c>
      <c r="I442">
        <v>1</v>
      </c>
      <c r="J442" s="10">
        <v>0.3125</v>
      </c>
      <c r="K442" s="10">
        <v>0.48958333333333331</v>
      </c>
      <c r="L442" s="10">
        <f t="shared" si="13"/>
        <v>0.17708333333333331</v>
      </c>
      <c r="M442" s="12">
        <f t="shared" si="12"/>
        <v>4.25</v>
      </c>
      <c r="N442" s="12">
        <f>Table1[[#This Row],[Trip Hours]]*Table1[[#This Row],['#Angler]]</f>
        <v>4.25</v>
      </c>
      <c r="O442" t="s">
        <v>342</v>
      </c>
      <c r="Q442" t="s">
        <v>247</v>
      </c>
      <c r="R442" s="11">
        <v>0</v>
      </c>
      <c r="S442">
        <v>0</v>
      </c>
      <c r="T442">
        <v>0</v>
      </c>
      <c r="U442">
        <v>0</v>
      </c>
      <c r="V442" s="11">
        <v>0</v>
      </c>
      <c r="W442">
        <v>0</v>
      </c>
      <c r="X442">
        <v>2</v>
      </c>
      <c r="Y442">
        <v>0</v>
      </c>
      <c r="Z442" s="11">
        <f>SUM(Table1[[#This Row],[Chi Kept]],Table1[[#This Row],[Chi Released]])</f>
        <v>0</v>
      </c>
      <c r="AA442">
        <f>SUM(Table1[[#This Row],[Co Kept]],Table1[[#This Row],[Co Released ]])</f>
        <v>0</v>
      </c>
      <c r="AB442">
        <f>SUM(Table1[[#This Row],[Pink Kept]],Table1[[#This Row],[Pink Released]])</f>
        <v>2</v>
      </c>
      <c r="AC442">
        <f>SUM(Table1[[#This Row],[Chu Kept]],Table1[[#This Row],[Chu Released]])</f>
        <v>0</v>
      </c>
    </row>
    <row r="443" spans="1:31" x14ac:dyDescent="0.3">
      <c r="A443" s="7">
        <v>45947</v>
      </c>
      <c r="B443">
        <v>9</v>
      </c>
      <c r="C443" t="s">
        <v>236</v>
      </c>
      <c r="D443" t="s">
        <v>26</v>
      </c>
      <c r="E443">
        <v>2</v>
      </c>
      <c r="F443">
        <v>3</v>
      </c>
      <c r="G443">
        <v>8</v>
      </c>
      <c r="H443" t="s">
        <v>241</v>
      </c>
      <c r="I443">
        <v>2</v>
      </c>
      <c r="J443" s="10">
        <v>0.39583333333333331</v>
      </c>
      <c r="K443" s="10">
        <v>0.49722222222222223</v>
      </c>
      <c r="L443" s="10">
        <f t="shared" si="13"/>
        <v>0.10138888888888892</v>
      </c>
      <c r="M443" s="12">
        <f t="shared" si="12"/>
        <v>2.433333333333334</v>
      </c>
      <c r="N443" s="12">
        <f>Table1[[#This Row],[Trip Hours]]*Table1[[#This Row],['#Angler]]</f>
        <v>4.866666666666668</v>
      </c>
      <c r="O443" t="s">
        <v>342</v>
      </c>
      <c r="Q443" t="s">
        <v>247</v>
      </c>
      <c r="R443" s="11">
        <v>0</v>
      </c>
      <c r="S443">
        <v>2</v>
      </c>
      <c r="T443">
        <v>0</v>
      </c>
      <c r="U443">
        <v>0</v>
      </c>
      <c r="V443" s="11">
        <v>0</v>
      </c>
      <c r="W443">
        <v>0</v>
      </c>
      <c r="X443">
        <v>0</v>
      </c>
      <c r="Y443">
        <v>0</v>
      </c>
      <c r="Z443" s="11">
        <f>SUM(Table1[[#This Row],[Chi Kept]],Table1[[#This Row],[Chi Released]])</f>
        <v>0</v>
      </c>
      <c r="AA443">
        <f>SUM(Table1[[#This Row],[Co Kept]],Table1[[#This Row],[Co Released ]])</f>
        <v>2</v>
      </c>
      <c r="AB443">
        <f>SUM(Table1[[#This Row],[Pink Kept]],Table1[[#This Row],[Pink Released]])</f>
        <v>0</v>
      </c>
      <c r="AC443">
        <f>SUM(Table1[[#This Row],[Chu Kept]],Table1[[#This Row],[Chu Released]])</f>
        <v>0</v>
      </c>
    </row>
    <row r="444" spans="1:31" x14ac:dyDescent="0.3">
      <c r="A444" s="7">
        <v>45947</v>
      </c>
      <c r="B444">
        <v>9</v>
      </c>
      <c r="C444" t="s">
        <v>236</v>
      </c>
      <c r="D444" t="s">
        <v>42</v>
      </c>
      <c r="E444">
        <v>3</v>
      </c>
      <c r="F444">
        <v>2</v>
      </c>
      <c r="G444">
        <v>1</v>
      </c>
      <c r="H444" t="s">
        <v>241</v>
      </c>
      <c r="I444">
        <v>1</v>
      </c>
      <c r="J444" s="10">
        <v>0.61111111111111116</v>
      </c>
      <c r="K444" s="10">
        <v>0.61250000000000004</v>
      </c>
      <c r="L444" s="10">
        <f t="shared" si="13"/>
        <v>1.388888888888884E-3</v>
      </c>
      <c r="M444" s="12">
        <f t="shared" si="12"/>
        <v>3.3333333333333215E-2</v>
      </c>
      <c r="N444" s="12">
        <f>Table1[[#This Row],[Trip Hours]]*Table1[[#This Row],['#Angler]]</f>
        <v>3.3333333333333215E-2</v>
      </c>
      <c r="O444" t="s">
        <v>349</v>
      </c>
      <c r="P444" t="s">
        <v>56</v>
      </c>
      <c r="Q444" t="s">
        <v>247</v>
      </c>
      <c r="R444" s="11">
        <v>0</v>
      </c>
      <c r="S444">
        <v>0</v>
      </c>
      <c r="T444">
        <v>0</v>
      </c>
      <c r="U444">
        <v>0</v>
      </c>
      <c r="V444" s="11">
        <v>0</v>
      </c>
      <c r="W444">
        <v>0</v>
      </c>
      <c r="X444">
        <v>0</v>
      </c>
      <c r="Y444">
        <v>0</v>
      </c>
      <c r="Z444" s="11">
        <f>SUM(Table1[[#This Row],[Chi Kept]],Table1[[#This Row],[Chi Released]])</f>
        <v>0</v>
      </c>
      <c r="AA444">
        <f>SUM(Table1[[#This Row],[Co Kept]],Table1[[#This Row],[Co Released ]])</f>
        <v>0</v>
      </c>
      <c r="AB444">
        <f>SUM(Table1[[#This Row],[Pink Kept]],Table1[[#This Row],[Pink Released]])</f>
        <v>0</v>
      </c>
      <c r="AC444">
        <f>SUM(Table1[[#This Row],[Chu Kept]],Table1[[#This Row],[Chu Released]])</f>
        <v>0</v>
      </c>
    </row>
    <row r="445" spans="1:31" x14ac:dyDescent="0.3">
      <c r="A445" s="7">
        <v>45947</v>
      </c>
      <c r="B445">
        <v>9</v>
      </c>
      <c r="C445" t="s">
        <v>236</v>
      </c>
      <c r="D445" t="s">
        <v>42</v>
      </c>
      <c r="E445">
        <v>4</v>
      </c>
      <c r="F445">
        <v>2</v>
      </c>
      <c r="G445">
        <v>2</v>
      </c>
      <c r="H445" t="s">
        <v>241</v>
      </c>
      <c r="I445">
        <v>1</v>
      </c>
      <c r="J445" s="10">
        <v>0.60416666666666663</v>
      </c>
      <c r="K445" s="10">
        <v>0.62847222222222221</v>
      </c>
      <c r="L445" s="10">
        <f t="shared" si="13"/>
        <v>2.430555555555558E-2</v>
      </c>
      <c r="M445" s="12">
        <f t="shared" si="12"/>
        <v>0.58333333333333393</v>
      </c>
      <c r="N445" s="12">
        <f>Table1[[#This Row],[Trip Hours]]*Table1[[#This Row],['#Angler]]</f>
        <v>0.58333333333333393</v>
      </c>
      <c r="O445" t="s">
        <v>342</v>
      </c>
      <c r="P445" t="s">
        <v>73</v>
      </c>
      <c r="Q445" t="s">
        <v>247</v>
      </c>
      <c r="R445" s="11">
        <v>0</v>
      </c>
      <c r="S445">
        <v>0</v>
      </c>
      <c r="T445">
        <v>0</v>
      </c>
      <c r="U445">
        <v>0</v>
      </c>
      <c r="V445" s="11">
        <v>0</v>
      </c>
      <c r="W445">
        <v>0</v>
      </c>
      <c r="X445">
        <v>0</v>
      </c>
      <c r="Y445">
        <v>0</v>
      </c>
      <c r="Z445" s="11">
        <f>SUM(Table1[[#This Row],[Chi Kept]],Table1[[#This Row],[Chi Released]])</f>
        <v>0</v>
      </c>
      <c r="AA445">
        <f>SUM(Table1[[#This Row],[Co Kept]],Table1[[#This Row],[Co Released ]])</f>
        <v>0</v>
      </c>
      <c r="AB445">
        <f>SUM(Table1[[#This Row],[Pink Kept]],Table1[[#This Row],[Pink Released]])</f>
        <v>0</v>
      </c>
      <c r="AC445">
        <f>SUM(Table1[[#This Row],[Chu Kept]],Table1[[#This Row],[Chu Released]])</f>
        <v>0</v>
      </c>
    </row>
    <row r="446" spans="1:31" x14ac:dyDescent="0.3">
      <c r="A446" s="7">
        <v>45947</v>
      </c>
      <c r="B446">
        <v>9</v>
      </c>
      <c r="C446" t="s">
        <v>236</v>
      </c>
      <c r="D446" t="s">
        <v>42</v>
      </c>
      <c r="E446">
        <v>5</v>
      </c>
      <c r="F446">
        <v>2</v>
      </c>
      <c r="G446">
        <v>4</v>
      </c>
      <c r="H446" t="s">
        <v>241</v>
      </c>
      <c r="I446">
        <v>5</v>
      </c>
      <c r="J446" s="10">
        <v>0.60416666666666663</v>
      </c>
      <c r="K446" s="10">
        <v>0.67152777777777772</v>
      </c>
      <c r="L446" s="10">
        <f t="shared" si="13"/>
        <v>6.7361111111111094E-2</v>
      </c>
      <c r="M446" s="12">
        <f t="shared" si="12"/>
        <v>1.6166666666666663</v>
      </c>
      <c r="N446" s="12">
        <f>Table1[[#This Row],[Trip Hours]]*Table1[[#This Row],['#Angler]]</f>
        <v>8.0833333333333321</v>
      </c>
      <c r="O446" t="s">
        <v>349</v>
      </c>
      <c r="Q446" t="s">
        <v>241</v>
      </c>
      <c r="R446" s="11">
        <v>0</v>
      </c>
      <c r="S446">
        <v>0</v>
      </c>
      <c r="T446">
        <v>1</v>
      </c>
      <c r="U446">
        <v>0</v>
      </c>
      <c r="V446" s="11">
        <v>0</v>
      </c>
      <c r="W446">
        <v>0</v>
      </c>
      <c r="X446">
        <v>0</v>
      </c>
      <c r="Y446">
        <v>0</v>
      </c>
      <c r="Z446" s="11">
        <f>SUM(Table1[[#This Row],[Chi Kept]],Table1[[#This Row],[Chi Released]])</f>
        <v>0</v>
      </c>
      <c r="AA446">
        <f>SUM(Table1[[#This Row],[Co Kept]],Table1[[#This Row],[Co Released ]])</f>
        <v>0</v>
      </c>
      <c r="AB446">
        <f>SUM(Table1[[#This Row],[Pink Kept]],Table1[[#This Row],[Pink Released]])</f>
        <v>1</v>
      </c>
      <c r="AC446">
        <f>SUM(Table1[[#This Row],[Chu Kept]],Table1[[#This Row],[Chu Released]])</f>
        <v>0</v>
      </c>
    </row>
    <row r="447" spans="1:31" x14ac:dyDescent="0.3">
      <c r="A447" s="7">
        <v>45947</v>
      </c>
      <c r="B447">
        <v>9</v>
      </c>
      <c r="C447" t="s">
        <v>236</v>
      </c>
      <c r="D447" t="s">
        <v>42</v>
      </c>
      <c r="E447">
        <v>6</v>
      </c>
      <c r="F447">
        <v>2</v>
      </c>
      <c r="G447">
        <v>4</v>
      </c>
      <c r="H447" t="s">
        <v>241</v>
      </c>
      <c r="I447">
        <v>1</v>
      </c>
      <c r="J447" s="10">
        <v>0.65625</v>
      </c>
      <c r="K447" s="10">
        <v>0.67638888888888893</v>
      </c>
      <c r="L447" s="10">
        <f t="shared" si="13"/>
        <v>2.0138888888888928E-2</v>
      </c>
      <c r="M447" s="12">
        <f t="shared" si="12"/>
        <v>0.48333333333333428</v>
      </c>
      <c r="N447" s="12">
        <f>Table1[[#This Row],[Trip Hours]]*Table1[[#This Row],['#Angler]]</f>
        <v>0.48333333333333428</v>
      </c>
      <c r="O447" t="s">
        <v>349</v>
      </c>
      <c r="Q447" t="s">
        <v>366</v>
      </c>
      <c r="R447" s="11">
        <v>0</v>
      </c>
      <c r="S447">
        <v>0</v>
      </c>
      <c r="T447">
        <v>0</v>
      </c>
      <c r="U447">
        <v>0</v>
      </c>
      <c r="V447" s="11">
        <v>0</v>
      </c>
      <c r="W447">
        <v>0</v>
      </c>
      <c r="X447">
        <v>1</v>
      </c>
      <c r="Y447">
        <v>0</v>
      </c>
      <c r="Z447" s="11">
        <f>SUM(Table1[[#This Row],[Chi Kept]],Table1[[#This Row],[Chi Released]])</f>
        <v>0</v>
      </c>
      <c r="AA447">
        <f>SUM(Table1[[#This Row],[Co Kept]],Table1[[#This Row],[Co Released ]])</f>
        <v>0</v>
      </c>
      <c r="AB447">
        <f>SUM(Table1[[#This Row],[Pink Kept]],Table1[[#This Row],[Pink Released]])</f>
        <v>1</v>
      </c>
      <c r="AC447">
        <f>SUM(Table1[[#This Row],[Chu Kept]],Table1[[#This Row],[Chu Released]])</f>
        <v>0</v>
      </c>
    </row>
    <row r="448" spans="1:31" x14ac:dyDescent="0.3">
      <c r="A448" s="7">
        <v>45947</v>
      </c>
      <c r="B448">
        <v>9</v>
      </c>
      <c r="C448" t="s">
        <v>236</v>
      </c>
      <c r="D448" t="s">
        <v>42</v>
      </c>
      <c r="E448">
        <v>7</v>
      </c>
      <c r="F448">
        <v>3</v>
      </c>
      <c r="G448">
        <v>6</v>
      </c>
      <c r="H448" t="s">
        <v>241</v>
      </c>
      <c r="I448">
        <v>2</v>
      </c>
      <c r="J448" s="10">
        <v>0.66666666666666663</v>
      </c>
      <c r="K448" s="10">
        <v>0.73055555555555551</v>
      </c>
      <c r="L448" s="10">
        <f t="shared" si="13"/>
        <v>6.3888888888888884E-2</v>
      </c>
      <c r="M448" s="12">
        <f t="shared" si="12"/>
        <v>1.5333333333333332</v>
      </c>
      <c r="N448" s="12">
        <f>Table1[[#This Row],[Trip Hours]]*Table1[[#This Row],['#Angler]]</f>
        <v>3.0666666666666664</v>
      </c>
      <c r="O448" t="s">
        <v>342</v>
      </c>
      <c r="Q448" t="s">
        <v>247</v>
      </c>
      <c r="R448" s="11">
        <v>0</v>
      </c>
      <c r="S448">
        <v>0</v>
      </c>
      <c r="T448">
        <v>0</v>
      </c>
      <c r="U448">
        <v>0</v>
      </c>
      <c r="V448" s="11">
        <v>0</v>
      </c>
      <c r="W448">
        <v>0</v>
      </c>
      <c r="X448">
        <v>0</v>
      </c>
      <c r="Y448">
        <v>0</v>
      </c>
      <c r="Z448" s="11">
        <f>SUM(Table1[[#This Row],[Chi Kept]],Table1[[#This Row],[Chi Released]])</f>
        <v>0</v>
      </c>
      <c r="AA448">
        <f>SUM(Table1[[#This Row],[Co Kept]],Table1[[#This Row],[Co Released ]])</f>
        <v>0</v>
      </c>
      <c r="AB448">
        <f>SUM(Table1[[#This Row],[Pink Kept]],Table1[[#This Row],[Pink Released]])</f>
        <v>0</v>
      </c>
      <c r="AC448">
        <f>SUM(Table1[[#This Row],[Chu Kept]],Table1[[#This Row],[Chu Released]])</f>
        <v>0</v>
      </c>
    </row>
    <row r="449" spans="1:31" x14ac:dyDescent="0.3">
      <c r="A449" s="7">
        <v>45947</v>
      </c>
      <c r="B449">
        <v>9</v>
      </c>
      <c r="C449" t="s">
        <v>236</v>
      </c>
      <c r="D449" t="s">
        <v>42</v>
      </c>
      <c r="E449">
        <v>8</v>
      </c>
      <c r="F449">
        <v>3</v>
      </c>
      <c r="G449">
        <v>6</v>
      </c>
      <c r="H449" t="s">
        <v>241</v>
      </c>
      <c r="I449">
        <v>2</v>
      </c>
      <c r="J449" s="10">
        <v>0.625</v>
      </c>
      <c r="K449" s="10">
        <v>0.73472222222222228</v>
      </c>
      <c r="L449" s="10">
        <f t="shared" si="13"/>
        <v>0.10972222222222228</v>
      </c>
      <c r="M449" s="12">
        <f t="shared" si="12"/>
        <v>2.6333333333333346</v>
      </c>
      <c r="N449" s="12">
        <f>Table1[[#This Row],[Trip Hours]]*Table1[[#This Row],['#Angler]]</f>
        <v>5.2666666666666693</v>
      </c>
      <c r="O449" t="s">
        <v>342</v>
      </c>
      <c r="P449" t="s">
        <v>56</v>
      </c>
      <c r="Q449" t="s">
        <v>343</v>
      </c>
      <c r="R449" s="11">
        <v>0</v>
      </c>
      <c r="S449">
        <v>0</v>
      </c>
      <c r="T449">
        <v>7</v>
      </c>
      <c r="U449">
        <v>0</v>
      </c>
      <c r="V449" s="11">
        <v>0</v>
      </c>
      <c r="W449">
        <v>0</v>
      </c>
      <c r="X449">
        <v>4</v>
      </c>
      <c r="Y449">
        <v>0</v>
      </c>
      <c r="Z449" s="11">
        <f>SUM(Table1[[#This Row],[Chi Kept]],Table1[[#This Row],[Chi Released]])</f>
        <v>0</v>
      </c>
      <c r="AA449">
        <f>SUM(Table1[[#This Row],[Co Kept]],Table1[[#This Row],[Co Released ]])</f>
        <v>0</v>
      </c>
      <c r="AB449">
        <f>SUM(Table1[[#This Row],[Pink Kept]],Table1[[#This Row],[Pink Released]])</f>
        <v>11</v>
      </c>
      <c r="AC449">
        <f>SUM(Table1[[#This Row],[Chu Kept]],Table1[[#This Row],[Chu Released]])</f>
        <v>0</v>
      </c>
    </row>
    <row r="450" spans="1:31" x14ac:dyDescent="0.3">
      <c r="A450" s="7">
        <v>45947</v>
      </c>
      <c r="B450">
        <v>9</v>
      </c>
      <c r="C450" t="s">
        <v>236</v>
      </c>
      <c r="D450" t="s">
        <v>42</v>
      </c>
      <c r="E450">
        <v>9</v>
      </c>
      <c r="F450">
        <v>3</v>
      </c>
      <c r="G450">
        <v>6</v>
      </c>
      <c r="H450" t="s">
        <v>241</v>
      </c>
      <c r="I450">
        <v>2</v>
      </c>
      <c r="J450" s="10">
        <v>0.71875</v>
      </c>
      <c r="K450" s="10">
        <v>0.74583333333333335</v>
      </c>
      <c r="L450" s="10">
        <f t="shared" si="13"/>
        <v>2.7083333333333348E-2</v>
      </c>
      <c r="M450" s="12">
        <f t="shared" ref="M450:M513" si="14">L450*24</f>
        <v>0.65000000000000036</v>
      </c>
      <c r="N450" s="12">
        <f>Table1[[#This Row],[Trip Hours]]*Table1[[#This Row],['#Angler]]</f>
        <v>1.3000000000000007</v>
      </c>
      <c r="O450" t="s">
        <v>342</v>
      </c>
      <c r="Q450" t="s">
        <v>247</v>
      </c>
      <c r="R450" s="11">
        <v>0</v>
      </c>
      <c r="S450">
        <v>0</v>
      </c>
      <c r="T450">
        <v>0</v>
      </c>
      <c r="U450">
        <v>0</v>
      </c>
      <c r="V450" s="11">
        <v>0</v>
      </c>
      <c r="W450">
        <v>0</v>
      </c>
      <c r="X450">
        <v>2</v>
      </c>
      <c r="Y450">
        <v>0</v>
      </c>
      <c r="Z450" s="11">
        <f>SUM(Table1[[#This Row],[Chi Kept]],Table1[[#This Row],[Chi Released]])</f>
        <v>0</v>
      </c>
      <c r="AA450">
        <f>SUM(Table1[[#This Row],[Co Kept]],Table1[[#This Row],[Co Released ]])</f>
        <v>0</v>
      </c>
      <c r="AB450">
        <f>SUM(Table1[[#This Row],[Pink Kept]],Table1[[#This Row],[Pink Released]])</f>
        <v>2</v>
      </c>
      <c r="AC450">
        <f>SUM(Table1[[#This Row],[Chu Kept]],Table1[[#This Row],[Chu Released]])</f>
        <v>0</v>
      </c>
    </row>
    <row r="451" spans="1:31" x14ac:dyDescent="0.3">
      <c r="A451" s="7">
        <v>45947</v>
      </c>
      <c r="B451">
        <v>9</v>
      </c>
      <c r="C451" t="s">
        <v>236</v>
      </c>
      <c r="D451" t="s">
        <v>42</v>
      </c>
      <c r="E451">
        <v>10</v>
      </c>
      <c r="F451">
        <v>3</v>
      </c>
      <c r="G451">
        <v>6</v>
      </c>
      <c r="H451" t="s">
        <v>241</v>
      </c>
      <c r="I451">
        <v>2</v>
      </c>
      <c r="J451" s="10">
        <v>0.66666666666666663</v>
      </c>
      <c r="K451" s="10">
        <v>0.74722222222222223</v>
      </c>
      <c r="L451" s="10">
        <f t="shared" ref="L451:L514" si="15">K451-J451</f>
        <v>8.0555555555555602E-2</v>
      </c>
      <c r="M451" s="12">
        <f t="shared" si="14"/>
        <v>1.9333333333333345</v>
      </c>
      <c r="N451" s="12">
        <f>Table1[[#This Row],[Trip Hours]]*Table1[[#This Row],['#Angler]]</f>
        <v>3.8666666666666689</v>
      </c>
      <c r="O451" t="s">
        <v>342</v>
      </c>
      <c r="Q451" t="s">
        <v>247</v>
      </c>
      <c r="R451" s="11">
        <v>0</v>
      </c>
      <c r="S451">
        <v>0</v>
      </c>
      <c r="T451">
        <v>0</v>
      </c>
      <c r="U451">
        <v>0</v>
      </c>
      <c r="V451" s="11">
        <v>0</v>
      </c>
      <c r="W451">
        <v>0</v>
      </c>
      <c r="X451">
        <v>7</v>
      </c>
      <c r="Y451">
        <v>1</v>
      </c>
      <c r="Z451" s="11">
        <f>SUM(Table1[[#This Row],[Chi Kept]],Table1[[#This Row],[Chi Released]])</f>
        <v>0</v>
      </c>
      <c r="AA451">
        <f>SUM(Table1[[#This Row],[Co Kept]],Table1[[#This Row],[Co Released ]])</f>
        <v>0</v>
      </c>
      <c r="AB451">
        <f>SUM(Table1[[#This Row],[Pink Kept]],Table1[[#This Row],[Pink Released]])</f>
        <v>7</v>
      </c>
      <c r="AC451">
        <f>SUM(Table1[[#This Row],[Chu Kept]],Table1[[#This Row],[Chu Released]])</f>
        <v>1</v>
      </c>
    </row>
    <row r="452" spans="1:31" x14ac:dyDescent="0.3">
      <c r="A452" s="7">
        <v>45947</v>
      </c>
      <c r="B452">
        <v>9</v>
      </c>
      <c r="C452" t="s">
        <v>236</v>
      </c>
      <c r="D452" t="s">
        <v>42</v>
      </c>
      <c r="E452">
        <v>11</v>
      </c>
      <c r="F452">
        <v>3</v>
      </c>
      <c r="G452">
        <v>6</v>
      </c>
      <c r="H452" t="s">
        <v>241</v>
      </c>
      <c r="I452">
        <v>1</v>
      </c>
      <c r="J452" s="10">
        <v>0.70833333333333337</v>
      </c>
      <c r="K452" s="10">
        <v>0.74791666666666667</v>
      </c>
      <c r="L452" s="10">
        <f t="shared" si="15"/>
        <v>3.9583333333333304E-2</v>
      </c>
      <c r="M452" s="12">
        <f t="shared" si="14"/>
        <v>0.94999999999999929</v>
      </c>
      <c r="N452" s="12">
        <f>Table1[[#This Row],[Trip Hours]]*Table1[[#This Row],['#Angler]]</f>
        <v>0.94999999999999929</v>
      </c>
      <c r="O452" t="s">
        <v>342</v>
      </c>
      <c r="Q452" t="s">
        <v>247</v>
      </c>
      <c r="R452" s="11">
        <v>0</v>
      </c>
      <c r="S452">
        <v>0</v>
      </c>
      <c r="T452">
        <v>0</v>
      </c>
      <c r="U452">
        <v>0</v>
      </c>
      <c r="V452" s="11">
        <v>0</v>
      </c>
      <c r="W452">
        <v>0</v>
      </c>
      <c r="X452">
        <v>0</v>
      </c>
      <c r="Y452">
        <v>0</v>
      </c>
      <c r="Z452" s="11">
        <f>SUM(Table1[[#This Row],[Chi Kept]],Table1[[#This Row],[Chi Released]])</f>
        <v>0</v>
      </c>
      <c r="AA452">
        <f>SUM(Table1[[#This Row],[Co Kept]],Table1[[#This Row],[Co Released ]])</f>
        <v>0</v>
      </c>
      <c r="AB452">
        <f>SUM(Table1[[#This Row],[Pink Kept]],Table1[[#This Row],[Pink Released]])</f>
        <v>0</v>
      </c>
      <c r="AC452">
        <f>SUM(Table1[[#This Row],[Chu Kept]],Table1[[#This Row],[Chu Released]])</f>
        <v>0</v>
      </c>
    </row>
    <row r="453" spans="1:31" x14ac:dyDescent="0.3">
      <c r="A453" s="7">
        <v>45947</v>
      </c>
      <c r="B453">
        <v>9</v>
      </c>
      <c r="C453" t="s">
        <v>236</v>
      </c>
      <c r="D453" t="s">
        <v>42</v>
      </c>
      <c r="E453">
        <v>12</v>
      </c>
      <c r="F453">
        <v>3</v>
      </c>
      <c r="G453">
        <v>6</v>
      </c>
      <c r="H453" t="s">
        <v>241</v>
      </c>
      <c r="I453">
        <v>3</v>
      </c>
      <c r="J453" s="10">
        <v>0.64583333333333337</v>
      </c>
      <c r="K453" s="10">
        <v>0.75069444444444444</v>
      </c>
      <c r="L453" s="10">
        <f t="shared" si="15"/>
        <v>0.10486111111111107</v>
      </c>
      <c r="M453" s="12">
        <f t="shared" si="14"/>
        <v>2.5166666666666657</v>
      </c>
      <c r="N453" s="12">
        <f>Table1[[#This Row],[Trip Hours]]*Table1[[#This Row],['#Angler]]</f>
        <v>7.5499999999999972</v>
      </c>
      <c r="O453" t="s">
        <v>342</v>
      </c>
      <c r="Q453" t="s">
        <v>343</v>
      </c>
      <c r="R453" s="11">
        <v>0</v>
      </c>
      <c r="S453">
        <v>0</v>
      </c>
      <c r="T453">
        <v>2</v>
      </c>
      <c r="U453">
        <v>0</v>
      </c>
      <c r="V453" s="11">
        <v>0</v>
      </c>
      <c r="W453">
        <v>0</v>
      </c>
      <c r="X453">
        <v>4</v>
      </c>
      <c r="Y453">
        <v>0</v>
      </c>
      <c r="Z453" s="11">
        <f>SUM(Table1[[#This Row],[Chi Kept]],Table1[[#This Row],[Chi Released]])</f>
        <v>0</v>
      </c>
      <c r="AA453">
        <f>SUM(Table1[[#This Row],[Co Kept]],Table1[[#This Row],[Co Released ]])</f>
        <v>0</v>
      </c>
      <c r="AB453">
        <f>SUM(Table1[[#This Row],[Pink Kept]],Table1[[#This Row],[Pink Released]])</f>
        <v>6</v>
      </c>
      <c r="AC453">
        <f>SUM(Table1[[#This Row],[Chu Kept]],Table1[[#This Row],[Chu Released]])</f>
        <v>0</v>
      </c>
    </row>
    <row r="454" spans="1:31" x14ac:dyDescent="0.3">
      <c r="A454" s="7">
        <v>45948</v>
      </c>
      <c r="B454">
        <v>9</v>
      </c>
      <c r="C454" t="s">
        <v>250</v>
      </c>
      <c r="D454" t="s">
        <v>26</v>
      </c>
      <c r="E454">
        <v>1</v>
      </c>
      <c r="F454">
        <v>2</v>
      </c>
      <c r="G454">
        <v>1</v>
      </c>
      <c r="H454" t="s">
        <v>241</v>
      </c>
      <c r="I454">
        <v>1</v>
      </c>
      <c r="J454" s="10">
        <v>0.25</v>
      </c>
      <c r="K454" s="10">
        <v>0.35833333333333334</v>
      </c>
      <c r="L454" s="10">
        <f t="shared" si="15"/>
        <v>0.10833333333333334</v>
      </c>
      <c r="M454" s="12">
        <f t="shared" si="14"/>
        <v>2.6</v>
      </c>
      <c r="N454" s="12">
        <f>Table1[[#This Row],[Trip Hours]]*Table1[[#This Row],['#Angler]]</f>
        <v>2.6</v>
      </c>
      <c r="O454" t="s">
        <v>342</v>
      </c>
      <c r="Q454" t="s">
        <v>241</v>
      </c>
      <c r="R454" s="11">
        <v>0</v>
      </c>
      <c r="S454">
        <v>0</v>
      </c>
      <c r="T454">
        <v>0</v>
      </c>
      <c r="U454">
        <v>0</v>
      </c>
      <c r="V454" s="11">
        <v>0</v>
      </c>
      <c r="W454">
        <v>0</v>
      </c>
      <c r="X454">
        <v>0</v>
      </c>
      <c r="Y454">
        <v>0</v>
      </c>
      <c r="Z454" s="11">
        <f>SUM(Table1[[#This Row],[Chi Kept]],Table1[[#This Row],[Chi Released]])</f>
        <v>0</v>
      </c>
      <c r="AA454">
        <f>SUM(Table1[[#This Row],[Co Kept]],Table1[[#This Row],[Co Released ]])</f>
        <v>0</v>
      </c>
      <c r="AB454">
        <f>SUM(Table1[[#This Row],[Pink Kept]],Table1[[#This Row],[Pink Released]])</f>
        <v>0</v>
      </c>
      <c r="AC454">
        <f>SUM(Table1[[#This Row],[Chu Kept]],Table1[[#This Row],[Chu Released]])</f>
        <v>0</v>
      </c>
    </row>
    <row r="455" spans="1:31" x14ac:dyDescent="0.3">
      <c r="A455" s="7">
        <v>45948</v>
      </c>
      <c r="B455">
        <v>9</v>
      </c>
      <c r="C455" t="s">
        <v>250</v>
      </c>
      <c r="D455" t="s">
        <v>26</v>
      </c>
      <c r="E455">
        <v>2</v>
      </c>
      <c r="F455">
        <v>2</v>
      </c>
      <c r="G455">
        <v>1</v>
      </c>
      <c r="H455" t="s">
        <v>241</v>
      </c>
      <c r="I455">
        <v>1</v>
      </c>
      <c r="J455" s="10">
        <v>0.28125</v>
      </c>
      <c r="K455" s="10">
        <v>0.35833333333333334</v>
      </c>
      <c r="L455" s="10">
        <f t="shared" si="15"/>
        <v>7.7083333333333337E-2</v>
      </c>
      <c r="M455" s="12">
        <f t="shared" si="14"/>
        <v>1.85</v>
      </c>
      <c r="N455" s="12">
        <f>Table1[[#This Row],[Trip Hours]]*Table1[[#This Row],['#Angler]]</f>
        <v>1.85</v>
      </c>
      <c r="O455" t="s">
        <v>342</v>
      </c>
      <c r="P455" t="s">
        <v>367</v>
      </c>
      <c r="Q455" t="s">
        <v>247</v>
      </c>
      <c r="R455" s="11">
        <v>0</v>
      </c>
      <c r="S455">
        <v>0</v>
      </c>
      <c r="T455">
        <v>0</v>
      </c>
      <c r="U455">
        <v>0</v>
      </c>
      <c r="V455" s="11">
        <v>0</v>
      </c>
      <c r="W455">
        <v>0</v>
      </c>
      <c r="X455">
        <v>0</v>
      </c>
      <c r="Y455">
        <v>0</v>
      </c>
      <c r="Z455" s="11">
        <f>SUM(Table1[[#This Row],[Chi Kept]],Table1[[#This Row],[Chi Released]])</f>
        <v>0</v>
      </c>
      <c r="AA455">
        <f>SUM(Table1[[#This Row],[Co Kept]],Table1[[#This Row],[Co Released ]])</f>
        <v>0</v>
      </c>
      <c r="AB455">
        <f>SUM(Table1[[#This Row],[Pink Kept]],Table1[[#This Row],[Pink Released]])</f>
        <v>0</v>
      </c>
      <c r="AC455">
        <f>SUM(Table1[[#This Row],[Chu Kept]],Table1[[#This Row],[Chu Released]])</f>
        <v>0</v>
      </c>
    </row>
    <row r="456" spans="1:31" x14ac:dyDescent="0.3">
      <c r="A456" s="7">
        <v>45948</v>
      </c>
      <c r="B456">
        <v>9</v>
      </c>
      <c r="C456" t="s">
        <v>250</v>
      </c>
      <c r="D456" t="s">
        <v>42</v>
      </c>
      <c r="E456">
        <v>3</v>
      </c>
      <c r="F456">
        <v>3</v>
      </c>
      <c r="G456">
        <v>8</v>
      </c>
      <c r="H456" t="s">
        <v>241</v>
      </c>
      <c r="I456">
        <v>1</v>
      </c>
      <c r="J456" s="10">
        <v>0.45833333333333331</v>
      </c>
      <c r="K456" s="10">
        <v>0.66180555555555554</v>
      </c>
      <c r="L456" s="10">
        <f t="shared" si="15"/>
        <v>0.20347222222222222</v>
      </c>
      <c r="M456" s="12">
        <f t="shared" si="14"/>
        <v>4.8833333333333329</v>
      </c>
      <c r="N456" s="12">
        <f>Table1[[#This Row],[Trip Hours]]*Table1[[#This Row],['#Angler]]</f>
        <v>4.8833333333333329</v>
      </c>
      <c r="O456" t="s">
        <v>342</v>
      </c>
      <c r="R456" s="11">
        <v>0</v>
      </c>
      <c r="S456">
        <v>0</v>
      </c>
      <c r="T456">
        <v>6</v>
      </c>
      <c r="U456">
        <v>0</v>
      </c>
      <c r="V456" s="11">
        <v>0</v>
      </c>
      <c r="W456">
        <v>1</v>
      </c>
      <c r="X456">
        <v>1</v>
      </c>
      <c r="Y456">
        <v>0</v>
      </c>
      <c r="Z456" s="11">
        <f>SUM(Table1[[#This Row],[Chi Kept]],Table1[[#This Row],[Chi Released]])</f>
        <v>0</v>
      </c>
      <c r="AA456">
        <f>SUM(Table1[[#This Row],[Co Kept]],Table1[[#This Row],[Co Released ]])</f>
        <v>1</v>
      </c>
      <c r="AB456">
        <f>SUM(Table1[[#This Row],[Pink Kept]],Table1[[#This Row],[Pink Released]])</f>
        <v>7</v>
      </c>
      <c r="AC456">
        <f>SUM(Table1[[#This Row],[Chu Kept]],Table1[[#This Row],[Chu Released]])</f>
        <v>0</v>
      </c>
    </row>
    <row r="457" spans="1:31" x14ac:dyDescent="0.3">
      <c r="A457" s="7">
        <v>45948</v>
      </c>
      <c r="B457">
        <v>9</v>
      </c>
      <c r="C457" t="s">
        <v>250</v>
      </c>
      <c r="D457" t="s">
        <v>42</v>
      </c>
      <c r="E457">
        <v>4</v>
      </c>
      <c r="F457">
        <v>3</v>
      </c>
      <c r="G457">
        <v>8</v>
      </c>
      <c r="H457" t="s">
        <v>241</v>
      </c>
      <c r="I457">
        <v>1</v>
      </c>
      <c r="J457" s="10">
        <v>0.625</v>
      </c>
      <c r="K457" s="10">
        <v>0.66805555555555551</v>
      </c>
      <c r="L457" s="10">
        <f t="shared" si="15"/>
        <v>4.3055555555555514E-2</v>
      </c>
      <c r="M457" s="12">
        <f t="shared" si="14"/>
        <v>1.0333333333333323</v>
      </c>
      <c r="N457" s="12">
        <f>Table1[[#This Row],[Trip Hours]]*Table1[[#This Row],['#Angler]]</f>
        <v>1.0333333333333323</v>
      </c>
      <c r="O457" t="s">
        <v>342</v>
      </c>
      <c r="Q457" t="s">
        <v>343</v>
      </c>
      <c r="R457" s="11">
        <v>0</v>
      </c>
      <c r="S457">
        <v>0</v>
      </c>
      <c r="T457">
        <v>1</v>
      </c>
      <c r="U457">
        <v>0</v>
      </c>
      <c r="V457" s="11">
        <v>0</v>
      </c>
      <c r="W457">
        <v>0</v>
      </c>
      <c r="X457">
        <v>2</v>
      </c>
      <c r="Y457">
        <v>0</v>
      </c>
      <c r="Z457" s="11">
        <f>SUM(Table1[[#This Row],[Chi Kept]],Table1[[#This Row],[Chi Released]])</f>
        <v>0</v>
      </c>
      <c r="AA457">
        <f>SUM(Table1[[#This Row],[Co Kept]],Table1[[#This Row],[Co Released ]])</f>
        <v>0</v>
      </c>
      <c r="AB457">
        <f>SUM(Table1[[#This Row],[Pink Kept]],Table1[[#This Row],[Pink Released]])</f>
        <v>3</v>
      </c>
      <c r="AC457">
        <f>SUM(Table1[[#This Row],[Chu Kept]],Table1[[#This Row],[Chu Released]])</f>
        <v>0</v>
      </c>
    </row>
    <row r="458" spans="1:31" x14ac:dyDescent="0.3">
      <c r="A458" s="7">
        <v>45948</v>
      </c>
      <c r="B458">
        <v>9</v>
      </c>
      <c r="C458" t="s">
        <v>250</v>
      </c>
      <c r="D458" t="s">
        <v>42</v>
      </c>
      <c r="E458">
        <v>5</v>
      </c>
      <c r="F458">
        <v>3</v>
      </c>
      <c r="G458">
        <v>8</v>
      </c>
      <c r="H458" t="s">
        <v>241</v>
      </c>
      <c r="I458">
        <v>4</v>
      </c>
      <c r="J458" s="10">
        <v>0.45833333333333331</v>
      </c>
      <c r="K458" s="10">
        <v>0.67638888888888893</v>
      </c>
      <c r="L458" s="10">
        <f t="shared" si="15"/>
        <v>0.21805555555555561</v>
      </c>
      <c r="M458" s="12">
        <f t="shared" si="14"/>
        <v>5.2333333333333343</v>
      </c>
      <c r="N458" s="12">
        <f>Table1[[#This Row],[Trip Hours]]*Table1[[#This Row],['#Angler]]</f>
        <v>20.933333333333337</v>
      </c>
      <c r="O458" t="s">
        <v>342</v>
      </c>
      <c r="Q458" t="s">
        <v>352</v>
      </c>
      <c r="R458" s="11">
        <v>0</v>
      </c>
      <c r="S458">
        <v>0</v>
      </c>
      <c r="T458">
        <v>4</v>
      </c>
      <c r="U458">
        <v>0</v>
      </c>
      <c r="V458" s="11">
        <v>0</v>
      </c>
      <c r="W458">
        <v>0</v>
      </c>
      <c r="X458">
        <v>6</v>
      </c>
      <c r="Y458">
        <v>0</v>
      </c>
      <c r="Z458" s="11">
        <f>SUM(Table1[[#This Row],[Chi Kept]],Table1[[#This Row],[Chi Released]])</f>
        <v>0</v>
      </c>
      <c r="AA458">
        <f>SUM(Table1[[#This Row],[Co Kept]],Table1[[#This Row],[Co Released ]])</f>
        <v>0</v>
      </c>
      <c r="AB458">
        <f>SUM(Table1[[#This Row],[Pink Kept]],Table1[[#This Row],[Pink Released]])</f>
        <v>10</v>
      </c>
      <c r="AC458">
        <f>SUM(Table1[[#This Row],[Chu Kept]],Table1[[#This Row],[Chu Released]])</f>
        <v>0</v>
      </c>
    </row>
    <row r="459" spans="1:31" x14ac:dyDescent="0.3">
      <c r="A459" s="7">
        <v>45948</v>
      </c>
      <c r="B459">
        <v>9</v>
      </c>
      <c r="C459" t="s">
        <v>250</v>
      </c>
      <c r="D459" t="s">
        <v>42</v>
      </c>
      <c r="E459">
        <v>6</v>
      </c>
      <c r="F459">
        <v>3</v>
      </c>
      <c r="G459">
        <v>8</v>
      </c>
      <c r="H459" t="s">
        <v>241</v>
      </c>
      <c r="I459">
        <v>1</v>
      </c>
      <c r="J459" s="10">
        <v>0.5</v>
      </c>
      <c r="K459" s="10">
        <v>0.67708333333333337</v>
      </c>
      <c r="L459" s="10">
        <f t="shared" si="15"/>
        <v>0.17708333333333337</v>
      </c>
      <c r="M459" s="12">
        <f t="shared" si="14"/>
        <v>4.2500000000000009</v>
      </c>
      <c r="N459" s="12">
        <f>Table1[[#This Row],[Trip Hours]]*Table1[[#This Row],['#Angler]]</f>
        <v>4.2500000000000009</v>
      </c>
      <c r="O459" t="s">
        <v>342</v>
      </c>
      <c r="Q459" t="s">
        <v>345</v>
      </c>
      <c r="R459" s="11">
        <v>0</v>
      </c>
      <c r="S459">
        <v>0</v>
      </c>
      <c r="T459">
        <v>3</v>
      </c>
      <c r="U459">
        <v>0</v>
      </c>
      <c r="V459" s="11">
        <v>0</v>
      </c>
      <c r="W459">
        <v>0</v>
      </c>
      <c r="X459">
        <v>8</v>
      </c>
      <c r="Y459">
        <v>0</v>
      </c>
      <c r="Z459" s="11">
        <f>SUM(Table1[[#This Row],[Chi Kept]],Table1[[#This Row],[Chi Released]])</f>
        <v>0</v>
      </c>
      <c r="AA459">
        <f>SUM(Table1[[#This Row],[Co Kept]],Table1[[#This Row],[Co Released ]])</f>
        <v>0</v>
      </c>
      <c r="AB459">
        <f>SUM(Table1[[#This Row],[Pink Kept]],Table1[[#This Row],[Pink Released]])</f>
        <v>11</v>
      </c>
      <c r="AC459">
        <f>SUM(Table1[[#This Row],[Chu Kept]],Table1[[#This Row],[Chu Released]])</f>
        <v>0</v>
      </c>
    </row>
    <row r="460" spans="1:31" x14ac:dyDescent="0.3">
      <c r="A460" s="7">
        <v>45948</v>
      </c>
      <c r="B460">
        <v>9</v>
      </c>
      <c r="C460" t="s">
        <v>250</v>
      </c>
      <c r="D460" t="s">
        <v>42</v>
      </c>
      <c r="E460">
        <v>7</v>
      </c>
      <c r="F460">
        <v>3</v>
      </c>
      <c r="G460">
        <v>8</v>
      </c>
      <c r="H460" t="s">
        <v>241</v>
      </c>
      <c r="I460">
        <v>2</v>
      </c>
      <c r="J460" s="10">
        <v>0.63888888888888884</v>
      </c>
      <c r="K460" s="10">
        <v>0.68055555555555558</v>
      </c>
      <c r="L460" s="10">
        <f t="shared" si="15"/>
        <v>4.1666666666666741E-2</v>
      </c>
      <c r="M460" s="12">
        <f t="shared" si="14"/>
        <v>1.0000000000000018</v>
      </c>
      <c r="N460" s="12">
        <f>Table1[[#This Row],[Trip Hours]]*Table1[[#This Row],['#Angler]]</f>
        <v>2.0000000000000036</v>
      </c>
      <c r="O460" t="s">
        <v>342</v>
      </c>
      <c r="Q460" t="s">
        <v>343</v>
      </c>
      <c r="R460" s="11">
        <v>0</v>
      </c>
      <c r="S460">
        <v>0</v>
      </c>
      <c r="T460">
        <v>0</v>
      </c>
      <c r="U460">
        <v>0</v>
      </c>
      <c r="V460" s="11">
        <v>0</v>
      </c>
      <c r="W460">
        <v>0</v>
      </c>
      <c r="X460">
        <v>2</v>
      </c>
      <c r="Y460">
        <v>0</v>
      </c>
      <c r="Z460" s="11">
        <f>SUM(Table1[[#This Row],[Chi Kept]],Table1[[#This Row],[Chi Released]])</f>
        <v>0</v>
      </c>
      <c r="AA460">
        <f>SUM(Table1[[#This Row],[Co Kept]],Table1[[#This Row],[Co Released ]])</f>
        <v>0</v>
      </c>
      <c r="AB460">
        <f>SUM(Table1[[#This Row],[Pink Kept]],Table1[[#This Row],[Pink Released]])</f>
        <v>2</v>
      </c>
      <c r="AC460">
        <f>SUM(Table1[[#This Row],[Chu Kept]],Table1[[#This Row],[Chu Released]])</f>
        <v>0</v>
      </c>
    </row>
    <row r="461" spans="1:31" x14ac:dyDescent="0.3">
      <c r="A461" s="7">
        <v>45948</v>
      </c>
      <c r="B461">
        <v>9</v>
      </c>
      <c r="C461" t="s">
        <v>250</v>
      </c>
      <c r="D461" t="s">
        <v>42</v>
      </c>
      <c r="E461">
        <v>8</v>
      </c>
      <c r="F461">
        <v>3</v>
      </c>
      <c r="G461">
        <v>8</v>
      </c>
      <c r="H461" t="s">
        <v>241</v>
      </c>
      <c r="I461">
        <v>2</v>
      </c>
      <c r="J461" s="10">
        <v>0.5</v>
      </c>
      <c r="K461" s="10">
        <v>0.68819444444444444</v>
      </c>
      <c r="L461" s="10">
        <f t="shared" si="15"/>
        <v>0.18819444444444444</v>
      </c>
      <c r="M461" s="12">
        <f t="shared" si="14"/>
        <v>4.5166666666666666</v>
      </c>
      <c r="N461" s="12">
        <f>Table1[[#This Row],[Trip Hours]]*Table1[[#This Row],['#Angler]]</f>
        <v>9.0333333333333332</v>
      </c>
      <c r="O461" t="s">
        <v>342</v>
      </c>
      <c r="Q461" t="s">
        <v>247</v>
      </c>
      <c r="R461" s="11">
        <v>0</v>
      </c>
      <c r="S461">
        <v>0</v>
      </c>
      <c r="T461">
        <v>4</v>
      </c>
      <c r="U461">
        <v>0</v>
      </c>
      <c r="V461" s="11">
        <v>0</v>
      </c>
      <c r="W461">
        <v>0</v>
      </c>
      <c r="X461">
        <v>0</v>
      </c>
      <c r="Y461">
        <v>0</v>
      </c>
      <c r="Z461" s="11">
        <f>SUM(Table1[[#This Row],[Chi Kept]],Table1[[#This Row],[Chi Released]])</f>
        <v>0</v>
      </c>
      <c r="AA461">
        <f>SUM(Table1[[#This Row],[Co Kept]],Table1[[#This Row],[Co Released ]])</f>
        <v>0</v>
      </c>
      <c r="AB461">
        <f>SUM(Table1[[#This Row],[Pink Kept]],Table1[[#This Row],[Pink Released]])</f>
        <v>4</v>
      </c>
      <c r="AC461">
        <f>SUM(Table1[[#This Row],[Chu Kept]],Table1[[#This Row],[Chu Released]])</f>
        <v>0</v>
      </c>
    </row>
    <row r="462" spans="1:31" x14ac:dyDescent="0.3">
      <c r="A462" s="7">
        <v>45948</v>
      </c>
      <c r="B462">
        <v>9</v>
      </c>
      <c r="C462" t="s">
        <v>250</v>
      </c>
      <c r="D462" t="s">
        <v>42</v>
      </c>
      <c r="E462">
        <v>9</v>
      </c>
      <c r="F462">
        <v>3</v>
      </c>
      <c r="G462">
        <v>6</v>
      </c>
      <c r="H462" t="s">
        <v>241</v>
      </c>
      <c r="I462">
        <v>2</v>
      </c>
      <c r="J462" s="10">
        <v>0.375</v>
      </c>
      <c r="K462" s="10">
        <v>0.54166666666666663</v>
      </c>
      <c r="L462" s="10">
        <f t="shared" si="15"/>
        <v>0.16666666666666663</v>
      </c>
      <c r="M462" s="12">
        <f t="shared" si="14"/>
        <v>3.9999999999999991</v>
      </c>
      <c r="N462" s="12">
        <f>Table1[[#This Row],[Trip Hours]]*Table1[[#This Row],['#Angler]]</f>
        <v>7.9999999999999982</v>
      </c>
      <c r="O462" t="s">
        <v>342</v>
      </c>
      <c r="Q462" t="s">
        <v>247</v>
      </c>
      <c r="R462" s="11">
        <v>0</v>
      </c>
      <c r="S462">
        <v>1</v>
      </c>
      <c r="T462">
        <v>0</v>
      </c>
      <c r="U462">
        <v>0</v>
      </c>
      <c r="V462" s="11">
        <v>0</v>
      </c>
      <c r="W462">
        <v>0</v>
      </c>
      <c r="X462">
        <v>30</v>
      </c>
      <c r="Y462">
        <v>0</v>
      </c>
      <c r="Z462" s="11">
        <f>SUM(Table1[[#This Row],[Chi Kept]],Table1[[#This Row],[Chi Released]])</f>
        <v>0</v>
      </c>
      <c r="AA462">
        <f>SUM(Table1[[#This Row],[Co Kept]],Table1[[#This Row],[Co Released ]])</f>
        <v>1</v>
      </c>
      <c r="AB462">
        <f>SUM(Table1[[#This Row],[Pink Kept]],Table1[[#This Row],[Pink Released]])</f>
        <v>30</v>
      </c>
      <c r="AC462">
        <f>SUM(Table1[[#This Row],[Chu Kept]],Table1[[#This Row],[Chu Released]])</f>
        <v>0</v>
      </c>
    </row>
    <row r="463" spans="1:31" x14ac:dyDescent="0.3">
      <c r="A463" s="7">
        <v>45948</v>
      </c>
      <c r="B463">
        <v>9</v>
      </c>
      <c r="C463" t="s">
        <v>250</v>
      </c>
      <c r="D463" t="s">
        <v>42</v>
      </c>
      <c r="E463">
        <v>10</v>
      </c>
      <c r="F463">
        <v>3</v>
      </c>
      <c r="G463">
        <v>8</v>
      </c>
      <c r="H463" t="s">
        <v>241</v>
      </c>
      <c r="I463">
        <v>2</v>
      </c>
      <c r="J463" s="10">
        <v>0.54166666666666663</v>
      </c>
      <c r="K463" s="10">
        <v>0.69374999999999998</v>
      </c>
      <c r="L463" s="10">
        <f t="shared" si="15"/>
        <v>0.15208333333333335</v>
      </c>
      <c r="M463" s="12">
        <f t="shared" si="14"/>
        <v>3.6500000000000004</v>
      </c>
      <c r="N463" s="12">
        <f>Table1[[#This Row],[Trip Hours]]*Table1[[#This Row],['#Angler]]</f>
        <v>7.3000000000000007</v>
      </c>
      <c r="O463" t="s">
        <v>342</v>
      </c>
      <c r="Q463" t="s">
        <v>247</v>
      </c>
      <c r="R463" s="11">
        <v>0</v>
      </c>
      <c r="S463">
        <v>0</v>
      </c>
      <c r="T463">
        <v>0</v>
      </c>
      <c r="U463">
        <v>0</v>
      </c>
      <c r="V463" s="11">
        <v>0</v>
      </c>
      <c r="W463">
        <v>0</v>
      </c>
      <c r="X463">
        <v>10</v>
      </c>
      <c r="Y463">
        <v>0</v>
      </c>
      <c r="Z463" s="11">
        <f>SUM(Table1[[#This Row],[Chi Kept]],Table1[[#This Row],[Chi Released]])</f>
        <v>0</v>
      </c>
      <c r="AA463">
        <f>SUM(Table1[[#This Row],[Co Kept]],Table1[[#This Row],[Co Released ]])</f>
        <v>0</v>
      </c>
      <c r="AB463">
        <f>SUM(Table1[[#This Row],[Pink Kept]],Table1[[#This Row],[Pink Released]])</f>
        <v>10</v>
      </c>
      <c r="AC463">
        <f>SUM(Table1[[#This Row],[Chu Kept]],Table1[[#This Row],[Chu Released]])</f>
        <v>0</v>
      </c>
    </row>
    <row r="464" spans="1:31" x14ac:dyDescent="0.3">
      <c r="A464" s="7">
        <v>45948</v>
      </c>
      <c r="B464">
        <v>9</v>
      </c>
      <c r="C464" t="s">
        <v>250</v>
      </c>
      <c r="D464" t="s">
        <v>42</v>
      </c>
      <c r="E464">
        <v>11</v>
      </c>
      <c r="F464">
        <v>3</v>
      </c>
      <c r="G464">
        <v>8</v>
      </c>
      <c r="H464" t="s">
        <v>241</v>
      </c>
      <c r="I464">
        <v>1</v>
      </c>
      <c r="J464" s="10">
        <v>0.58333333333333337</v>
      </c>
      <c r="K464" s="10">
        <v>0.69861111111111107</v>
      </c>
      <c r="L464" s="10">
        <f t="shared" si="15"/>
        <v>0.1152777777777777</v>
      </c>
      <c r="M464" s="12">
        <f t="shared" si="14"/>
        <v>2.7666666666666648</v>
      </c>
      <c r="N464" s="12">
        <f>Table1[[#This Row],[Trip Hours]]*Table1[[#This Row],['#Angler]]</f>
        <v>2.7666666666666648</v>
      </c>
      <c r="O464" t="s">
        <v>342</v>
      </c>
      <c r="Q464" t="s">
        <v>247</v>
      </c>
      <c r="R464" s="11">
        <v>0</v>
      </c>
      <c r="S464">
        <v>3</v>
      </c>
      <c r="T464">
        <v>0</v>
      </c>
      <c r="U464">
        <v>0</v>
      </c>
      <c r="V464" s="11">
        <v>0</v>
      </c>
      <c r="W464">
        <v>0</v>
      </c>
      <c r="X464">
        <v>6</v>
      </c>
      <c r="Y464">
        <v>0</v>
      </c>
      <c r="Z464" s="11">
        <f>SUM(Table1[[#This Row],[Chi Kept]],Table1[[#This Row],[Chi Released]])</f>
        <v>0</v>
      </c>
      <c r="AA464">
        <f>SUM(Table1[[#This Row],[Co Kept]],Table1[[#This Row],[Co Released ]])</f>
        <v>3</v>
      </c>
      <c r="AB464">
        <f>SUM(Table1[[#This Row],[Pink Kept]],Table1[[#This Row],[Pink Released]])</f>
        <v>6</v>
      </c>
      <c r="AC464">
        <f>SUM(Table1[[#This Row],[Chu Kept]],Table1[[#This Row],[Chu Released]])</f>
        <v>0</v>
      </c>
      <c r="AD464" s="11" t="s">
        <v>368</v>
      </c>
      <c r="AE464" t="s">
        <v>184</v>
      </c>
    </row>
    <row r="465" spans="1:29" x14ac:dyDescent="0.3">
      <c r="A465" s="7">
        <v>45948</v>
      </c>
      <c r="B465">
        <v>9</v>
      </c>
      <c r="C465" t="s">
        <v>250</v>
      </c>
      <c r="D465" t="s">
        <v>42</v>
      </c>
      <c r="E465">
        <v>12</v>
      </c>
      <c r="F465">
        <v>3</v>
      </c>
      <c r="G465">
        <v>8</v>
      </c>
      <c r="H465" t="s">
        <v>241</v>
      </c>
      <c r="I465">
        <v>2</v>
      </c>
      <c r="J465" s="10">
        <v>0.5</v>
      </c>
      <c r="K465" s="10">
        <v>0.70694444444444449</v>
      </c>
      <c r="L465" s="10">
        <f t="shared" si="15"/>
        <v>0.20694444444444449</v>
      </c>
      <c r="M465" s="12">
        <f t="shared" si="14"/>
        <v>4.9666666666666677</v>
      </c>
      <c r="N465" s="12">
        <f>Table1[[#This Row],[Trip Hours]]*Table1[[#This Row],['#Angler]]</f>
        <v>9.9333333333333353</v>
      </c>
      <c r="O465" t="s">
        <v>342</v>
      </c>
      <c r="P465" t="s">
        <v>29</v>
      </c>
      <c r="Q465" t="s">
        <v>247</v>
      </c>
      <c r="R465" s="11">
        <v>0</v>
      </c>
      <c r="S465">
        <v>3</v>
      </c>
      <c r="T465">
        <v>0</v>
      </c>
      <c r="U465">
        <v>0</v>
      </c>
      <c r="V465" s="11">
        <v>0</v>
      </c>
      <c r="W465">
        <v>0</v>
      </c>
      <c r="X465">
        <v>30</v>
      </c>
      <c r="Y465">
        <v>0</v>
      </c>
      <c r="Z465" s="11">
        <f>SUM(Table1[[#This Row],[Chi Kept]],Table1[[#This Row],[Chi Released]])</f>
        <v>0</v>
      </c>
      <c r="AA465">
        <f>SUM(Table1[[#This Row],[Co Kept]],Table1[[#This Row],[Co Released ]])</f>
        <v>3</v>
      </c>
      <c r="AB465">
        <f>SUM(Table1[[#This Row],[Pink Kept]],Table1[[#This Row],[Pink Released]])</f>
        <v>30</v>
      </c>
      <c r="AC465">
        <f>SUM(Table1[[#This Row],[Chu Kept]],Table1[[#This Row],[Chu Released]])</f>
        <v>0</v>
      </c>
    </row>
    <row r="466" spans="1:29" x14ac:dyDescent="0.3">
      <c r="A466" s="7">
        <v>45948</v>
      </c>
      <c r="B466">
        <v>9</v>
      </c>
      <c r="C466" t="s">
        <v>250</v>
      </c>
      <c r="D466" t="s">
        <v>42</v>
      </c>
      <c r="E466">
        <v>13</v>
      </c>
      <c r="F466">
        <v>3</v>
      </c>
      <c r="G466">
        <v>8</v>
      </c>
      <c r="H466" t="s">
        <v>241</v>
      </c>
      <c r="I466">
        <v>2</v>
      </c>
      <c r="J466" s="10">
        <v>0.3125</v>
      </c>
      <c r="K466" s="10">
        <v>0.70902777777777781</v>
      </c>
      <c r="L466" s="10">
        <f t="shared" si="15"/>
        <v>0.39652777777777781</v>
      </c>
      <c r="M466" s="12">
        <f t="shared" si="14"/>
        <v>9.5166666666666675</v>
      </c>
      <c r="N466" s="12">
        <f>Table1[[#This Row],[Trip Hours]]*Table1[[#This Row],['#Angler]]</f>
        <v>19.033333333333335</v>
      </c>
      <c r="O466" t="s">
        <v>342</v>
      </c>
      <c r="Q466" t="s">
        <v>247</v>
      </c>
      <c r="R466" s="11">
        <v>0</v>
      </c>
      <c r="S466">
        <v>3</v>
      </c>
      <c r="T466">
        <v>0</v>
      </c>
      <c r="U466">
        <v>0</v>
      </c>
      <c r="V466" s="11">
        <v>2</v>
      </c>
      <c r="W466">
        <v>2</v>
      </c>
      <c r="X466">
        <v>100</v>
      </c>
      <c r="Y466">
        <v>0</v>
      </c>
      <c r="Z466" s="11">
        <f>SUM(Table1[[#This Row],[Chi Kept]],Table1[[#This Row],[Chi Released]])</f>
        <v>2</v>
      </c>
      <c r="AA466">
        <f>SUM(Table1[[#This Row],[Co Kept]],Table1[[#This Row],[Co Released ]])</f>
        <v>5</v>
      </c>
      <c r="AB466">
        <f>SUM(Table1[[#This Row],[Pink Kept]],Table1[[#This Row],[Pink Released]])</f>
        <v>100</v>
      </c>
      <c r="AC466">
        <f>SUM(Table1[[#This Row],[Chu Kept]],Table1[[#This Row],[Chu Released]])</f>
        <v>0</v>
      </c>
    </row>
    <row r="467" spans="1:29" x14ac:dyDescent="0.3">
      <c r="A467" s="7">
        <v>45948</v>
      </c>
      <c r="B467">
        <v>9</v>
      </c>
      <c r="C467" t="s">
        <v>250</v>
      </c>
      <c r="D467" t="s">
        <v>42</v>
      </c>
      <c r="E467">
        <v>14</v>
      </c>
      <c r="F467">
        <v>3</v>
      </c>
      <c r="G467">
        <v>8</v>
      </c>
      <c r="H467" t="s">
        <v>241</v>
      </c>
      <c r="I467">
        <v>1</v>
      </c>
      <c r="J467" s="10">
        <v>0.45833333333333331</v>
      </c>
      <c r="K467" s="10">
        <v>0.71319444444444446</v>
      </c>
      <c r="L467" s="10">
        <f t="shared" si="15"/>
        <v>0.25486111111111115</v>
      </c>
      <c r="M467" s="12">
        <f t="shared" si="14"/>
        <v>6.1166666666666671</v>
      </c>
      <c r="N467" s="12">
        <f>Table1[[#This Row],[Trip Hours]]*Table1[[#This Row],['#Angler]]</f>
        <v>6.1166666666666671</v>
      </c>
      <c r="O467" t="s">
        <v>342</v>
      </c>
      <c r="Q467" t="s">
        <v>241</v>
      </c>
      <c r="R467" s="11">
        <v>0</v>
      </c>
      <c r="S467">
        <v>0</v>
      </c>
      <c r="T467">
        <v>6</v>
      </c>
      <c r="U467">
        <v>0</v>
      </c>
      <c r="V467" s="11">
        <v>0</v>
      </c>
      <c r="W467">
        <v>0</v>
      </c>
      <c r="X467">
        <v>7</v>
      </c>
      <c r="Y467">
        <v>0</v>
      </c>
      <c r="Z467" s="11">
        <f>SUM(Table1[[#This Row],[Chi Kept]],Table1[[#This Row],[Chi Released]])</f>
        <v>0</v>
      </c>
      <c r="AA467">
        <f>SUM(Table1[[#This Row],[Co Kept]],Table1[[#This Row],[Co Released ]])</f>
        <v>0</v>
      </c>
      <c r="AB467">
        <f>SUM(Table1[[#This Row],[Pink Kept]],Table1[[#This Row],[Pink Released]])</f>
        <v>13</v>
      </c>
      <c r="AC467">
        <f>SUM(Table1[[#This Row],[Chu Kept]],Table1[[#This Row],[Chu Released]])</f>
        <v>0</v>
      </c>
    </row>
    <row r="468" spans="1:29" x14ac:dyDescent="0.3">
      <c r="A468" s="7">
        <v>45948</v>
      </c>
      <c r="B468">
        <v>9</v>
      </c>
      <c r="C468" t="s">
        <v>250</v>
      </c>
      <c r="D468" t="s">
        <v>42</v>
      </c>
      <c r="E468">
        <v>15</v>
      </c>
      <c r="F468">
        <v>3</v>
      </c>
      <c r="G468">
        <v>8</v>
      </c>
      <c r="H468" t="s">
        <v>241</v>
      </c>
      <c r="I468">
        <v>1</v>
      </c>
      <c r="J468" s="10">
        <v>0.5</v>
      </c>
      <c r="K468" s="10">
        <v>0.71319444444444446</v>
      </c>
      <c r="L468" s="10">
        <f t="shared" si="15"/>
        <v>0.21319444444444446</v>
      </c>
      <c r="M468" s="12">
        <f t="shared" si="14"/>
        <v>5.1166666666666671</v>
      </c>
      <c r="N468" s="12">
        <f>Table1[[#This Row],[Trip Hours]]*Table1[[#This Row],['#Angler]]</f>
        <v>5.1166666666666671</v>
      </c>
      <c r="O468" t="s">
        <v>342</v>
      </c>
      <c r="Q468" t="s">
        <v>241</v>
      </c>
      <c r="R468" s="11">
        <v>0</v>
      </c>
      <c r="S468">
        <v>0</v>
      </c>
      <c r="T468">
        <v>6</v>
      </c>
      <c r="U468">
        <v>0</v>
      </c>
      <c r="V468" s="11">
        <v>0</v>
      </c>
      <c r="W468">
        <v>0</v>
      </c>
      <c r="X468">
        <v>4</v>
      </c>
      <c r="Y468">
        <v>0</v>
      </c>
      <c r="Z468" s="11">
        <f>SUM(Table1[[#This Row],[Chi Kept]],Table1[[#This Row],[Chi Released]])</f>
        <v>0</v>
      </c>
      <c r="AA468">
        <f>SUM(Table1[[#This Row],[Co Kept]],Table1[[#This Row],[Co Released ]])</f>
        <v>0</v>
      </c>
      <c r="AB468">
        <f>SUM(Table1[[#This Row],[Pink Kept]],Table1[[#This Row],[Pink Released]])</f>
        <v>10</v>
      </c>
      <c r="AC468">
        <f>SUM(Table1[[#This Row],[Chu Kept]],Table1[[#This Row],[Chu Released]])</f>
        <v>0</v>
      </c>
    </row>
    <row r="469" spans="1:29" x14ac:dyDescent="0.3">
      <c r="A469" s="7">
        <v>45948</v>
      </c>
      <c r="B469">
        <v>9</v>
      </c>
      <c r="C469" t="s">
        <v>250</v>
      </c>
      <c r="D469" t="s">
        <v>42</v>
      </c>
      <c r="E469">
        <v>16</v>
      </c>
      <c r="F469">
        <v>3</v>
      </c>
      <c r="G469">
        <v>8</v>
      </c>
      <c r="H469" t="s">
        <v>241</v>
      </c>
      <c r="I469">
        <v>1</v>
      </c>
      <c r="J469" s="10">
        <v>0.625</v>
      </c>
      <c r="K469" s="10">
        <v>0.71388888888888891</v>
      </c>
      <c r="L469" s="10">
        <f t="shared" si="15"/>
        <v>8.8888888888888906E-2</v>
      </c>
      <c r="M469" s="12">
        <f t="shared" si="14"/>
        <v>2.1333333333333337</v>
      </c>
      <c r="N469" s="12">
        <f>Table1[[#This Row],[Trip Hours]]*Table1[[#This Row],['#Angler]]</f>
        <v>2.1333333333333337</v>
      </c>
      <c r="O469" t="s">
        <v>342</v>
      </c>
      <c r="Q469" t="s">
        <v>241</v>
      </c>
      <c r="R469" s="11">
        <v>0</v>
      </c>
      <c r="S469">
        <v>0</v>
      </c>
      <c r="T469">
        <v>0</v>
      </c>
      <c r="U469">
        <v>0</v>
      </c>
      <c r="V469" s="11">
        <v>0</v>
      </c>
      <c r="W469">
        <v>0</v>
      </c>
      <c r="X469">
        <v>5</v>
      </c>
      <c r="Y469">
        <v>0</v>
      </c>
      <c r="Z469" s="11">
        <f>SUM(Table1[[#This Row],[Chi Kept]],Table1[[#This Row],[Chi Released]])</f>
        <v>0</v>
      </c>
      <c r="AA469">
        <f>SUM(Table1[[#This Row],[Co Kept]],Table1[[#This Row],[Co Released ]])</f>
        <v>0</v>
      </c>
      <c r="AB469">
        <f>SUM(Table1[[#This Row],[Pink Kept]],Table1[[#This Row],[Pink Released]])</f>
        <v>5</v>
      </c>
      <c r="AC469">
        <f>SUM(Table1[[#This Row],[Chu Kept]],Table1[[#This Row],[Chu Released]])</f>
        <v>0</v>
      </c>
    </row>
    <row r="470" spans="1:29" x14ac:dyDescent="0.3">
      <c r="A470" s="7">
        <v>45948</v>
      </c>
      <c r="B470">
        <v>9</v>
      </c>
      <c r="C470" t="s">
        <v>250</v>
      </c>
      <c r="D470" t="s">
        <v>42</v>
      </c>
      <c r="E470">
        <v>17</v>
      </c>
      <c r="F470">
        <v>3</v>
      </c>
      <c r="G470">
        <v>8</v>
      </c>
      <c r="H470" t="s">
        <v>241</v>
      </c>
      <c r="I470">
        <v>2</v>
      </c>
      <c r="J470" s="10">
        <v>0.5</v>
      </c>
      <c r="K470" s="10">
        <v>0.73611111111111116</v>
      </c>
      <c r="L470" s="10">
        <f t="shared" si="15"/>
        <v>0.23611111111111116</v>
      </c>
      <c r="M470" s="12">
        <f t="shared" si="14"/>
        <v>5.6666666666666679</v>
      </c>
      <c r="N470" s="12">
        <f>Table1[[#This Row],[Trip Hours]]*Table1[[#This Row],['#Angler]]</f>
        <v>11.333333333333336</v>
      </c>
      <c r="O470" t="s">
        <v>342</v>
      </c>
      <c r="Q470" t="s">
        <v>247</v>
      </c>
      <c r="R470" s="11">
        <v>0</v>
      </c>
      <c r="S470">
        <v>0</v>
      </c>
      <c r="T470">
        <v>8</v>
      </c>
      <c r="U470">
        <v>0</v>
      </c>
      <c r="V470" s="11">
        <v>0</v>
      </c>
      <c r="W470">
        <v>0</v>
      </c>
      <c r="X470">
        <v>25</v>
      </c>
      <c r="Y470">
        <v>0</v>
      </c>
      <c r="Z470" s="11">
        <f>SUM(Table1[[#This Row],[Chi Kept]],Table1[[#This Row],[Chi Released]])</f>
        <v>0</v>
      </c>
      <c r="AA470">
        <f>SUM(Table1[[#This Row],[Co Kept]],Table1[[#This Row],[Co Released ]])</f>
        <v>0</v>
      </c>
      <c r="AB470">
        <f>SUM(Table1[[#This Row],[Pink Kept]],Table1[[#This Row],[Pink Released]])</f>
        <v>33</v>
      </c>
      <c r="AC470">
        <f>SUM(Table1[[#This Row],[Chu Kept]],Table1[[#This Row],[Chu Released]])</f>
        <v>0</v>
      </c>
    </row>
    <row r="471" spans="1:29" x14ac:dyDescent="0.3">
      <c r="A471" s="7">
        <v>45948</v>
      </c>
      <c r="B471">
        <v>9</v>
      </c>
      <c r="C471" t="s">
        <v>250</v>
      </c>
      <c r="D471" t="s">
        <v>42</v>
      </c>
      <c r="E471">
        <v>18</v>
      </c>
      <c r="F471">
        <v>3</v>
      </c>
      <c r="G471">
        <v>8</v>
      </c>
      <c r="H471" t="s">
        <v>241</v>
      </c>
      <c r="I471">
        <v>1</v>
      </c>
      <c r="J471" s="10">
        <v>0.66666666666666663</v>
      </c>
      <c r="K471" s="10">
        <v>0.73611111111111116</v>
      </c>
      <c r="L471" s="10">
        <f t="shared" si="15"/>
        <v>6.9444444444444531E-2</v>
      </c>
      <c r="M471" s="12">
        <f t="shared" si="14"/>
        <v>1.6666666666666687</v>
      </c>
      <c r="N471" s="12">
        <f>Table1[[#This Row],[Trip Hours]]*Table1[[#This Row],['#Angler]]</f>
        <v>1.6666666666666687</v>
      </c>
      <c r="O471" t="s">
        <v>342</v>
      </c>
      <c r="Q471" t="s">
        <v>247</v>
      </c>
      <c r="R471" s="11">
        <v>0</v>
      </c>
      <c r="S471">
        <v>0</v>
      </c>
      <c r="T471">
        <v>0</v>
      </c>
      <c r="U471">
        <v>0</v>
      </c>
      <c r="V471" s="11">
        <v>0</v>
      </c>
      <c r="W471">
        <v>0</v>
      </c>
      <c r="X471">
        <v>0</v>
      </c>
      <c r="Y471">
        <v>0</v>
      </c>
      <c r="Z471" s="11">
        <f>SUM(Table1[[#This Row],[Chi Kept]],Table1[[#This Row],[Chi Released]])</f>
        <v>0</v>
      </c>
      <c r="AA471">
        <f>SUM(Table1[[#This Row],[Co Kept]],Table1[[#This Row],[Co Released ]])</f>
        <v>0</v>
      </c>
      <c r="AB471">
        <f>SUM(Table1[[#This Row],[Pink Kept]],Table1[[#This Row],[Pink Released]])</f>
        <v>0</v>
      </c>
      <c r="AC471">
        <f>SUM(Table1[[#This Row],[Chu Kept]],Table1[[#This Row],[Chu Released]])</f>
        <v>0</v>
      </c>
    </row>
    <row r="472" spans="1:29" x14ac:dyDescent="0.3">
      <c r="A472" s="7">
        <v>45948</v>
      </c>
      <c r="B472">
        <v>9</v>
      </c>
      <c r="C472" t="s">
        <v>250</v>
      </c>
      <c r="D472" t="s">
        <v>42</v>
      </c>
      <c r="E472">
        <v>19</v>
      </c>
      <c r="F472">
        <v>3</v>
      </c>
      <c r="G472">
        <v>8</v>
      </c>
      <c r="H472" t="s">
        <v>241</v>
      </c>
      <c r="I472">
        <v>2</v>
      </c>
      <c r="J472" s="10">
        <v>0.58333333333333337</v>
      </c>
      <c r="K472" s="10">
        <v>0.7368055555555556</v>
      </c>
      <c r="L472" s="10">
        <f t="shared" si="15"/>
        <v>0.15347222222222223</v>
      </c>
      <c r="M472" s="12">
        <f t="shared" si="14"/>
        <v>3.6833333333333336</v>
      </c>
      <c r="N472" s="12">
        <f>Table1[[#This Row],[Trip Hours]]*Table1[[#This Row],['#Angler]]</f>
        <v>7.3666666666666671</v>
      </c>
      <c r="O472" t="s">
        <v>342</v>
      </c>
      <c r="P472" t="s">
        <v>29</v>
      </c>
      <c r="Q472" t="s">
        <v>241</v>
      </c>
      <c r="R472" s="11">
        <v>0</v>
      </c>
      <c r="S472">
        <v>0</v>
      </c>
      <c r="T472">
        <v>0</v>
      </c>
      <c r="U472">
        <v>0</v>
      </c>
      <c r="V472" s="11">
        <v>0</v>
      </c>
      <c r="W472">
        <v>0</v>
      </c>
      <c r="X472">
        <v>10</v>
      </c>
      <c r="Y472">
        <v>0</v>
      </c>
      <c r="Z472" s="11">
        <f>SUM(Table1[[#This Row],[Chi Kept]],Table1[[#This Row],[Chi Released]])</f>
        <v>0</v>
      </c>
      <c r="AA472">
        <f>SUM(Table1[[#This Row],[Co Kept]],Table1[[#This Row],[Co Released ]])</f>
        <v>0</v>
      </c>
      <c r="AB472">
        <f>SUM(Table1[[#This Row],[Pink Kept]],Table1[[#This Row],[Pink Released]])</f>
        <v>10</v>
      </c>
      <c r="AC472">
        <f>SUM(Table1[[#This Row],[Chu Kept]],Table1[[#This Row],[Chu Released]])</f>
        <v>0</v>
      </c>
    </row>
    <row r="473" spans="1:29" x14ac:dyDescent="0.3">
      <c r="A473" s="7">
        <v>45948</v>
      </c>
      <c r="B473">
        <v>9</v>
      </c>
      <c r="C473" t="s">
        <v>250</v>
      </c>
      <c r="D473" t="s">
        <v>42</v>
      </c>
      <c r="E473">
        <v>20</v>
      </c>
      <c r="F473">
        <v>3</v>
      </c>
      <c r="G473">
        <v>8</v>
      </c>
      <c r="H473" t="s">
        <v>241</v>
      </c>
      <c r="I473">
        <v>2</v>
      </c>
      <c r="J473" s="10">
        <v>0.61458333333333337</v>
      </c>
      <c r="K473" s="10">
        <v>0.74097222222222225</v>
      </c>
      <c r="L473" s="10">
        <f t="shared" si="15"/>
        <v>0.12638888888888888</v>
      </c>
      <c r="M473" s="12">
        <f t="shared" si="14"/>
        <v>3.0333333333333332</v>
      </c>
      <c r="N473" s="12">
        <f>Table1[[#This Row],[Trip Hours]]*Table1[[#This Row],['#Angler]]</f>
        <v>6.0666666666666664</v>
      </c>
      <c r="O473" t="s">
        <v>342</v>
      </c>
      <c r="Q473" t="s">
        <v>241</v>
      </c>
      <c r="R473" s="11">
        <v>0</v>
      </c>
      <c r="S473">
        <v>0</v>
      </c>
      <c r="T473">
        <v>0</v>
      </c>
      <c r="U473">
        <v>0</v>
      </c>
      <c r="V473" s="11">
        <v>0</v>
      </c>
      <c r="W473">
        <v>0</v>
      </c>
      <c r="X473">
        <v>2</v>
      </c>
      <c r="Y473">
        <v>0</v>
      </c>
      <c r="Z473" s="11">
        <f>SUM(Table1[[#This Row],[Chi Kept]],Table1[[#This Row],[Chi Released]])</f>
        <v>0</v>
      </c>
      <c r="AA473">
        <f>SUM(Table1[[#This Row],[Co Kept]],Table1[[#This Row],[Co Released ]])</f>
        <v>0</v>
      </c>
      <c r="AB473">
        <f>SUM(Table1[[#This Row],[Pink Kept]],Table1[[#This Row],[Pink Released]])</f>
        <v>2</v>
      </c>
      <c r="AC473">
        <f>SUM(Table1[[#This Row],[Chu Kept]],Table1[[#This Row],[Chu Released]])</f>
        <v>0</v>
      </c>
    </row>
    <row r="474" spans="1:29" x14ac:dyDescent="0.3">
      <c r="A474" s="7">
        <v>45953</v>
      </c>
      <c r="B474">
        <v>10</v>
      </c>
      <c r="C474" t="s">
        <v>236</v>
      </c>
      <c r="D474" t="s">
        <v>42</v>
      </c>
      <c r="E474">
        <v>1</v>
      </c>
      <c r="F474">
        <v>2</v>
      </c>
      <c r="G474">
        <v>2</v>
      </c>
      <c r="H474" t="s">
        <v>241</v>
      </c>
      <c r="I474">
        <v>1</v>
      </c>
      <c r="J474" s="10">
        <v>0.54166666666666663</v>
      </c>
      <c r="K474" s="10">
        <v>0.65555555555555556</v>
      </c>
      <c r="L474" s="10">
        <f t="shared" si="15"/>
        <v>0.11388888888888893</v>
      </c>
      <c r="M474" s="12">
        <f t="shared" si="14"/>
        <v>2.7333333333333343</v>
      </c>
      <c r="N474" s="12">
        <f>Table1[[#This Row],[Trip Hours]]*Table1[[#This Row],['#Angler]]</f>
        <v>2.7333333333333343</v>
      </c>
      <c r="O474" t="s">
        <v>349</v>
      </c>
      <c r="P474" t="s">
        <v>56</v>
      </c>
      <c r="Q474" t="s">
        <v>224</v>
      </c>
      <c r="R474" s="11">
        <v>0</v>
      </c>
      <c r="S474">
        <v>0</v>
      </c>
      <c r="T474">
        <v>0</v>
      </c>
      <c r="U474">
        <v>1</v>
      </c>
      <c r="V474" s="11">
        <v>0</v>
      </c>
      <c r="W474">
        <v>0</v>
      </c>
      <c r="X474">
        <v>0</v>
      </c>
      <c r="Y474">
        <v>0</v>
      </c>
      <c r="Z474" s="11">
        <f>SUM(Table1[[#This Row],[Chi Kept]],Table1[[#This Row],[Chi Released]])</f>
        <v>0</v>
      </c>
      <c r="AA474">
        <f>SUM(Table1[[#This Row],[Co Kept]],Table1[[#This Row],[Co Released ]])</f>
        <v>0</v>
      </c>
      <c r="AB474">
        <f>SUM(Table1[[#This Row],[Pink Kept]],Table1[[#This Row],[Pink Released]])</f>
        <v>0</v>
      </c>
      <c r="AC474">
        <f>SUM(Table1[[#This Row],[Chu Kept]],Table1[[#This Row],[Chu Released]])</f>
        <v>1</v>
      </c>
    </row>
    <row r="475" spans="1:29" x14ac:dyDescent="0.3">
      <c r="A475" s="7">
        <v>45953</v>
      </c>
      <c r="B475">
        <v>10</v>
      </c>
      <c r="C475" t="s">
        <v>236</v>
      </c>
      <c r="D475" t="s">
        <v>42</v>
      </c>
      <c r="E475">
        <v>2</v>
      </c>
      <c r="F475">
        <v>2</v>
      </c>
      <c r="G475">
        <v>3</v>
      </c>
      <c r="H475" t="s">
        <v>241</v>
      </c>
      <c r="I475">
        <v>2</v>
      </c>
      <c r="J475" s="10">
        <v>0.64583333333333337</v>
      </c>
      <c r="K475" s="10">
        <v>0.6645833333333333</v>
      </c>
      <c r="L475" s="10">
        <f t="shared" si="15"/>
        <v>1.8749999999999933E-2</v>
      </c>
      <c r="M475" s="12">
        <f t="shared" si="14"/>
        <v>0.4499999999999984</v>
      </c>
      <c r="N475" s="12">
        <f>Table1[[#This Row],[Trip Hours]]*Table1[[#This Row],['#Angler]]</f>
        <v>0.8999999999999968</v>
      </c>
      <c r="O475" t="s">
        <v>349</v>
      </c>
      <c r="P475" t="s">
        <v>369</v>
      </c>
      <c r="Q475" t="s">
        <v>370</v>
      </c>
      <c r="R475" s="11">
        <v>0</v>
      </c>
      <c r="S475">
        <v>0</v>
      </c>
      <c r="T475">
        <v>0</v>
      </c>
      <c r="U475">
        <v>0</v>
      </c>
      <c r="V475" s="11">
        <v>0</v>
      </c>
      <c r="W475">
        <v>0</v>
      </c>
      <c r="X475">
        <v>0</v>
      </c>
      <c r="Y475">
        <v>0</v>
      </c>
      <c r="Z475" s="11">
        <f>SUM(Table1[[#This Row],[Chi Kept]],Table1[[#This Row],[Chi Released]])</f>
        <v>0</v>
      </c>
      <c r="AA475">
        <f>SUM(Table1[[#This Row],[Co Kept]],Table1[[#This Row],[Co Released ]])</f>
        <v>0</v>
      </c>
      <c r="AB475">
        <f>SUM(Table1[[#This Row],[Pink Kept]],Table1[[#This Row],[Pink Released]])</f>
        <v>0</v>
      </c>
      <c r="AC475">
        <f>SUM(Table1[[#This Row],[Chu Kept]],Table1[[#This Row],[Chu Released]])</f>
        <v>0</v>
      </c>
    </row>
    <row r="476" spans="1:29" x14ac:dyDescent="0.3">
      <c r="A476" s="7">
        <v>45953</v>
      </c>
      <c r="B476">
        <v>10</v>
      </c>
      <c r="C476" t="s">
        <v>236</v>
      </c>
      <c r="D476" t="s">
        <v>42</v>
      </c>
      <c r="E476">
        <v>3</v>
      </c>
      <c r="F476">
        <v>2</v>
      </c>
      <c r="G476">
        <v>3</v>
      </c>
      <c r="H476" t="s">
        <v>241</v>
      </c>
      <c r="I476">
        <v>1</v>
      </c>
      <c r="J476" s="10">
        <v>0.60416666666666663</v>
      </c>
      <c r="K476" s="10">
        <v>0.6645833333333333</v>
      </c>
      <c r="L476" s="10">
        <f t="shared" si="15"/>
        <v>6.0416666666666674E-2</v>
      </c>
      <c r="M476" s="12">
        <f t="shared" si="14"/>
        <v>1.4500000000000002</v>
      </c>
      <c r="N476" s="12">
        <f>Table1[[#This Row],[Trip Hours]]*Table1[[#This Row],['#Angler]]</f>
        <v>1.4500000000000002</v>
      </c>
      <c r="O476" t="s">
        <v>349</v>
      </c>
      <c r="P476" t="s">
        <v>56</v>
      </c>
      <c r="Q476" t="s">
        <v>241</v>
      </c>
      <c r="R476" s="11">
        <v>0</v>
      </c>
      <c r="S476">
        <v>0</v>
      </c>
      <c r="T476">
        <v>0</v>
      </c>
      <c r="U476">
        <v>0</v>
      </c>
      <c r="V476" s="11">
        <v>0</v>
      </c>
      <c r="W476">
        <v>0</v>
      </c>
      <c r="X476">
        <v>0</v>
      </c>
      <c r="Y476">
        <v>0</v>
      </c>
      <c r="Z476" s="11">
        <f>SUM(Table1[[#This Row],[Chi Kept]],Table1[[#This Row],[Chi Released]])</f>
        <v>0</v>
      </c>
      <c r="AA476">
        <f>SUM(Table1[[#This Row],[Co Kept]],Table1[[#This Row],[Co Released ]])</f>
        <v>0</v>
      </c>
      <c r="AB476">
        <f>SUM(Table1[[#This Row],[Pink Kept]],Table1[[#This Row],[Pink Released]])</f>
        <v>0</v>
      </c>
      <c r="AC476">
        <f>SUM(Table1[[#This Row],[Chu Kept]],Table1[[#This Row],[Chu Released]])</f>
        <v>0</v>
      </c>
    </row>
    <row r="477" spans="1:29" x14ac:dyDescent="0.3">
      <c r="A477" s="7">
        <v>45953</v>
      </c>
      <c r="B477">
        <v>10</v>
      </c>
      <c r="C477" t="s">
        <v>236</v>
      </c>
      <c r="D477" t="s">
        <v>42</v>
      </c>
      <c r="E477">
        <v>4</v>
      </c>
      <c r="F477">
        <v>2</v>
      </c>
      <c r="G477">
        <v>4</v>
      </c>
      <c r="H477" t="s">
        <v>241</v>
      </c>
      <c r="I477">
        <v>2</v>
      </c>
      <c r="J477" s="10">
        <v>0.60416666666666663</v>
      </c>
      <c r="K477" s="10">
        <v>0.67777777777777781</v>
      </c>
      <c r="L477" s="10">
        <f t="shared" si="15"/>
        <v>7.3611111111111183E-2</v>
      </c>
      <c r="M477" s="12">
        <f t="shared" si="14"/>
        <v>1.7666666666666684</v>
      </c>
      <c r="N477" s="12">
        <f>Table1[[#This Row],[Trip Hours]]*Table1[[#This Row],['#Angler]]</f>
        <v>3.5333333333333368</v>
      </c>
      <c r="O477" t="s">
        <v>342</v>
      </c>
      <c r="Q477" t="s">
        <v>224</v>
      </c>
      <c r="R477" s="11">
        <v>0</v>
      </c>
      <c r="S477">
        <v>0</v>
      </c>
      <c r="T477">
        <v>0</v>
      </c>
      <c r="U477">
        <v>0</v>
      </c>
      <c r="V477" s="11">
        <v>0</v>
      </c>
      <c r="W477">
        <v>0</v>
      </c>
      <c r="X477">
        <v>0</v>
      </c>
      <c r="Y477">
        <v>0</v>
      </c>
      <c r="Z477" s="11">
        <f>SUM(Table1[[#This Row],[Chi Kept]],Table1[[#This Row],[Chi Released]])</f>
        <v>0</v>
      </c>
      <c r="AA477">
        <f>SUM(Table1[[#This Row],[Co Kept]],Table1[[#This Row],[Co Released ]])</f>
        <v>0</v>
      </c>
      <c r="AB477">
        <f>SUM(Table1[[#This Row],[Pink Kept]],Table1[[#This Row],[Pink Released]])</f>
        <v>0</v>
      </c>
      <c r="AC477">
        <f>SUM(Table1[[#This Row],[Chu Kept]],Table1[[#This Row],[Chu Released]])</f>
        <v>0</v>
      </c>
    </row>
    <row r="478" spans="1:29" x14ac:dyDescent="0.3">
      <c r="A478" s="7">
        <v>45953</v>
      </c>
      <c r="B478">
        <v>10</v>
      </c>
      <c r="C478" t="s">
        <v>236</v>
      </c>
      <c r="D478" t="s">
        <v>42</v>
      </c>
      <c r="E478">
        <v>5</v>
      </c>
      <c r="F478">
        <v>2</v>
      </c>
      <c r="G478">
        <v>4</v>
      </c>
      <c r="H478" t="s">
        <v>241</v>
      </c>
      <c r="I478">
        <v>2</v>
      </c>
      <c r="J478" s="10">
        <v>0.58333333333333337</v>
      </c>
      <c r="K478" s="10">
        <v>0.68333333333333335</v>
      </c>
      <c r="L478" s="10">
        <f t="shared" si="15"/>
        <v>9.9999999999999978E-2</v>
      </c>
      <c r="M478" s="12">
        <f t="shared" si="14"/>
        <v>2.3999999999999995</v>
      </c>
      <c r="N478" s="12">
        <f>Table1[[#This Row],[Trip Hours]]*Table1[[#This Row],['#Angler]]</f>
        <v>4.7999999999999989</v>
      </c>
      <c r="O478" t="s">
        <v>349</v>
      </c>
      <c r="P478" t="s">
        <v>186</v>
      </c>
      <c r="Q478" t="s">
        <v>224</v>
      </c>
      <c r="R478" s="11">
        <v>0</v>
      </c>
      <c r="S478">
        <v>0</v>
      </c>
      <c r="T478">
        <v>0</v>
      </c>
      <c r="U478">
        <v>0</v>
      </c>
      <c r="V478" s="11">
        <v>0</v>
      </c>
      <c r="W478">
        <v>0</v>
      </c>
      <c r="X478">
        <v>0</v>
      </c>
      <c r="Y478">
        <v>0</v>
      </c>
      <c r="Z478" s="11">
        <f>SUM(Table1[[#This Row],[Chi Kept]],Table1[[#This Row],[Chi Released]])</f>
        <v>0</v>
      </c>
      <c r="AA478">
        <f>SUM(Table1[[#This Row],[Co Kept]],Table1[[#This Row],[Co Released ]])</f>
        <v>0</v>
      </c>
      <c r="AB478">
        <f>SUM(Table1[[#This Row],[Pink Kept]],Table1[[#This Row],[Pink Released]])</f>
        <v>0</v>
      </c>
      <c r="AC478">
        <f>SUM(Table1[[#This Row],[Chu Kept]],Table1[[#This Row],[Chu Released]])</f>
        <v>0</v>
      </c>
    </row>
    <row r="479" spans="1:29" x14ac:dyDescent="0.3">
      <c r="A479" s="7">
        <v>45953</v>
      </c>
      <c r="B479">
        <v>10</v>
      </c>
      <c r="C479" t="s">
        <v>236</v>
      </c>
      <c r="D479" t="s">
        <v>42</v>
      </c>
      <c r="E479">
        <v>6</v>
      </c>
      <c r="F479">
        <v>2</v>
      </c>
      <c r="G479">
        <v>4</v>
      </c>
      <c r="H479" t="s">
        <v>241</v>
      </c>
      <c r="I479">
        <v>1</v>
      </c>
      <c r="J479" s="10">
        <v>0.6875</v>
      </c>
      <c r="K479" s="10">
        <v>0.70347222222222228</v>
      </c>
      <c r="L479" s="10">
        <f t="shared" si="15"/>
        <v>1.5972222222222276E-2</v>
      </c>
      <c r="M479" s="12">
        <f t="shared" si="14"/>
        <v>0.38333333333333464</v>
      </c>
      <c r="N479" s="12">
        <f>Table1[[#This Row],[Trip Hours]]*Table1[[#This Row],['#Angler]]</f>
        <v>0.38333333333333464</v>
      </c>
      <c r="O479" t="s">
        <v>342</v>
      </c>
      <c r="R479" s="11">
        <v>0</v>
      </c>
      <c r="S479">
        <v>0</v>
      </c>
      <c r="T479">
        <v>0</v>
      </c>
      <c r="U479">
        <v>0</v>
      </c>
      <c r="V479" s="11">
        <v>0</v>
      </c>
      <c r="W479">
        <v>0</v>
      </c>
      <c r="X479">
        <v>0</v>
      </c>
      <c r="Y479">
        <v>0</v>
      </c>
      <c r="Z479" s="11">
        <f>SUM(Table1[[#This Row],[Chi Kept]],Table1[[#This Row],[Chi Released]])</f>
        <v>0</v>
      </c>
      <c r="AA479">
        <f>SUM(Table1[[#This Row],[Co Kept]],Table1[[#This Row],[Co Released ]])</f>
        <v>0</v>
      </c>
      <c r="AB479">
        <f>SUM(Table1[[#This Row],[Pink Kept]],Table1[[#This Row],[Pink Released]])</f>
        <v>0</v>
      </c>
      <c r="AC479">
        <f>SUM(Table1[[#This Row],[Chu Kept]],Table1[[#This Row],[Chu Released]])</f>
        <v>0</v>
      </c>
    </row>
    <row r="480" spans="1:29" x14ac:dyDescent="0.3">
      <c r="A480" s="7">
        <v>45953</v>
      </c>
      <c r="B480">
        <v>10</v>
      </c>
      <c r="C480" t="s">
        <v>236</v>
      </c>
      <c r="D480" t="s">
        <v>42</v>
      </c>
      <c r="E480">
        <v>7</v>
      </c>
      <c r="F480">
        <v>2</v>
      </c>
      <c r="G480">
        <v>4</v>
      </c>
      <c r="H480" t="s">
        <v>241</v>
      </c>
      <c r="I480">
        <v>1</v>
      </c>
      <c r="J480" s="10">
        <v>0.6875</v>
      </c>
      <c r="K480" s="10">
        <v>0.70347222222222228</v>
      </c>
      <c r="L480" s="10">
        <f t="shared" si="15"/>
        <v>1.5972222222222276E-2</v>
      </c>
      <c r="M480" s="12">
        <f t="shared" si="14"/>
        <v>0.38333333333333464</v>
      </c>
      <c r="N480" s="12">
        <f>Table1[[#This Row],[Trip Hours]]*Table1[[#This Row],['#Angler]]</f>
        <v>0.38333333333333464</v>
      </c>
      <c r="O480" t="s">
        <v>342</v>
      </c>
      <c r="R480" s="11">
        <v>0</v>
      </c>
      <c r="S480">
        <v>0</v>
      </c>
      <c r="T480">
        <v>0</v>
      </c>
      <c r="U480">
        <v>0</v>
      </c>
      <c r="V480" s="11">
        <v>0</v>
      </c>
      <c r="W480">
        <v>0</v>
      </c>
      <c r="X480">
        <v>0</v>
      </c>
      <c r="Y480">
        <v>0</v>
      </c>
      <c r="Z480" s="11">
        <f>SUM(Table1[[#This Row],[Chi Kept]],Table1[[#This Row],[Chi Released]])</f>
        <v>0</v>
      </c>
      <c r="AA480">
        <f>SUM(Table1[[#This Row],[Co Kept]],Table1[[#This Row],[Co Released ]])</f>
        <v>0</v>
      </c>
      <c r="AB480">
        <f>SUM(Table1[[#This Row],[Pink Kept]],Table1[[#This Row],[Pink Released]])</f>
        <v>0</v>
      </c>
      <c r="AC480">
        <f>SUM(Table1[[#This Row],[Chu Kept]],Table1[[#This Row],[Chu Released]])</f>
        <v>0</v>
      </c>
    </row>
    <row r="481" spans="1:29" x14ac:dyDescent="0.3">
      <c r="A481" s="7">
        <v>45953</v>
      </c>
      <c r="B481">
        <v>10</v>
      </c>
      <c r="C481" t="s">
        <v>236</v>
      </c>
      <c r="D481" t="s">
        <v>42</v>
      </c>
      <c r="E481">
        <v>8</v>
      </c>
      <c r="F481">
        <v>2</v>
      </c>
      <c r="G481">
        <v>4</v>
      </c>
      <c r="H481" t="s">
        <v>241</v>
      </c>
      <c r="I481">
        <v>1</v>
      </c>
      <c r="J481" s="10">
        <v>0.5625</v>
      </c>
      <c r="K481" s="10">
        <v>0.72847222222222219</v>
      </c>
      <c r="L481" s="10">
        <f t="shared" si="15"/>
        <v>0.16597222222222219</v>
      </c>
      <c r="M481" s="12">
        <f t="shared" si="14"/>
        <v>3.9833333333333325</v>
      </c>
      <c r="N481" s="12">
        <f>Table1[[#This Row],[Trip Hours]]*Table1[[#This Row],['#Angler]]</f>
        <v>3.9833333333333325</v>
      </c>
      <c r="O481" t="s">
        <v>342</v>
      </c>
      <c r="Q481" t="s">
        <v>224</v>
      </c>
      <c r="R481" s="11">
        <v>0</v>
      </c>
      <c r="S481">
        <v>1</v>
      </c>
      <c r="T481">
        <v>0</v>
      </c>
      <c r="U481">
        <v>0</v>
      </c>
      <c r="V481" s="11">
        <v>0</v>
      </c>
      <c r="W481">
        <v>0</v>
      </c>
      <c r="X481">
        <v>0</v>
      </c>
      <c r="Y481">
        <v>0</v>
      </c>
      <c r="Z481" s="11">
        <f>SUM(Table1[[#This Row],[Chi Kept]],Table1[[#This Row],[Chi Released]])</f>
        <v>0</v>
      </c>
      <c r="AA481">
        <f>SUM(Table1[[#This Row],[Co Kept]],Table1[[#This Row],[Co Released ]])</f>
        <v>1</v>
      </c>
      <c r="AB481">
        <f>SUM(Table1[[#This Row],[Pink Kept]],Table1[[#This Row],[Pink Released]])</f>
        <v>0</v>
      </c>
      <c r="AC481">
        <f>SUM(Table1[[#This Row],[Chu Kept]],Table1[[#This Row],[Chu Released]])</f>
        <v>0</v>
      </c>
    </row>
    <row r="482" spans="1:29" x14ac:dyDescent="0.3">
      <c r="A482" s="7">
        <v>45953</v>
      </c>
      <c r="B482">
        <v>10</v>
      </c>
      <c r="C482" t="s">
        <v>236</v>
      </c>
      <c r="D482" t="s">
        <v>42</v>
      </c>
      <c r="E482">
        <v>9</v>
      </c>
      <c r="F482">
        <v>2</v>
      </c>
      <c r="G482">
        <v>4</v>
      </c>
      <c r="H482" t="s">
        <v>241</v>
      </c>
      <c r="I482">
        <v>3</v>
      </c>
      <c r="J482" s="10">
        <v>0.66666666666666663</v>
      </c>
      <c r="K482" s="10">
        <v>0.73263888888888884</v>
      </c>
      <c r="L482" s="10">
        <f t="shared" si="15"/>
        <v>6.597222222222221E-2</v>
      </c>
      <c r="M482" s="12">
        <f t="shared" si="14"/>
        <v>1.583333333333333</v>
      </c>
      <c r="N482" s="12">
        <f>Table1[[#This Row],[Trip Hours]]*Table1[[#This Row],['#Angler]]</f>
        <v>4.7499999999999991</v>
      </c>
      <c r="O482" t="s">
        <v>342</v>
      </c>
      <c r="Q482" t="s">
        <v>224</v>
      </c>
      <c r="R482" s="11">
        <v>0</v>
      </c>
      <c r="S482">
        <v>0</v>
      </c>
      <c r="T482">
        <v>0</v>
      </c>
      <c r="U482">
        <v>0</v>
      </c>
      <c r="V482" s="11">
        <v>0</v>
      </c>
      <c r="W482">
        <v>0</v>
      </c>
      <c r="X482">
        <v>0</v>
      </c>
      <c r="Y482">
        <v>0</v>
      </c>
      <c r="Z482" s="11">
        <f>SUM(Table1[[#This Row],[Chi Kept]],Table1[[#This Row],[Chi Released]])</f>
        <v>0</v>
      </c>
      <c r="AA482">
        <f>SUM(Table1[[#This Row],[Co Kept]],Table1[[#This Row],[Co Released ]])</f>
        <v>0</v>
      </c>
      <c r="AB482">
        <f>SUM(Table1[[#This Row],[Pink Kept]],Table1[[#This Row],[Pink Released]])</f>
        <v>0</v>
      </c>
      <c r="AC482">
        <f>SUM(Table1[[#This Row],[Chu Kept]],Table1[[#This Row],[Chu Released]])</f>
        <v>0</v>
      </c>
    </row>
    <row r="483" spans="1:29" x14ac:dyDescent="0.3">
      <c r="A483" s="7">
        <v>45954</v>
      </c>
      <c r="B483">
        <v>10</v>
      </c>
      <c r="C483" t="s">
        <v>236</v>
      </c>
      <c r="D483" t="s">
        <v>26</v>
      </c>
      <c r="E483">
        <v>1</v>
      </c>
      <c r="F483">
        <v>2</v>
      </c>
      <c r="G483">
        <v>2</v>
      </c>
      <c r="H483" t="s">
        <v>241</v>
      </c>
      <c r="I483">
        <v>1</v>
      </c>
      <c r="J483" s="10">
        <v>0.30208333333333331</v>
      </c>
      <c r="K483" s="10">
        <v>0.33680555555555558</v>
      </c>
      <c r="L483" s="10">
        <f t="shared" si="15"/>
        <v>3.4722222222222265E-2</v>
      </c>
      <c r="M483" s="12">
        <f t="shared" si="14"/>
        <v>0.83333333333333437</v>
      </c>
      <c r="N483" s="12">
        <f>Table1[[#This Row],[Trip Hours]]*Table1[[#This Row],['#Angler]]</f>
        <v>0.83333333333333437</v>
      </c>
      <c r="O483" t="s">
        <v>349</v>
      </c>
      <c r="P483" t="s">
        <v>56</v>
      </c>
      <c r="Q483" t="s">
        <v>247</v>
      </c>
      <c r="R483" s="11">
        <v>0</v>
      </c>
      <c r="S483">
        <v>0</v>
      </c>
      <c r="T483">
        <v>0</v>
      </c>
      <c r="U483">
        <v>0</v>
      </c>
      <c r="V483" s="11">
        <v>0</v>
      </c>
      <c r="W483">
        <v>0</v>
      </c>
      <c r="X483">
        <v>0</v>
      </c>
      <c r="Y483">
        <v>0</v>
      </c>
      <c r="Z483" s="11">
        <f>SUM(Table1[[#This Row],[Chi Kept]],Table1[[#This Row],[Chi Released]])</f>
        <v>0</v>
      </c>
      <c r="AA483">
        <f>SUM(Table1[[#This Row],[Co Kept]],Table1[[#This Row],[Co Released ]])</f>
        <v>0</v>
      </c>
      <c r="AB483">
        <f>SUM(Table1[[#This Row],[Pink Kept]],Table1[[#This Row],[Pink Released]])</f>
        <v>0</v>
      </c>
      <c r="AC483">
        <f>SUM(Table1[[#This Row],[Chu Kept]],Table1[[#This Row],[Chu Released]])</f>
        <v>0</v>
      </c>
    </row>
    <row r="484" spans="1:29" x14ac:dyDescent="0.3">
      <c r="A484" s="7">
        <v>45954</v>
      </c>
      <c r="B484">
        <v>10</v>
      </c>
      <c r="C484" t="s">
        <v>236</v>
      </c>
      <c r="D484" t="s">
        <v>26</v>
      </c>
      <c r="E484">
        <v>2</v>
      </c>
      <c r="F484">
        <v>2</v>
      </c>
      <c r="G484">
        <v>2</v>
      </c>
      <c r="H484" t="s">
        <v>241</v>
      </c>
      <c r="I484">
        <v>1</v>
      </c>
      <c r="J484" s="10">
        <v>0.33333333333333331</v>
      </c>
      <c r="K484" s="10">
        <v>0.34930555555555554</v>
      </c>
      <c r="L484" s="10">
        <f t="shared" si="15"/>
        <v>1.5972222222222221E-2</v>
      </c>
      <c r="M484" s="12">
        <f t="shared" si="14"/>
        <v>0.3833333333333333</v>
      </c>
      <c r="N484" s="12">
        <f>Table1[[#This Row],[Trip Hours]]*Table1[[#This Row],['#Angler]]</f>
        <v>0.3833333333333333</v>
      </c>
      <c r="O484" t="s">
        <v>349</v>
      </c>
      <c r="P484" t="s">
        <v>49</v>
      </c>
      <c r="Q484" t="s">
        <v>224</v>
      </c>
      <c r="R484" s="11">
        <v>0</v>
      </c>
      <c r="S484">
        <v>0</v>
      </c>
      <c r="T484">
        <v>0</v>
      </c>
      <c r="U484">
        <v>0</v>
      </c>
      <c r="V484" s="11">
        <v>0</v>
      </c>
      <c r="W484">
        <v>0</v>
      </c>
      <c r="X484">
        <v>0</v>
      </c>
      <c r="Y484">
        <v>0</v>
      </c>
      <c r="Z484" s="11">
        <f>SUM(Table1[[#This Row],[Chi Kept]],Table1[[#This Row],[Chi Released]])</f>
        <v>0</v>
      </c>
      <c r="AA484">
        <f>SUM(Table1[[#This Row],[Co Kept]],Table1[[#This Row],[Co Released ]])</f>
        <v>0</v>
      </c>
      <c r="AB484">
        <f>SUM(Table1[[#This Row],[Pink Kept]],Table1[[#This Row],[Pink Released]])</f>
        <v>0</v>
      </c>
      <c r="AC484">
        <f>SUM(Table1[[#This Row],[Chu Kept]],Table1[[#This Row],[Chu Released]])</f>
        <v>0</v>
      </c>
    </row>
    <row r="485" spans="1:29" x14ac:dyDescent="0.3">
      <c r="A485" s="7">
        <v>45954</v>
      </c>
      <c r="B485">
        <v>10</v>
      </c>
      <c r="C485" t="s">
        <v>236</v>
      </c>
      <c r="D485" t="s">
        <v>26</v>
      </c>
      <c r="E485">
        <v>3</v>
      </c>
      <c r="F485">
        <v>2</v>
      </c>
      <c r="G485">
        <v>4</v>
      </c>
      <c r="H485" t="s">
        <v>241</v>
      </c>
      <c r="I485">
        <v>1</v>
      </c>
      <c r="J485" s="10">
        <v>0.35416666666666669</v>
      </c>
      <c r="K485" s="10">
        <v>0.3611111111111111</v>
      </c>
      <c r="L485" s="10">
        <f t="shared" si="15"/>
        <v>6.9444444444444198E-3</v>
      </c>
      <c r="M485" s="12">
        <f t="shared" si="14"/>
        <v>0.16666666666666607</v>
      </c>
      <c r="N485" s="12">
        <f>Table1[[#This Row],[Trip Hours]]*Table1[[#This Row],['#Angler]]</f>
        <v>0.16666666666666607</v>
      </c>
      <c r="O485" t="s">
        <v>349</v>
      </c>
      <c r="P485" t="s">
        <v>186</v>
      </c>
      <c r="Q485" t="s">
        <v>224</v>
      </c>
      <c r="R485" s="11">
        <v>0</v>
      </c>
      <c r="S485">
        <v>0</v>
      </c>
      <c r="T485">
        <v>0</v>
      </c>
      <c r="U485">
        <v>0</v>
      </c>
      <c r="V485" s="11">
        <v>0</v>
      </c>
      <c r="W485">
        <v>0</v>
      </c>
      <c r="X485">
        <v>0</v>
      </c>
      <c r="Y485">
        <v>0</v>
      </c>
      <c r="Z485" s="11">
        <f>SUM(Table1[[#This Row],[Chi Kept]],Table1[[#This Row],[Chi Released]])</f>
        <v>0</v>
      </c>
      <c r="AA485">
        <f>SUM(Table1[[#This Row],[Co Kept]],Table1[[#This Row],[Co Released ]])</f>
        <v>0</v>
      </c>
      <c r="AB485">
        <f>SUM(Table1[[#This Row],[Pink Kept]],Table1[[#This Row],[Pink Released]])</f>
        <v>0</v>
      </c>
      <c r="AC485">
        <f>SUM(Table1[[#This Row],[Chu Kept]],Table1[[#This Row],[Chu Released]])</f>
        <v>0</v>
      </c>
    </row>
    <row r="486" spans="1:29" x14ac:dyDescent="0.3">
      <c r="A486" s="7">
        <v>45954</v>
      </c>
      <c r="B486">
        <v>10</v>
      </c>
      <c r="C486" t="s">
        <v>236</v>
      </c>
      <c r="D486" t="s">
        <v>26</v>
      </c>
      <c r="E486">
        <v>4</v>
      </c>
      <c r="F486">
        <v>2</v>
      </c>
      <c r="G486">
        <v>4</v>
      </c>
      <c r="H486" t="s">
        <v>241</v>
      </c>
      <c r="I486">
        <v>1</v>
      </c>
      <c r="J486" s="10">
        <v>0.3125</v>
      </c>
      <c r="K486" s="10">
        <v>0.3611111111111111</v>
      </c>
      <c r="L486" s="10">
        <f t="shared" si="15"/>
        <v>4.8611111111111105E-2</v>
      </c>
      <c r="M486" s="12">
        <f t="shared" si="14"/>
        <v>1.1666666666666665</v>
      </c>
      <c r="N486" s="12">
        <f>Table1[[#This Row],[Trip Hours]]*Table1[[#This Row],['#Angler]]</f>
        <v>1.1666666666666665</v>
      </c>
      <c r="O486" t="s">
        <v>349</v>
      </c>
      <c r="P486" t="s">
        <v>186</v>
      </c>
      <c r="Q486" t="s">
        <v>224</v>
      </c>
      <c r="R486" s="11">
        <v>0</v>
      </c>
      <c r="S486">
        <v>0</v>
      </c>
      <c r="T486">
        <v>0</v>
      </c>
      <c r="U486">
        <v>0</v>
      </c>
      <c r="V486" s="11">
        <v>0</v>
      </c>
      <c r="W486">
        <v>0</v>
      </c>
      <c r="X486">
        <v>0</v>
      </c>
      <c r="Y486">
        <v>0</v>
      </c>
      <c r="Z486" s="11">
        <f>SUM(Table1[[#This Row],[Chi Kept]],Table1[[#This Row],[Chi Released]])</f>
        <v>0</v>
      </c>
      <c r="AA486">
        <f>SUM(Table1[[#This Row],[Co Kept]],Table1[[#This Row],[Co Released ]])</f>
        <v>0</v>
      </c>
      <c r="AB486">
        <f>SUM(Table1[[#This Row],[Pink Kept]],Table1[[#This Row],[Pink Released]])</f>
        <v>0</v>
      </c>
      <c r="AC486">
        <f>SUM(Table1[[#This Row],[Chu Kept]],Table1[[#This Row],[Chu Released]])</f>
        <v>0</v>
      </c>
    </row>
    <row r="487" spans="1:29" x14ac:dyDescent="0.3">
      <c r="A487" s="7">
        <v>45954</v>
      </c>
      <c r="B487">
        <v>10</v>
      </c>
      <c r="C487" t="s">
        <v>236</v>
      </c>
      <c r="D487" t="s">
        <v>26</v>
      </c>
      <c r="E487">
        <v>5</v>
      </c>
      <c r="F487">
        <v>3</v>
      </c>
      <c r="G487">
        <v>6</v>
      </c>
      <c r="H487" t="s">
        <v>241</v>
      </c>
      <c r="I487">
        <v>1</v>
      </c>
      <c r="J487" s="10">
        <v>0.35416666666666669</v>
      </c>
      <c r="K487" s="10">
        <v>0.39444444444444443</v>
      </c>
      <c r="L487" s="10">
        <f t="shared" si="15"/>
        <v>4.0277777777777746E-2</v>
      </c>
      <c r="M487" s="12">
        <f t="shared" si="14"/>
        <v>0.9666666666666659</v>
      </c>
      <c r="N487" s="12">
        <f>Table1[[#This Row],[Trip Hours]]*Table1[[#This Row],['#Angler]]</f>
        <v>0.9666666666666659</v>
      </c>
      <c r="O487" t="s">
        <v>342</v>
      </c>
      <c r="Q487" t="s">
        <v>364</v>
      </c>
      <c r="R487" s="11">
        <v>0</v>
      </c>
      <c r="S487">
        <v>0</v>
      </c>
      <c r="T487">
        <v>0</v>
      </c>
      <c r="U487">
        <v>0</v>
      </c>
      <c r="V487" s="11">
        <v>0</v>
      </c>
      <c r="W487">
        <v>0</v>
      </c>
      <c r="X487">
        <v>2</v>
      </c>
      <c r="Y487">
        <v>0</v>
      </c>
      <c r="Z487" s="11">
        <f>SUM(Table1[[#This Row],[Chi Kept]],Table1[[#This Row],[Chi Released]])</f>
        <v>0</v>
      </c>
      <c r="AA487">
        <f>SUM(Table1[[#This Row],[Co Kept]],Table1[[#This Row],[Co Released ]])</f>
        <v>0</v>
      </c>
      <c r="AB487">
        <f>SUM(Table1[[#This Row],[Pink Kept]],Table1[[#This Row],[Pink Released]])</f>
        <v>2</v>
      </c>
      <c r="AC487">
        <f>SUM(Table1[[#This Row],[Chu Kept]],Table1[[#This Row],[Chu Released]])</f>
        <v>0</v>
      </c>
    </row>
    <row r="488" spans="1:29" x14ac:dyDescent="0.3">
      <c r="A488" s="7">
        <v>45954</v>
      </c>
      <c r="B488">
        <v>10</v>
      </c>
      <c r="C488" t="s">
        <v>236</v>
      </c>
      <c r="D488" t="s">
        <v>26</v>
      </c>
      <c r="E488">
        <v>6</v>
      </c>
      <c r="F488">
        <v>3</v>
      </c>
      <c r="G488">
        <v>6</v>
      </c>
      <c r="H488" t="s">
        <v>241</v>
      </c>
      <c r="I488">
        <v>1</v>
      </c>
      <c r="J488" s="10">
        <v>0.375</v>
      </c>
      <c r="K488" s="10">
        <v>0.42499999999999999</v>
      </c>
      <c r="L488" s="10">
        <f t="shared" si="15"/>
        <v>4.9999999999999989E-2</v>
      </c>
      <c r="M488" s="12">
        <f t="shared" si="14"/>
        <v>1.1999999999999997</v>
      </c>
      <c r="N488" s="12">
        <f>Table1[[#This Row],[Trip Hours]]*Table1[[#This Row],['#Angler]]</f>
        <v>1.1999999999999997</v>
      </c>
      <c r="O488" t="s">
        <v>342</v>
      </c>
      <c r="Q488" t="s">
        <v>247</v>
      </c>
      <c r="R488" s="11">
        <v>0</v>
      </c>
      <c r="S488">
        <v>0</v>
      </c>
      <c r="T488">
        <v>0</v>
      </c>
      <c r="U488">
        <v>0</v>
      </c>
      <c r="V488" s="11">
        <v>0</v>
      </c>
      <c r="W488">
        <v>0</v>
      </c>
      <c r="X488">
        <v>0</v>
      </c>
      <c r="Y488">
        <v>0</v>
      </c>
      <c r="Z488" s="11">
        <f>SUM(Table1[[#This Row],[Chi Kept]],Table1[[#This Row],[Chi Released]])</f>
        <v>0</v>
      </c>
      <c r="AA488">
        <f>SUM(Table1[[#This Row],[Co Kept]],Table1[[#This Row],[Co Released ]])</f>
        <v>0</v>
      </c>
      <c r="AB488">
        <f>SUM(Table1[[#This Row],[Pink Kept]],Table1[[#This Row],[Pink Released]])</f>
        <v>0</v>
      </c>
      <c r="AC488">
        <f>SUM(Table1[[#This Row],[Chu Kept]],Table1[[#This Row],[Chu Released]])</f>
        <v>0</v>
      </c>
    </row>
    <row r="489" spans="1:29" x14ac:dyDescent="0.3">
      <c r="A489" s="7">
        <v>45954</v>
      </c>
      <c r="B489">
        <v>10</v>
      </c>
      <c r="C489" t="s">
        <v>236</v>
      </c>
      <c r="D489" t="s">
        <v>26</v>
      </c>
      <c r="E489">
        <v>7</v>
      </c>
      <c r="F489">
        <v>3</v>
      </c>
      <c r="G489">
        <v>6</v>
      </c>
      <c r="H489" t="s">
        <v>241</v>
      </c>
      <c r="I489">
        <v>1</v>
      </c>
      <c r="J489" s="10">
        <v>0.375</v>
      </c>
      <c r="K489" s="10">
        <v>0.42499999999999999</v>
      </c>
      <c r="L489" s="10">
        <f t="shared" si="15"/>
        <v>4.9999999999999989E-2</v>
      </c>
      <c r="M489" s="12">
        <f t="shared" si="14"/>
        <v>1.1999999999999997</v>
      </c>
      <c r="N489" s="12">
        <f>Table1[[#This Row],[Trip Hours]]*Table1[[#This Row],['#Angler]]</f>
        <v>1.1999999999999997</v>
      </c>
      <c r="O489" t="s">
        <v>342</v>
      </c>
      <c r="Q489" t="s">
        <v>247</v>
      </c>
      <c r="R489" s="11">
        <v>0</v>
      </c>
      <c r="S489">
        <v>0</v>
      </c>
      <c r="T489">
        <v>0</v>
      </c>
      <c r="U489">
        <v>0</v>
      </c>
      <c r="V489" s="11">
        <v>0</v>
      </c>
      <c r="W489">
        <v>0</v>
      </c>
      <c r="X489">
        <v>0</v>
      </c>
      <c r="Y489">
        <v>0</v>
      </c>
      <c r="Z489" s="11">
        <f>SUM(Table1[[#This Row],[Chi Kept]],Table1[[#This Row],[Chi Released]])</f>
        <v>0</v>
      </c>
      <c r="AA489">
        <f>SUM(Table1[[#This Row],[Co Kept]],Table1[[#This Row],[Co Released ]])</f>
        <v>0</v>
      </c>
      <c r="AB489">
        <f>SUM(Table1[[#This Row],[Pink Kept]],Table1[[#This Row],[Pink Released]])</f>
        <v>0</v>
      </c>
      <c r="AC489">
        <f>SUM(Table1[[#This Row],[Chu Kept]],Table1[[#This Row],[Chu Released]])</f>
        <v>0</v>
      </c>
    </row>
    <row r="490" spans="1:29" x14ac:dyDescent="0.3">
      <c r="A490" s="7">
        <v>45954</v>
      </c>
      <c r="B490">
        <v>10</v>
      </c>
      <c r="C490" t="s">
        <v>236</v>
      </c>
      <c r="D490" t="s">
        <v>26</v>
      </c>
      <c r="E490">
        <v>8</v>
      </c>
      <c r="F490">
        <v>3</v>
      </c>
      <c r="G490">
        <v>6</v>
      </c>
      <c r="H490" t="s">
        <v>241</v>
      </c>
      <c r="I490">
        <v>2</v>
      </c>
      <c r="J490" s="10">
        <v>0.33333333333333331</v>
      </c>
      <c r="K490" s="10">
        <v>0.43541666666666667</v>
      </c>
      <c r="L490" s="10">
        <f t="shared" si="15"/>
        <v>0.10208333333333336</v>
      </c>
      <c r="M490" s="12">
        <f t="shared" si="14"/>
        <v>2.4500000000000006</v>
      </c>
      <c r="N490" s="12">
        <f>Table1[[#This Row],[Trip Hours]]*Table1[[#This Row],['#Angler]]</f>
        <v>4.9000000000000012</v>
      </c>
      <c r="O490" t="s">
        <v>342</v>
      </c>
      <c r="R490" s="11">
        <v>0</v>
      </c>
      <c r="S490">
        <v>0</v>
      </c>
      <c r="T490">
        <v>4</v>
      </c>
      <c r="U490">
        <v>0</v>
      </c>
      <c r="V490" s="11">
        <v>0</v>
      </c>
      <c r="W490">
        <v>0</v>
      </c>
      <c r="X490">
        <v>0</v>
      </c>
      <c r="Y490">
        <v>0</v>
      </c>
      <c r="Z490" s="11">
        <f>SUM(Table1[[#This Row],[Chi Kept]],Table1[[#This Row],[Chi Released]])</f>
        <v>0</v>
      </c>
      <c r="AA490">
        <f>SUM(Table1[[#This Row],[Co Kept]],Table1[[#This Row],[Co Released ]])</f>
        <v>0</v>
      </c>
      <c r="AB490">
        <f>SUM(Table1[[#This Row],[Pink Kept]],Table1[[#This Row],[Pink Released]])</f>
        <v>4</v>
      </c>
      <c r="AC490">
        <f>SUM(Table1[[#This Row],[Chu Kept]],Table1[[#This Row],[Chu Released]])</f>
        <v>0</v>
      </c>
    </row>
    <row r="491" spans="1:29" x14ac:dyDescent="0.3">
      <c r="A491" s="7">
        <v>45954</v>
      </c>
      <c r="B491">
        <v>10</v>
      </c>
      <c r="C491" t="s">
        <v>236</v>
      </c>
      <c r="D491" t="s">
        <v>26</v>
      </c>
      <c r="E491">
        <v>9</v>
      </c>
      <c r="F491">
        <v>3</v>
      </c>
      <c r="G491">
        <v>6</v>
      </c>
      <c r="H491" t="s">
        <v>241</v>
      </c>
      <c r="I491">
        <v>1</v>
      </c>
      <c r="J491" s="10">
        <v>0.40625</v>
      </c>
      <c r="K491" s="10">
        <v>0.44930555555555557</v>
      </c>
      <c r="L491" s="10">
        <f t="shared" si="15"/>
        <v>4.3055555555555569E-2</v>
      </c>
      <c r="M491" s="12">
        <f t="shared" si="14"/>
        <v>1.0333333333333337</v>
      </c>
      <c r="N491" s="12">
        <f>Table1[[#This Row],[Trip Hours]]*Table1[[#This Row],['#Angler]]</f>
        <v>1.0333333333333337</v>
      </c>
      <c r="O491" t="s">
        <v>342</v>
      </c>
      <c r="Q491" t="s">
        <v>247</v>
      </c>
      <c r="R491" s="11">
        <v>0</v>
      </c>
      <c r="S491">
        <v>0</v>
      </c>
      <c r="T491">
        <v>0</v>
      </c>
      <c r="U491">
        <v>0</v>
      </c>
      <c r="V491" s="11">
        <v>0</v>
      </c>
      <c r="W491">
        <v>0</v>
      </c>
      <c r="X491">
        <v>1</v>
      </c>
      <c r="Y491">
        <v>0</v>
      </c>
      <c r="Z491" s="11">
        <f>SUM(Table1[[#This Row],[Chi Kept]],Table1[[#This Row],[Chi Released]])</f>
        <v>0</v>
      </c>
      <c r="AA491">
        <f>SUM(Table1[[#This Row],[Co Kept]],Table1[[#This Row],[Co Released ]])</f>
        <v>0</v>
      </c>
      <c r="AB491">
        <f>SUM(Table1[[#This Row],[Pink Kept]],Table1[[#This Row],[Pink Released]])</f>
        <v>1</v>
      </c>
      <c r="AC491">
        <f>SUM(Table1[[#This Row],[Chu Kept]],Table1[[#This Row],[Chu Released]])</f>
        <v>0</v>
      </c>
    </row>
    <row r="492" spans="1:29" x14ac:dyDescent="0.3">
      <c r="A492" s="7">
        <v>45954</v>
      </c>
      <c r="B492">
        <v>10</v>
      </c>
      <c r="C492" t="s">
        <v>236</v>
      </c>
      <c r="D492" t="s">
        <v>26</v>
      </c>
      <c r="E492">
        <v>10</v>
      </c>
      <c r="F492">
        <v>2</v>
      </c>
      <c r="G492">
        <v>2</v>
      </c>
      <c r="H492" t="s">
        <v>344</v>
      </c>
      <c r="I492">
        <v>1</v>
      </c>
      <c r="J492" s="10">
        <v>0.33333333333333331</v>
      </c>
      <c r="K492" s="10">
        <v>0.71805555555555556</v>
      </c>
      <c r="L492" s="10">
        <f t="shared" si="15"/>
        <v>0.38472222222222224</v>
      </c>
      <c r="M492" s="12">
        <f t="shared" si="14"/>
        <v>9.2333333333333343</v>
      </c>
      <c r="N492" s="12">
        <f>Table1[[#This Row],[Trip Hours]]*Table1[[#This Row],['#Angler]]</f>
        <v>9.2333333333333343</v>
      </c>
      <c r="O492" t="s">
        <v>342</v>
      </c>
      <c r="Q492" t="s">
        <v>224</v>
      </c>
      <c r="R492" s="11">
        <v>0</v>
      </c>
      <c r="S492">
        <v>0</v>
      </c>
      <c r="T492">
        <v>0</v>
      </c>
      <c r="U492">
        <v>1</v>
      </c>
      <c r="V492" s="11">
        <v>0</v>
      </c>
      <c r="W492">
        <v>0</v>
      </c>
      <c r="X492">
        <v>0</v>
      </c>
      <c r="Y492">
        <v>3</v>
      </c>
      <c r="Z492" s="11">
        <f>SUM(Table1[[#This Row],[Chi Kept]],Table1[[#This Row],[Chi Released]])</f>
        <v>0</v>
      </c>
      <c r="AA492">
        <f>SUM(Table1[[#This Row],[Co Kept]],Table1[[#This Row],[Co Released ]])</f>
        <v>0</v>
      </c>
      <c r="AB492">
        <f>SUM(Table1[[#This Row],[Pink Kept]],Table1[[#This Row],[Pink Released]])</f>
        <v>0</v>
      </c>
      <c r="AC492">
        <f>SUM(Table1[[#This Row],[Chu Kept]],Table1[[#This Row],[Chu Released]])</f>
        <v>4</v>
      </c>
    </row>
    <row r="493" spans="1:29" x14ac:dyDescent="0.3">
      <c r="A493" s="7">
        <v>45955</v>
      </c>
      <c r="B493">
        <v>10</v>
      </c>
      <c r="C493" t="s">
        <v>250</v>
      </c>
      <c r="D493" t="s">
        <v>26</v>
      </c>
      <c r="E493">
        <v>1</v>
      </c>
      <c r="F493">
        <v>2</v>
      </c>
      <c r="G493">
        <v>1</v>
      </c>
      <c r="H493" t="s">
        <v>241</v>
      </c>
      <c r="I493">
        <v>1</v>
      </c>
      <c r="J493" s="10">
        <v>0.30555555555555558</v>
      </c>
      <c r="K493" s="10">
        <v>0.33124999999999999</v>
      </c>
      <c r="L493" s="10">
        <f t="shared" si="15"/>
        <v>2.5694444444444409E-2</v>
      </c>
      <c r="M493" s="12">
        <f t="shared" si="14"/>
        <v>0.61666666666666581</v>
      </c>
      <c r="N493" s="12">
        <f>Table1[[#This Row],[Trip Hours]]*Table1[[#This Row],['#Angler]]</f>
        <v>0.61666666666666581</v>
      </c>
      <c r="O493" t="s">
        <v>349</v>
      </c>
      <c r="R493" s="11">
        <v>0</v>
      </c>
      <c r="S493">
        <v>0</v>
      </c>
      <c r="T493">
        <v>0</v>
      </c>
      <c r="U493">
        <v>0</v>
      </c>
      <c r="V493" s="11">
        <v>0</v>
      </c>
      <c r="W493">
        <v>0</v>
      </c>
      <c r="X493">
        <v>0</v>
      </c>
      <c r="Y493">
        <v>0</v>
      </c>
      <c r="Z493" s="11">
        <f>SUM(Table1[[#This Row],[Chi Kept]],Table1[[#This Row],[Chi Released]])</f>
        <v>0</v>
      </c>
      <c r="AA493">
        <f>SUM(Table1[[#This Row],[Co Kept]],Table1[[#This Row],[Co Released ]])</f>
        <v>0</v>
      </c>
      <c r="AB493">
        <f>SUM(Table1[[#This Row],[Pink Kept]],Table1[[#This Row],[Pink Released]])</f>
        <v>0</v>
      </c>
      <c r="AC493">
        <f>SUM(Table1[[#This Row],[Chu Kept]],Table1[[#This Row],[Chu Released]])</f>
        <v>0</v>
      </c>
    </row>
    <row r="494" spans="1:29" x14ac:dyDescent="0.3">
      <c r="A494" s="7">
        <v>45955</v>
      </c>
      <c r="B494">
        <v>10</v>
      </c>
      <c r="C494" t="s">
        <v>250</v>
      </c>
      <c r="D494" t="s">
        <v>26</v>
      </c>
      <c r="E494">
        <v>2</v>
      </c>
      <c r="F494">
        <v>2</v>
      </c>
      <c r="G494">
        <v>1</v>
      </c>
      <c r="H494" t="s">
        <v>241</v>
      </c>
      <c r="I494">
        <v>2</v>
      </c>
      <c r="J494" s="10">
        <v>0.31597222222222221</v>
      </c>
      <c r="K494" s="10">
        <v>0.33194444444444443</v>
      </c>
      <c r="L494" s="10">
        <f t="shared" si="15"/>
        <v>1.5972222222222221E-2</v>
      </c>
      <c r="M494" s="12">
        <f t="shared" si="14"/>
        <v>0.3833333333333333</v>
      </c>
      <c r="N494" s="12">
        <f>Table1[[#This Row],[Trip Hours]]*Table1[[#This Row],['#Angler]]</f>
        <v>0.76666666666666661</v>
      </c>
      <c r="O494" t="s">
        <v>349</v>
      </c>
      <c r="P494" t="s">
        <v>186</v>
      </c>
      <c r="Q494" t="s">
        <v>238</v>
      </c>
      <c r="R494" s="11">
        <v>0</v>
      </c>
      <c r="S494">
        <v>0</v>
      </c>
      <c r="T494">
        <v>0</v>
      </c>
      <c r="U494">
        <v>0</v>
      </c>
      <c r="V494" s="11">
        <v>0</v>
      </c>
      <c r="W494">
        <v>0</v>
      </c>
      <c r="X494">
        <v>0</v>
      </c>
      <c r="Y494">
        <v>1</v>
      </c>
      <c r="Z494" s="11">
        <f>SUM(Table1[[#This Row],[Chi Kept]],Table1[[#This Row],[Chi Released]])</f>
        <v>0</v>
      </c>
      <c r="AA494">
        <f>SUM(Table1[[#This Row],[Co Kept]],Table1[[#This Row],[Co Released ]])</f>
        <v>0</v>
      </c>
      <c r="AB494">
        <f>SUM(Table1[[#This Row],[Pink Kept]],Table1[[#This Row],[Pink Released]])</f>
        <v>0</v>
      </c>
      <c r="AC494">
        <f>SUM(Table1[[#This Row],[Chu Kept]],Table1[[#This Row],[Chu Released]])</f>
        <v>1</v>
      </c>
    </row>
    <row r="495" spans="1:29" x14ac:dyDescent="0.3">
      <c r="A495" s="7">
        <v>45955</v>
      </c>
      <c r="B495">
        <v>10</v>
      </c>
      <c r="C495" t="s">
        <v>250</v>
      </c>
      <c r="D495" t="s">
        <v>26</v>
      </c>
      <c r="E495">
        <v>3</v>
      </c>
      <c r="F495">
        <v>2</v>
      </c>
      <c r="G495">
        <v>1</v>
      </c>
      <c r="H495" t="s">
        <v>241</v>
      </c>
      <c r="I495">
        <v>1</v>
      </c>
      <c r="J495" s="10">
        <v>0.31597222222222221</v>
      </c>
      <c r="K495" s="10">
        <v>0.33263888888888887</v>
      </c>
      <c r="L495" s="10">
        <f t="shared" si="15"/>
        <v>1.6666666666666663E-2</v>
      </c>
      <c r="M495" s="12">
        <f t="shared" si="14"/>
        <v>0.39999999999999991</v>
      </c>
      <c r="N495" s="12">
        <f>Table1[[#This Row],[Trip Hours]]*Table1[[#This Row],['#Angler]]</f>
        <v>0.39999999999999991</v>
      </c>
      <c r="O495" t="s">
        <v>349</v>
      </c>
      <c r="P495" t="s">
        <v>186</v>
      </c>
      <c r="Q495" t="s">
        <v>364</v>
      </c>
      <c r="R495" s="11">
        <v>0</v>
      </c>
      <c r="S495">
        <v>0</v>
      </c>
      <c r="T495">
        <v>0</v>
      </c>
      <c r="U495">
        <v>0</v>
      </c>
      <c r="V495" s="11">
        <v>0</v>
      </c>
      <c r="W495">
        <v>0</v>
      </c>
      <c r="X495">
        <v>0</v>
      </c>
      <c r="Y495">
        <v>0</v>
      </c>
      <c r="Z495" s="11">
        <f>SUM(Table1[[#This Row],[Chi Kept]],Table1[[#This Row],[Chi Released]])</f>
        <v>0</v>
      </c>
      <c r="AA495">
        <f>SUM(Table1[[#This Row],[Co Kept]],Table1[[#This Row],[Co Released ]])</f>
        <v>0</v>
      </c>
      <c r="AB495">
        <f>SUM(Table1[[#This Row],[Pink Kept]],Table1[[#This Row],[Pink Released]])</f>
        <v>0</v>
      </c>
      <c r="AC495">
        <f>SUM(Table1[[#This Row],[Chu Kept]],Table1[[#This Row],[Chu Released]])</f>
        <v>0</v>
      </c>
    </row>
    <row r="496" spans="1:29" x14ac:dyDescent="0.3">
      <c r="A496" s="7">
        <v>45955</v>
      </c>
      <c r="B496">
        <v>10</v>
      </c>
      <c r="C496" t="s">
        <v>250</v>
      </c>
      <c r="D496" t="s">
        <v>26</v>
      </c>
      <c r="E496">
        <v>4</v>
      </c>
      <c r="F496">
        <v>2</v>
      </c>
      <c r="G496">
        <v>2</v>
      </c>
      <c r="H496" t="s">
        <v>241</v>
      </c>
      <c r="I496">
        <v>1</v>
      </c>
      <c r="J496" s="10">
        <v>0.33333333333333331</v>
      </c>
      <c r="K496" s="10">
        <v>0.34027777777777779</v>
      </c>
      <c r="L496" s="10">
        <f t="shared" si="15"/>
        <v>6.9444444444444753E-3</v>
      </c>
      <c r="M496" s="12">
        <f t="shared" si="14"/>
        <v>0.16666666666666741</v>
      </c>
      <c r="N496" s="12">
        <f>Table1[[#This Row],[Trip Hours]]*Table1[[#This Row],['#Angler]]</f>
        <v>0.16666666666666741</v>
      </c>
      <c r="O496" t="s">
        <v>349</v>
      </c>
      <c r="P496" t="s">
        <v>56</v>
      </c>
      <c r="Q496" t="s">
        <v>247</v>
      </c>
      <c r="R496" s="11">
        <v>0</v>
      </c>
      <c r="S496">
        <v>0</v>
      </c>
      <c r="T496">
        <v>0</v>
      </c>
      <c r="U496">
        <v>0</v>
      </c>
      <c r="V496" s="11">
        <v>0</v>
      </c>
      <c r="W496">
        <v>0</v>
      </c>
      <c r="X496">
        <v>0</v>
      </c>
      <c r="Y496">
        <v>0</v>
      </c>
      <c r="Z496" s="11">
        <f>SUM(Table1[[#This Row],[Chi Kept]],Table1[[#This Row],[Chi Released]])</f>
        <v>0</v>
      </c>
      <c r="AA496">
        <f>SUM(Table1[[#This Row],[Co Kept]],Table1[[#This Row],[Co Released ]])</f>
        <v>0</v>
      </c>
      <c r="AB496">
        <f>SUM(Table1[[#This Row],[Pink Kept]],Table1[[#This Row],[Pink Released]])</f>
        <v>0</v>
      </c>
      <c r="AC496">
        <f>SUM(Table1[[#This Row],[Chu Kept]],Table1[[#This Row],[Chu Released]])</f>
        <v>0</v>
      </c>
    </row>
    <row r="497" spans="1:30" x14ac:dyDescent="0.3">
      <c r="A497" s="7">
        <v>45955</v>
      </c>
      <c r="B497">
        <v>10</v>
      </c>
      <c r="C497" t="s">
        <v>250</v>
      </c>
      <c r="D497" t="s">
        <v>26</v>
      </c>
      <c r="E497">
        <v>5</v>
      </c>
      <c r="F497">
        <v>2</v>
      </c>
      <c r="G497">
        <v>2</v>
      </c>
      <c r="H497" t="s">
        <v>241</v>
      </c>
      <c r="I497">
        <v>1</v>
      </c>
      <c r="J497" s="10">
        <v>0.3263888888888889</v>
      </c>
      <c r="K497" s="10">
        <v>0.34097222222222223</v>
      </c>
      <c r="L497" s="10">
        <f t="shared" si="15"/>
        <v>1.4583333333333337E-2</v>
      </c>
      <c r="M497" s="12">
        <f t="shared" si="14"/>
        <v>0.35000000000000009</v>
      </c>
      <c r="N497" s="12">
        <f>Table1[[#This Row],[Trip Hours]]*Table1[[#This Row],['#Angler]]</f>
        <v>0.35000000000000009</v>
      </c>
      <c r="O497" t="s">
        <v>349</v>
      </c>
      <c r="P497" t="s">
        <v>217</v>
      </c>
      <c r="Q497" t="s">
        <v>224</v>
      </c>
      <c r="R497" s="11">
        <v>0</v>
      </c>
      <c r="S497">
        <v>0</v>
      </c>
      <c r="T497">
        <v>0</v>
      </c>
      <c r="U497">
        <v>0</v>
      </c>
      <c r="V497" s="11">
        <v>0</v>
      </c>
      <c r="W497">
        <v>0</v>
      </c>
      <c r="X497">
        <v>0</v>
      </c>
      <c r="Y497">
        <v>0</v>
      </c>
      <c r="Z497" s="11">
        <f>SUM(Table1[[#This Row],[Chi Kept]],Table1[[#This Row],[Chi Released]])</f>
        <v>0</v>
      </c>
      <c r="AA497">
        <f>SUM(Table1[[#This Row],[Co Kept]],Table1[[#This Row],[Co Released ]])</f>
        <v>0</v>
      </c>
      <c r="AB497">
        <f>SUM(Table1[[#This Row],[Pink Kept]],Table1[[#This Row],[Pink Released]])</f>
        <v>0</v>
      </c>
      <c r="AC497">
        <f>SUM(Table1[[#This Row],[Chu Kept]],Table1[[#This Row],[Chu Released]])</f>
        <v>0</v>
      </c>
    </row>
    <row r="498" spans="1:30" x14ac:dyDescent="0.3">
      <c r="A498" s="7">
        <v>45955</v>
      </c>
      <c r="B498">
        <v>10</v>
      </c>
      <c r="C498" t="s">
        <v>250</v>
      </c>
      <c r="D498" t="s">
        <v>26</v>
      </c>
      <c r="E498">
        <v>6</v>
      </c>
      <c r="F498">
        <v>2</v>
      </c>
      <c r="G498">
        <v>2</v>
      </c>
      <c r="H498" t="s">
        <v>241</v>
      </c>
      <c r="I498">
        <v>1</v>
      </c>
      <c r="J498" s="10">
        <v>0.3125</v>
      </c>
      <c r="K498" s="10">
        <v>0.35208333333333336</v>
      </c>
      <c r="L498" s="10">
        <f t="shared" si="15"/>
        <v>3.9583333333333359E-2</v>
      </c>
      <c r="M498" s="12">
        <f t="shared" si="14"/>
        <v>0.95000000000000062</v>
      </c>
      <c r="N498" s="12">
        <f>Table1[[#This Row],[Trip Hours]]*Table1[[#This Row],['#Angler]]</f>
        <v>0.95000000000000062</v>
      </c>
      <c r="O498" t="s">
        <v>349</v>
      </c>
      <c r="P498" t="s">
        <v>56</v>
      </c>
      <c r="Q498" t="s">
        <v>247</v>
      </c>
      <c r="R498" s="11">
        <v>0</v>
      </c>
      <c r="S498">
        <v>0</v>
      </c>
      <c r="T498">
        <v>0</v>
      </c>
      <c r="U498">
        <v>0</v>
      </c>
      <c r="V498" s="11">
        <v>0</v>
      </c>
      <c r="W498">
        <v>0</v>
      </c>
      <c r="X498">
        <v>0</v>
      </c>
      <c r="Y498">
        <v>0</v>
      </c>
      <c r="Z498" s="11">
        <f>SUM(Table1[[#This Row],[Chi Kept]],Table1[[#This Row],[Chi Released]])</f>
        <v>0</v>
      </c>
      <c r="AA498">
        <f>SUM(Table1[[#This Row],[Co Kept]],Table1[[#This Row],[Co Released ]])</f>
        <v>0</v>
      </c>
      <c r="AB498">
        <f>SUM(Table1[[#This Row],[Pink Kept]],Table1[[#This Row],[Pink Released]])</f>
        <v>0</v>
      </c>
      <c r="AC498">
        <f>SUM(Table1[[#This Row],[Chu Kept]],Table1[[#This Row],[Chu Released]])</f>
        <v>0</v>
      </c>
    </row>
    <row r="499" spans="1:30" x14ac:dyDescent="0.3">
      <c r="A499" s="7">
        <v>45955</v>
      </c>
      <c r="B499">
        <v>10</v>
      </c>
      <c r="C499" t="s">
        <v>250</v>
      </c>
      <c r="D499" t="s">
        <v>26</v>
      </c>
      <c r="E499">
        <v>7</v>
      </c>
      <c r="F499">
        <v>2</v>
      </c>
      <c r="G499">
        <v>2</v>
      </c>
      <c r="H499" t="s">
        <v>241</v>
      </c>
      <c r="I499">
        <v>3</v>
      </c>
      <c r="J499" s="10">
        <v>0.33333333333333331</v>
      </c>
      <c r="K499" s="10">
        <v>0.3611111111111111</v>
      </c>
      <c r="L499" s="10">
        <f t="shared" si="15"/>
        <v>2.777777777777779E-2</v>
      </c>
      <c r="M499" s="12">
        <f t="shared" si="14"/>
        <v>0.66666666666666696</v>
      </c>
      <c r="N499" s="12">
        <f>Table1[[#This Row],[Trip Hours]]*Table1[[#This Row],['#Angler]]</f>
        <v>2.0000000000000009</v>
      </c>
      <c r="O499" t="s">
        <v>349</v>
      </c>
      <c r="P499" t="s">
        <v>186</v>
      </c>
      <c r="Q499" t="s">
        <v>224</v>
      </c>
      <c r="R499" s="11">
        <v>0</v>
      </c>
      <c r="S499">
        <v>0</v>
      </c>
      <c r="T499">
        <v>0</v>
      </c>
      <c r="U499">
        <v>1</v>
      </c>
      <c r="V499" s="11">
        <v>0</v>
      </c>
      <c r="W499">
        <v>0</v>
      </c>
      <c r="X499">
        <v>0</v>
      </c>
      <c r="Y499">
        <v>0</v>
      </c>
      <c r="Z499" s="11">
        <f>SUM(Table1[[#This Row],[Chi Kept]],Table1[[#This Row],[Chi Released]])</f>
        <v>0</v>
      </c>
      <c r="AA499">
        <f>SUM(Table1[[#This Row],[Co Kept]],Table1[[#This Row],[Co Released ]])</f>
        <v>0</v>
      </c>
      <c r="AB499">
        <f>SUM(Table1[[#This Row],[Pink Kept]],Table1[[#This Row],[Pink Released]])</f>
        <v>0</v>
      </c>
      <c r="AC499">
        <f>SUM(Table1[[#This Row],[Chu Kept]],Table1[[#This Row],[Chu Released]])</f>
        <v>1</v>
      </c>
    </row>
    <row r="500" spans="1:30" x14ac:dyDescent="0.3">
      <c r="A500" s="7">
        <v>45955</v>
      </c>
      <c r="B500">
        <v>10</v>
      </c>
      <c r="C500" t="s">
        <v>250</v>
      </c>
      <c r="D500" t="s">
        <v>26</v>
      </c>
      <c r="E500">
        <v>8</v>
      </c>
      <c r="F500">
        <v>2</v>
      </c>
      <c r="G500">
        <v>2</v>
      </c>
      <c r="H500" t="s">
        <v>241</v>
      </c>
      <c r="I500">
        <v>1</v>
      </c>
      <c r="J500" s="10">
        <v>0.33333333333333331</v>
      </c>
      <c r="K500" s="10">
        <v>0.36319444444444443</v>
      </c>
      <c r="L500" s="10">
        <f t="shared" si="15"/>
        <v>2.9861111111111116E-2</v>
      </c>
      <c r="M500" s="12">
        <f t="shared" si="14"/>
        <v>0.71666666666666679</v>
      </c>
      <c r="N500" s="12">
        <f>Table1[[#This Row],[Trip Hours]]*Table1[[#This Row],['#Angler]]</f>
        <v>0.71666666666666679</v>
      </c>
      <c r="O500" t="s">
        <v>349</v>
      </c>
      <c r="P500" t="s">
        <v>217</v>
      </c>
      <c r="Q500" t="s">
        <v>224</v>
      </c>
      <c r="R500" s="11">
        <v>0</v>
      </c>
      <c r="S500">
        <v>0</v>
      </c>
      <c r="T500">
        <v>0</v>
      </c>
      <c r="U500">
        <v>0</v>
      </c>
      <c r="V500" s="11">
        <v>0</v>
      </c>
      <c r="W500">
        <v>0</v>
      </c>
      <c r="X500">
        <v>0</v>
      </c>
      <c r="Y500">
        <v>0</v>
      </c>
      <c r="Z500" s="11">
        <f>SUM(Table1[[#This Row],[Chi Kept]],Table1[[#This Row],[Chi Released]])</f>
        <v>0</v>
      </c>
      <c r="AA500">
        <f>SUM(Table1[[#This Row],[Co Kept]],Table1[[#This Row],[Co Released ]])</f>
        <v>0</v>
      </c>
      <c r="AB500">
        <f>SUM(Table1[[#This Row],[Pink Kept]],Table1[[#This Row],[Pink Released]])</f>
        <v>0</v>
      </c>
      <c r="AC500">
        <f>SUM(Table1[[#This Row],[Chu Kept]],Table1[[#This Row],[Chu Released]])</f>
        <v>0</v>
      </c>
      <c r="AD500" s="11" t="s">
        <v>117</v>
      </c>
    </row>
    <row r="501" spans="1:30" x14ac:dyDescent="0.3">
      <c r="A501" s="7">
        <v>45955</v>
      </c>
      <c r="B501">
        <v>10</v>
      </c>
      <c r="C501" t="s">
        <v>250</v>
      </c>
      <c r="D501" t="s">
        <v>26</v>
      </c>
      <c r="E501">
        <v>9</v>
      </c>
      <c r="F501">
        <v>2</v>
      </c>
      <c r="G501">
        <v>2</v>
      </c>
      <c r="H501" t="s">
        <v>241</v>
      </c>
      <c r="I501">
        <v>1</v>
      </c>
      <c r="J501" s="10">
        <v>0.26041666666666669</v>
      </c>
      <c r="K501" s="10">
        <v>0.36944444444444446</v>
      </c>
      <c r="L501" s="10">
        <f t="shared" si="15"/>
        <v>0.10902777777777778</v>
      </c>
      <c r="M501" s="12">
        <f t="shared" si="14"/>
        <v>2.6166666666666667</v>
      </c>
      <c r="N501" s="12">
        <f>Table1[[#This Row],[Trip Hours]]*Table1[[#This Row],['#Angler]]</f>
        <v>2.6166666666666667</v>
      </c>
      <c r="O501" t="s">
        <v>349</v>
      </c>
      <c r="Q501" t="s">
        <v>364</v>
      </c>
      <c r="R501" s="11">
        <v>0</v>
      </c>
      <c r="S501">
        <v>0</v>
      </c>
      <c r="T501">
        <v>0</v>
      </c>
      <c r="U501">
        <v>0</v>
      </c>
      <c r="V501" s="11">
        <v>0</v>
      </c>
      <c r="W501">
        <v>0</v>
      </c>
      <c r="X501">
        <v>0</v>
      </c>
      <c r="Y501">
        <v>0</v>
      </c>
      <c r="Z501" s="11">
        <f>SUM(Table1[[#This Row],[Chi Kept]],Table1[[#This Row],[Chi Released]])</f>
        <v>0</v>
      </c>
      <c r="AA501">
        <f>SUM(Table1[[#This Row],[Co Kept]],Table1[[#This Row],[Co Released ]])</f>
        <v>0</v>
      </c>
      <c r="AB501">
        <f>SUM(Table1[[#This Row],[Pink Kept]],Table1[[#This Row],[Pink Released]])</f>
        <v>0</v>
      </c>
      <c r="AC501">
        <f>SUM(Table1[[#This Row],[Chu Kept]],Table1[[#This Row],[Chu Released]])</f>
        <v>0</v>
      </c>
    </row>
    <row r="502" spans="1:30" x14ac:dyDescent="0.3">
      <c r="A502" s="7">
        <v>45955</v>
      </c>
      <c r="B502">
        <v>10</v>
      </c>
      <c r="C502" t="s">
        <v>250</v>
      </c>
      <c r="D502" t="s">
        <v>26</v>
      </c>
      <c r="E502">
        <v>10</v>
      </c>
      <c r="F502">
        <v>2</v>
      </c>
      <c r="G502">
        <v>2</v>
      </c>
      <c r="H502" t="s">
        <v>241</v>
      </c>
      <c r="I502">
        <v>1</v>
      </c>
      <c r="J502" s="10">
        <v>0.29166666666666669</v>
      </c>
      <c r="K502" s="10">
        <v>0.36944444444444446</v>
      </c>
      <c r="L502" s="10">
        <f t="shared" si="15"/>
        <v>7.7777777777777779E-2</v>
      </c>
      <c r="M502" s="12">
        <f t="shared" si="14"/>
        <v>1.8666666666666667</v>
      </c>
      <c r="N502" s="12">
        <f>Table1[[#This Row],[Trip Hours]]*Table1[[#This Row],['#Angler]]</f>
        <v>1.8666666666666667</v>
      </c>
      <c r="O502" t="s">
        <v>342</v>
      </c>
      <c r="Q502" t="s">
        <v>364</v>
      </c>
      <c r="R502" s="11">
        <v>0</v>
      </c>
      <c r="S502">
        <v>0</v>
      </c>
      <c r="T502">
        <v>0</v>
      </c>
      <c r="U502">
        <v>0</v>
      </c>
      <c r="V502" s="11">
        <v>0</v>
      </c>
      <c r="W502">
        <v>0</v>
      </c>
      <c r="X502">
        <v>0</v>
      </c>
      <c r="Y502">
        <v>0</v>
      </c>
      <c r="Z502" s="11">
        <f>SUM(Table1[[#This Row],[Chi Kept]],Table1[[#This Row],[Chi Released]])</f>
        <v>0</v>
      </c>
      <c r="AA502">
        <f>SUM(Table1[[#This Row],[Co Kept]],Table1[[#This Row],[Co Released ]])</f>
        <v>0</v>
      </c>
      <c r="AB502">
        <f>SUM(Table1[[#This Row],[Pink Kept]],Table1[[#This Row],[Pink Released]])</f>
        <v>0</v>
      </c>
      <c r="AC502">
        <f>SUM(Table1[[#This Row],[Chu Kept]],Table1[[#This Row],[Chu Released]])</f>
        <v>0</v>
      </c>
    </row>
    <row r="503" spans="1:30" x14ac:dyDescent="0.3">
      <c r="A503" s="7">
        <v>45955</v>
      </c>
      <c r="B503">
        <v>10</v>
      </c>
      <c r="C503" t="s">
        <v>250</v>
      </c>
      <c r="D503" t="s">
        <v>26</v>
      </c>
      <c r="E503">
        <v>11</v>
      </c>
      <c r="F503">
        <v>2</v>
      </c>
      <c r="G503">
        <v>2</v>
      </c>
      <c r="H503" t="s">
        <v>241</v>
      </c>
      <c r="I503">
        <v>1</v>
      </c>
      <c r="J503" s="10">
        <v>0.27083333333333331</v>
      </c>
      <c r="K503" s="10">
        <v>0.37083333333333335</v>
      </c>
      <c r="L503" s="10">
        <f t="shared" si="15"/>
        <v>0.10000000000000003</v>
      </c>
      <c r="M503" s="12">
        <f t="shared" si="14"/>
        <v>2.4000000000000008</v>
      </c>
      <c r="N503" s="12">
        <f>Table1[[#This Row],[Trip Hours]]*Table1[[#This Row],['#Angler]]</f>
        <v>2.4000000000000008</v>
      </c>
      <c r="O503" t="s">
        <v>349</v>
      </c>
      <c r="P503" t="s">
        <v>56</v>
      </c>
      <c r="R503" s="11">
        <v>0</v>
      </c>
      <c r="S503">
        <v>0</v>
      </c>
      <c r="T503">
        <v>0</v>
      </c>
      <c r="U503">
        <v>1</v>
      </c>
      <c r="V503" s="11">
        <v>0</v>
      </c>
      <c r="W503">
        <v>0</v>
      </c>
      <c r="X503">
        <v>0</v>
      </c>
      <c r="Y503">
        <v>0</v>
      </c>
      <c r="Z503" s="11">
        <f>SUM(Table1[[#This Row],[Chi Kept]],Table1[[#This Row],[Chi Released]])</f>
        <v>0</v>
      </c>
      <c r="AA503">
        <f>SUM(Table1[[#This Row],[Co Kept]],Table1[[#This Row],[Co Released ]])</f>
        <v>0</v>
      </c>
      <c r="AB503">
        <f>SUM(Table1[[#This Row],[Pink Kept]],Table1[[#This Row],[Pink Released]])</f>
        <v>0</v>
      </c>
      <c r="AC503">
        <f>SUM(Table1[[#This Row],[Chu Kept]],Table1[[#This Row],[Chu Released]])</f>
        <v>1</v>
      </c>
    </row>
    <row r="504" spans="1:30" x14ac:dyDescent="0.3">
      <c r="A504" s="7">
        <v>45955</v>
      </c>
      <c r="B504">
        <v>10</v>
      </c>
      <c r="C504" t="s">
        <v>250</v>
      </c>
      <c r="D504" t="s">
        <v>26</v>
      </c>
      <c r="E504">
        <v>12</v>
      </c>
      <c r="F504">
        <v>2</v>
      </c>
      <c r="G504">
        <v>2</v>
      </c>
      <c r="H504" t="s">
        <v>241</v>
      </c>
      <c r="I504">
        <v>1</v>
      </c>
      <c r="J504" s="10">
        <v>0.33333333333333331</v>
      </c>
      <c r="K504" s="10">
        <v>0.37152777777777779</v>
      </c>
      <c r="L504" s="10">
        <f t="shared" si="15"/>
        <v>3.8194444444444475E-2</v>
      </c>
      <c r="M504" s="12">
        <f t="shared" si="14"/>
        <v>0.91666666666666741</v>
      </c>
      <c r="N504" s="12">
        <f>Table1[[#This Row],[Trip Hours]]*Table1[[#This Row],['#Angler]]</f>
        <v>0.91666666666666741</v>
      </c>
      <c r="O504" t="s">
        <v>349</v>
      </c>
      <c r="P504" t="s">
        <v>29</v>
      </c>
      <c r="Q504" t="s">
        <v>364</v>
      </c>
      <c r="R504" s="11">
        <v>0</v>
      </c>
      <c r="S504">
        <v>0</v>
      </c>
      <c r="T504">
        <v>0</v>
      </c>
      <c r="U504">
        <v>0</v>
      </c>
      <c r="V504" s="11">
        <v>0</v>
      </c>
      <c r="W504">
        <v>0</v>
      </c>
      <c r="X504">
        <v>0</v>
      </c>
      <c r="Y504">
        <v>0</v>
      </c>
      <c r="Z504" s="11">
        <f>SUM(Table1[[#This Row],[Chi Kept]],Table1[[#This Row],[Chi Released]])</f>
        <v>0</v>
      </c>
      <c r="AA504">
        <f>SUM(Table1[[#This Row],[Co Kept]],Table1[[#This Row],[Co Released ]])</f>
        <v>0</v>
      </c>
      <c r="AB504">
        <f>SUM(Table1[[#This Row],[Pink Kept]],Table1[[#This Row],[Pink Released]])</f>
        <v>0</v>
      </c>
      <c r="AC504">
        <f>SUM(Table1[[#This Row],[Chu Kept]],Table1[[#This Row],[Chu Released]])</f>
        <v>0</v>
      </c>
    </row>
    <row r="505" spans="1:30" x14ac:dyDescent="0.3">
      <c r="A505" s="7">
        <v>45955</v>
      </c>
      <c r="B505">
        <v>10</v>
      </c>
      <c r="C505" t="s">
        <v>250</v>
      </c>
      <c r="D505" t="s">
        <v>26</v>
      </c>
      <c r="E505">
        <v>13</v>
      </c>
      <c r="F505">
        <v>2</v>
      </c>
      <c r="G505">
        <v>2</v>
      </c>
      <c r="H505" t="s">
        <v>241</v>
      </c>
      <c r="I505">
        <v>2</v>
      </c>
      <c r="J505" s="10">
        <v>0.32291666666666669</v>
      </c>
      <c r="K505" s="10">
        <v>0.37222222222222223</v>
      </c>
      <c r="L505" s="10">
        <f t="shared" si="15"/>
        <v>4.9305555555555547E-2</v>
      </c>
      <c r="M505" s="12">
        <f t="shared" si="14"/>
        <v>1.1833333333333331</v>
      </c>
      <c r="N505" s="12">
        <f>Table1[[#This Row],[Trip Hours]]*Table1[[#This Row],['#Angler]]</f>
        <v>2.3666666666666663</v>
      </c>
      <c r="O505" t="s">
        <v>349</v>
      </c>
      <c r="P505" t="s">
        <v>56</v>
      </c>
      <c r="Q505" t="s">
        <v>364</v>
      </c>
      <c r="R505" s="11">
        <v>0</v>
      </c>
      <c r="S505">
        <v>0</v>
      </c>
      <c r="T505">
        <v>0</v>
      </c>
      <c r="U505">
        <v>0</v>
      </c>
      <c r="V505" s="11">
        <v>0</v>
      </c>
      <c r="W505">
        <v>0</v>
      </c>
      <c r="X505">
        <v>0</v>
      </c>
      <c r="Y505">
        <v>0</v>
      </c>
      <c r="Z505" s="11">
        <f>SUM(Table1[[#This Row],[Chi Kept]],Table1[[#This Row],[Chi Released]])</f>
        <v>0</v>
      </c>
      <c r="AA505">
        <f>SUM(Table1[[#This Row],[Co Kept]],Table1[[#This Row],[Co Released ]])</f>
        <v>0</v>
      </c>
      <c r="AB505">
        <f>SUM(Table1[[#This Row],[Pink Kept]],Table1[[#This Row],[Pink Released]])</f>
        <v>0</v>
      </c>
      <c r="AC505">
        <f>SUM(Table1[[#This Row],[Chu Kept]],Table1[[#This Row],[Chu Released]])</f>
        <v>0</v>
      </c>
    </row>
    <row r="506" spans="1:30" x14ac:dyDescent="0.3">
      <c r="A506" s="7">
        <v>45955</v>
      </c>
      <c r="B506">
        <v>10</v>
      </c>
      <c r="C506" t="s">
        <v>250</v>
      </c>
      <c r="D506" t="s">
        <v>26</v>
      </c>
      <c r="E506">
        <v>14</v>
      </c>
      <c r="F506">
        <v>2</v>
      </c>
      <c r="G506">
        <v>2</v>
      </c>
      <c r="H506" t="s">
        <v>241</v>
      </c>
      <c r="I506">
        <v>1</v>
      </c>
      <c r="J506" s="10">
        <v>0.3125</v>
      </c>
      <c r="K506" s="10">
        <v>0.37291666666666667</v>
      </c>
      <c r="L506" s="10">
        <f t="shared" si="15"/>
        <v>6.0416666666666674E-2</v>
      </c>
      <c r="M506" s="12">
        <f t="shared" si="14"/>
        <v>1.4500000000000002</v>
      </c>
      <c r="N506" s="12">
        <f>Table1[[#This Row],[Trip Hours]]*Table1[[#This Row],['#Angler]]</f>
        <v>1.4500000000000002</v>
      </c>
      <c r="O506" t="s">
        <v>349</v>
      </c>
      <c r="P506" t="s">
        <v>186</v>
      </c>
      <c r="Q506" t="s">
        <v>224</v>
      </c>
      <c r="R506" s="11">
        <v>0</v>
      </c>
      <c r="S506">
        <v>0</v>
      </c>
      <c r="T506">
        <v>0</v>
      </c>
      <c r="U506">
        <v>0</v>
      </c>
      <c r="V506" s="11">
        <v>0</v>
      </c>
      <c r="W506">
        <v>0</v>
      </c>
      <c r="X506">
        <v>0</v>
      </c>
      <c r="Y506">
        <v>0</v>
      </c>
      <c r="Z506" s="11">
        <f>SUM(Table1[[#This Row],[Chi Kept]],Table1[[#This Row],[Chi Released]])</f>
        <v>0</v>
      </c>
      <c r="AA506">
        <f>SUM(Table1[[#This Row],[Co Kept]],Table1[[#This Row],[Co Released ]])</f>
        <v>0</v>
      </c>
      <c r="AB506">
        <f>SUM(Table1[[#This Row],[Pink Kept]],Table1[[#This Row],[Pink Released]])</f>
        <v>0</v>
      </c>
      <c r="AC506">
        <f>SUM(Table1[[#This Row],[Chu Kept]],Table1[[#This Row],[Chu Released]])</f>
        <v>0</v>
      </c>
    </row>
    <row r="507" spans="1:30" x14ac:dyDescent="0.3">
      <c r="A507" s="7">
        <v>45955</v>
      </c>
      <c r="B507">
        <v>10</v>
      </c>
      <c r="C507" t="s">
        <v>250</v>
      </c>
      <c r="D507" t="s">
        <v>26</v>
      </c>
      <c r="E507">
        <v>15</v>
      </c>
      <c r="F507">
        <v>2</v>
      </c>
      <c r="G507">
        <v>4</v>
      </c>
      <c r="H507" t="s">
        <v>241</v>
      </c>
      <c r="I507">
        <v>1</v>
      </c>
      <c r="J507" s="10">
        <v>0.36805555555555558</v>
      </c>
      <c r="K507" s="10">
        <v>0.39027777777777778</v>
      </c>
      <c r="L507" s="10">
        <f t="shared" si="15"/>
        <v>2.2222222222222199E-2</v>
      </c>
      <c r="M507" s="12">
        <f t="shared" si="14"/>
        <v>0.53333333333333277</v>
      </c>
      <c r="N507" s="12">
        <f>Table1[[#This Row],[Trip Hours]]*Table1[[#This Row],['#Angler]]</f>
        <v>0.53333333333333277</v>
      </c>
      <c r="O507" t="s">
        <v>342</v>
      </c>
      <c r="Q507" t="s">
        <v>224</v>
      </c>
      <c r="R507" s="11">
        <v>0</v>
      </c>
      <c r="S507">
        <v>0</v>
      </c>
      <c r="T507">
        <v>0</v>
      </c>
      <c r="U507">
        <v>0</v>
      </c>
      <c r="V507" s="11">
        <v>0</v>
      </c>
      <c r="W507">
        <v>0</v>
      </c>
      <c r="X507">
        <v>0</v>
      </c>
      <c r="Y507">
        <v>0</v>
      </c>
      <c r="Z507" s="11">
        <f>SUM(Table1[[#This Row],[Chi Kept]],Table1[[#This Row],[Chi Released]])</f>
        <v>0</v>
      </c>
      <c r="AA507">
        <f>SUM(Table1[[#This Row],[Co Kept]],Table1[[#This Row],[Co Released ]])</f>
        <v>0</v>
      </c>
      <c r="AB507">
        <f>SUM(Table1[[#This Row],[Pink Kept]],Table1[[#This Row],[Pink Released]])</f>
        <v>0</v>
      </c>
      <c r="AC507">
        <f>SUM(Table1[[#This Row],[Chu Kept]],Table1[[#This Row],[Chu Released]])</f>
        <v>0</v>
      </c>
    </row>
    <row r="508" spans="1:30" x14ac:dyDescent="0.3">
      <c r="A508" s="7">
        <v>45955</v>
      </c>
      <c r="B508">
        <v>10</v>
      </c>
      <c r="C508" t="s">
        <v>250</v>
      </c>
      <c r="D508" t="s">
        <v>26</v>
      </c>
      <c r="E508">
        <v>16</v>
      </c>
      <c r="F508">
        <v>2</v>
      </c>
      <c r="G508">
        <v>4</v>
      </c>
      <c r="H508" t="s">
        <v>241</v>
      </c>
      <c r="I508">
        <v>1</v>
      </c>
      <c r="J508" s="10">
        <v>0.3125</v>
      </c>
      <c r="K508" s="10">
        <v>0.39513888888888887</v>
      </c>
      <c r="L508" s="10">
        <f t="shared" si="15"/>
        <v>8.2638888888888873E-2</v>
      </c>
      <c r="M508" s="12">
        <f t="shared" si="14"/>
        <v>1.9833333333333329</v>
      </c>
      <c r="N508" s="12">
        <f>Table1[[#This Row],[Trip Hours]]*Table1[[#This Row],['#Angler]]</f>
        <v>1.9833333333333329</v>
      </c>
      <c r="O508" t="s">
        <v>342</v>
      </c>
      <c r="Q508" t="s">
        <v>224</v>
      </c>
      <c r="R508" s="11">
        <v>0</v>
      </c>
      <c r="S508">
        <v>0</v>
      </c>
      <c r="T508">
        <v>0</v>
      </c>
      <c r="U508">
        <v>0</v>
      </c>
      <c r="V508" s="11">
        <v>0</v>
      </c>
      <c r="W508">
        <v>0</v>
      </c>
      <c r="X508">
        <v>0</v>
      </c>
      <c r="Y508">
        <v>0</v>
      </c>
      <c r="Z508" s="11">
        <f>SUM(Table1[[#This Row],[Chi Kept]],Table1[[#This Row],[Chi Released]])</f>
        <v>0</v>
      </c>
      <c r="AA508">
        <f>SUM(Table1[[#This Row],[Co Kept]],Table1[[#This Row],[Co Released ]])</f>
        <v>0</v>
      </c>
      <c r="AB508">
        <f>SUM(Table1[[#This Row],[Pink Kept]],Table1[[#This Row],[Pink Released]])</f>
        <v>0</v>
      </c>
      <c r="AC508">
        <f>SUM(Table1[[#This Row],[Chu Kept]],Table1[[#This Row],[Chu Released]])</f>
        <v>0</v>
      </c>
    </row>
    <row r="509" spans="1:30" x14ac:dyDescent="0.3">
      <c r="A509" s="7">
        <v>45955</v>
      </c>
      <c r="B509">
        <v>10</v>
      </c>
      <c r="C509" t="s">
        <v>250</v>
      </c>
      <c r="D509" t="s">
        <v>26</v>
      </c>
      <c r="E509">
        <v>17</v>
      </c>
      <c r="F509">
        <v>2</v>
      </c>
      <c r="G509">
        <v>4</v>
      </c>
      <c r="H509" t="s">
        <v>241</v>
      </c>
      <c r="I509">
        <v>1</v>
      </c>
      <c r="J509" s="10">
        <v>0.375</v>
      </c>
      <c r="K509" s="10">
        <v>0.41944444444444445</v>
      </c>
      <c r="L509" s="10">
        <f t="shared" si="15"/>
        <v>4.4444444444444453E-2</v>
      </c>
      <c r="M509" s="12">
        <f t="shared" si="14"/>
        <v>1.0666666666666669</v>
      </c>
      <c r="N509" s="12">
        <f>Table1[[#This Row],[Trip Hours]]*Table1[[#This Row],['#Angler]]</f>
        <v>1.0666666666666669</v>
      </c>
      <c r="O509" t="s">
        <v>349</v>
      </c>
      <c r="Q509" t="s">
        <v>224</v>
      </c>
      <c r="R509" s="11">
        <v>0</v>
      </c>
      <c r="S509">
        <v>0</v>
      </c>
      <c r="T509">
        <v>0</v>
      </c>
      <c r="U509">
        <v>1</v>
      </c>
      <c r="V509" s="11">
        <v>0</v>
      </c>
      <c r="W509">
        <v>0</v>
      </c>
      <c r="X509">
        <v>0</v>
      </c>
      <c r="Y509">
        <v>0</v>
      </c>
      <c r="Z509" s="11">
        <f>SUM(Table1[[#This Row],[Chi Kept]],Table1[[#This Row],[Chi Released]])</f>
        <v>0</v>
      </c>
      <c r="AA509">
        <f>SUM(Table1[[#This Row],[Co Kept]],Table1[[#This Row],[Co Released ]])</f>
        <v>0</v>
      </c>
      <c r="AB509">
        <f>SUM(Table1[[#This Row],[Pink Kept]],Table1[[#This Row],[Pink Released]])</f>
        <v>0</v>
      </c>
      <c r="AC509">
        <f>SUM(Table1[[#This Row],[Chu Kept]],Table1[[#This Row],[Chu Released]])</f>
        <v>1</v>
      </c>
    </row>
    <row r="510" spans="1:30" x14ac:dyDescent="0.3">
      <c r="A510" s="7">
        <v>45955</v>
      </c>
      <c r="B510">
        <v>10</v>
      </c>
      <c r="C510" t="s">
        <v>250</v>
      </c>
      <c r="D510" t="s">
        <v>26</v>
      </c>
      <c r="E510">
        <v>18</v>
      </c>
      <c r="F510">
        <v>2</v>
      </c>
      <c r="G510">
        <v>4</v>
      </c>
      <c r="H510" t="s">
        <v>241</v>
      </c>
      <c r="I510">
        <v>1</v>
      </c>
      <c r="J510" s="10">
        <v>0.33333333333333331</v>
      </c>
      <c r="K510" s="10">
        <v>0.41944444444444445</v>
      </c>
      <c r="L510" s="10">
        <f t="shared" si="15"/>
        <v>8.6111111111111138E-2</v>
      </c>
      <c r="M510" s="12">
        <f t="shared" si="14"/>
        <v>2.0666666666666673</v>
      </c>
      <c r="N510" s="12">
        <f>Table1[[#This Row],[Trip Hours]]*Table1[[#This Row],['#Angler]]</f>
        <v>2.0666666666666673</v>
      </c>
      <c r="O510" t="s">
        <v>349</v>
      </c>
      <c r="Q510" t="s">
        <v>224</v>
      </c>
      <c r="R510" s="11">
        <v>0</v>
      </c>
      <c r="S510">
        <v>0</v>
      </c>
      <c r="T510">
        <v>0</v>
      </c>
      <c r="U510">
        <v>0</v>
      </c>
      <c r="V510" s="11">
        <v>0</v>
      </c>
      <c r="W510">
        <v>0</v>
      </c>
      <c r="X510">
        <v>0</v>
      </c>
      <c r="Y510">
        <v>2</v>
      </c>
      <c r="Z510" s="11">
        <f>SUM(Table1[[#This Row],[Chi Kept]],Table1[[#This Row],[Chi Released]])</f>
        <v>0</v>
      </c>
      <c r="AA510">
        <f>SUM(Table1[[#This Row],[Co Kept]],Table1[[#This Row],[Co Released ]])</f>
        <v>0</v>
      </c>
      <c r="AB510">
        <f>SUM(Table1[[#This Row],[Pink Kept]],Table1[[#This Row],[Pink Released]])</f>
        <v>0</v>
      </c>
      <c r="AC510">
        <f>SUM(Table1[[#This Row],[Chu Kept]],Table1[[#This Row],[Chu Released]])</f>
        <v>2</v>
      </c>
    </row>
    <row r="511" spans="1:30" x14ac:dyDescent="0.3">
      <c r="A511" s="7">
        <v>45955</v>
      </c>
      <c r="B511">
        <v>10</v>
      </c>
      <c r="C511" t="s">
        <v>250</v>
      </c>
      <c r="D511" t="s">
        <v>26</v>
      </c>
      <c r="E511">
        <v>19</v>
      </c>
      <c r="F511">
        <v>2</v>
      </c>
      <c r="G511">
        <v>4</v>
      </c>
      <c r="H511" t="s">
        <v>241</v>
      </c>
      <c r="I511">
        <v>1</v>
      </c>
      <c r="J511" s="10">
        <v>0.33333333333333331</v>
      </c>
      <c r="K511" s="10">
        <v>0.4201388888888889</v>
      </c>
      <c r="L511" s="10">
        <f t="shared" si="15"/>
        <v>8.680555555555558E-2</v>
      </c>
      <c r="M511" s="12">
        <f t="shared" si="14"/>
        <v>2.0833333333333339</v>
      </c>
      <c r="N511" s="12">
        <f>Table1[[#This Row],[Trip Hours]]*Table1[[#This Row],['#Angler]]</f>
        <v>2.0833333333333339</v>
      </c>
      <c r="O511" t="s">
        <v>349</v>
      </c>
      <c r="Q511" t="s">
        <v>224</v>
      </c>
      <c r="R511" s="11">
        <v>0</v>
      </c>
      <c r="S511">
        <v>0</v>
      </c>
      <c r="T511">
        <v>0</v>
      </c>
      <c r="U511">
        <v>0</v>
      </c>
      <c r="V511" s="11">
        <v>0</v>
      </c>
      <c r="W511">
        <v>0</v>
      </c>
      <c r="X511">
        <v>0</v>
      </c>
      <c r="Y511">
        <v>1</v>
      </c>
      <c r="Z511" s="11">
        <f>SUM(Table1[[#This Row],[Chi Kept]],Table1[[#This Row],[Chi Released]])</f>
        <v>0</v>
      </c>
      <c r="AA511">
        <f>SUM(Table1[[#This Row],[Co Kept]],Table1[[#This Row],[Co Released ]])</f>
        <v>0</v>
      </c>
      <c r="AB511">
        <f>SUM(Table1[[#This Row],[Pink Kept]],Table1[[#This Row],[Pink Released]])</f>
        <v>0</v>
      </c>
      <c r="AC511">
        <f>SUM(Table1[[#This Row],[Chu Kept]],Table1[[#This Row],[Chu Released]])</f>
        <v>1</v>
      </c>
    </row>
    <row r="512" spans="1:30" x14ac:dyDescent="0.3">
      <c r="A512" s="7">
        <v>45955</v>
      </c>
      <c r="B512">
        <v>10</v>
      </c>
      <c r="C512" t="s">
        <v>250</v>
      </c>
      <c r="D512" t="s">
        <v>26</v>
      </c>
      <c r="E512">
        <v>20</v>
      </c>
      <c r="F512">
        <v>2</v>
      </c>
      <c r="G512">
        <v>4</v>
      </c>
      <c r="H512" t="s">
        <v>241</v>
      </c>
      <c r="I512">
        <v>1</v>
      </c>
      <c r="J512" s="10">
        <v>0.29166666666666669</v>
      </c>
      <c r="K512" s="10">
        <v>0.4201388888888889</v>
      </c>
      <c r="L512" s="10">
        <f t="shared" si="15"/>
        <v>0.12847222222222221</v>
      </c>
      <c r="M512" s="12">
        <f t="shared" si="14"/>
        <v>3.083333333333333</v>
      </c>
      <c r="N512" s="12">
        <f>Table1[[#This Row],[Trip Hours]]*Table1[[#This Row],['#Angler]]</f>
        <v>3.083333333333333</v>
      </c>
      <c r="O512" t="s">
        <v>349</v>
      </c>
      <c r="Q512" t="s">
        <v>224</v>
      </c>
      <c r="R512" s="11">
        <v>0</v>
      </c>
      <c r="S512">
        <v>0</v>
      </c>
      <c r="T512">
        <v>0</v>
      </c>
      <c r="U512">
        <v>0</v>
      </c>
      <c r="V512" s="11">
        <v>0</v>
      </c>
      <c r="W512">
        <v>0</v>
      </c>
      <c r="X512">
        <v>0</v>
      </c>
      <c r="Y512">
        <v>0</v>
      </c>
      <c r="Z512" s="11">
        <f>SUM(Table1[[#This Row],[Chi Kept]],Table1[[#This Row],[Chi Released]])</f>
        <v>0</v>
      </c>
      <c r="AA512">
        <f>SUM(Table1[[#This Row],[Co Kept]],Table1[[#This Row],[Co Released ]])</f>
        <v>0</v>
      </c>
      <c r="AB512">
        <f>SUM(Table1[[#This Row],[Pink Kept]],Table1[[#This Row],[Pink Released]])</f>
        <v>0</v>
      </c>
      <c r="AC512">
        <f>SUM(Table1[[#This Row],[Chu Kept]],Table1[[#This Row],[Chu Released]])</f>
        <v>0</v>
      </c>
    </row>
    <row r="513" spans="1:29" x14ac:dyDescent="0.3">
      <c r="A513" s="7">
        <v>45955</v>
      </c>
      <c r="B513">
        <v>10</v>
      </c>
      <c r="C513" t="s">
        <v>250</v>
      </c>
      <c r="D513" t="s">
        <v>26</v>
      </c>
      <c r="E513">
        <v>21</v>
      </c>
      <c r="F513">
        <v>2</v>
      </c>
      <c r="G513">
        <v>4</v>
      </c>
      <c r="H513" t="s">
        <v>241</v>
      </c>
      <c r="I513">
        <v>1</v>
      </c>
      <c r="J513" s="10">
        <v>0.35416666666666669</v>
      </c>
      <c r="K513" s="10">
        <v>0.42083333333333334</v>
      </c>
      <c r="L513" s="10">
        <f t="shared" si="15"/>
        <v>6.6666666666666652E-2</v>
      </c>
      <c r="M513" s="12">
        <f t="shared" si="14"/>
        <v>1.5999999999999996</v>
      </c>
      <c r="N513" s="12">
        <f>Table1[[#This Row],[Trip Hours]]*Table1[[#This Row],['#Angler]]</f>
        <v>1.5999999999999996</v>
      </c>
      <c r="O513" t="s">
        <v>349</v>
      </c>
      <c r="P513" t="s">
        <v>29</v>
      </c>
      <c r="Q513" t="s">
        <v>224</v>
      </c>
      <c r="R513" s="11">
        <v>0</v>
      </c>
      <c r="S513">
        <v>0</v>
      </c>
      <c r="T513">
        <v>0</v>
      </c>
      <c r="U513">
        <v>0</v>
      </c>
      <c r="V513" s="11">
        <v>0</v>
      </c>
      <c r="W513">
        <v>0</v>
      </c>
      <c r="X513">
        <v>0</v>
      </c>
      <c r="Y513">
        <v>0</v>
      </c>
      <c r="Z513" s="11">
        <f>SUM(Table1[[#This Row],[Chi Kept]],Table1[[#This Row],[Chi Released]])</f>
        <v>0</v>
      </c>
      <c r="AA513">
        <f>SUM(Table1[[#This Row],[Co Kept]],Table1[[#This Row],[Co Released ]])</f>
        <v>0</v>
      </c>
      <c r="AB513">
        <f>SUM(Table1[[#This Row],[Pink Kept]],Table1[[#This Row],[Pink Released]])</f>
        <v>0</v>
      </c>
      <c r="AC513">
        <f>SUM(Table1[[#This Row],[Chu Kept]],Table1[[#This Row],[Chu Released]])</f>
        <v>0</v>
      </c>
    </row>
    <row r="514" spans="1:29" x14ac:dyDescent="0.3">
      <c r="A514" s="7">
        <v>45955</v>
      </c>
      <c r="B514">
        <v>10</v>
      </c>
      <c r="C514" t="s">
        <v>250</v>
      </c>
      <c r="D514" t="s">
        <v>26</v>
      </c>
      <c r="E514">
        <v>22</v>
      </c>
      <c r="F514">
        <v>2</v>
      </c>
      <c r="G514">
        <v>4</v>
      </c>
      <c r="H514" t="s">
        <v>241</v>
      </c>
      <c r="I514">
        <v>1</v>
      </c>
      <c r="J514" s="10">
        <v>0.32291666666666669</v>
      </c>
      <c r="K514" s="10">
        <v>0.42083333333333334</v>
      </c>
      <c r="L514" s="10">
        <f t="shared" si="15"/>
        <v>9.7916666666666652E-2</v>
      </c>
      <c r="M514" s="12">
        <f t="shared" ref="M514:M577" si="16">L514*24</f>
        <v>2.3499999999999996</v>
      </c>
      <c r="N514" s="12">
        <f>Table1[[#This Row],[Trip Hours]]*Table1[[#This Row],['#Angler]]</f>
        <v>2.3499999999999996</v>
      </c>
      <c r="O514" t="s">
        <v>349</v>
      </c>
      <c r="P514" t="s">
        <v>186</v>
      </c>
      <c r="Q514" t="s">
        <v>224</v>
      </c>
      <c r="R514" s="11">
        <v>0</v>
      </c>
      <c r="S514">
        <v>0</v>
      </c>
      <c r="T514">
        <v>0</v>
      </c>
      <c r="U514">
        <v>1</v>
      </c>
      <c r="V514" s="11">
        <v>0</v>
      </c>
      <c r="W514">
        <v>0</v>
      </c>
      <c r="X514">
        <v>0</v>
      </c>
      <c r="Y514">
        <v>0</v>
      </c>
      <c r="Z514" s="11">
        <f>SUM(Table1[[#This Row],[Chi Kept]],Table1[[#This Row],[Chi Released]])</f>
        <v>0</v>
      </c>
      <c r="AA514">
        <f>SUM(Table1[[#This Row],[Co Kept]],Table1[[#This Row],[Co Released ]])</f>
        <v>0</v>
      </c>
      <c r="AB514">
        <f>SUM(Table1[[#This Row],[Pink Kept]],Table1[[#This Row],[Pink Released]])</f>
        <v>0</v>
      </c>
      <c r="AC514">
        <f>SUM(Table1[[#This Row],[Chu Kept]],Table1[[#This Row],[Chu Released]])</f>
        <v>1</v>
      </c>
    </row>
    <row r="515" spans="1:29" x14ac:dyDescent="0.3">
      <c r="A515" s="7">
        <v>45955</v>
      </c>
      <c r="B515">
        <v>10</v>
      </c>
      <c r="C515" t="s">
        <v>250</v>
      </c>
      <c r="D515" t="s">
        <v>26</v>
      </c>
      <c r="E515">
        <v>23</v>
      </c>
      <c r="F515">
        <v>2</v>
      </c>
      <c r="G515">
        <v>4</v>
      </c>
      <c r="H515" t="s">
        <v>241</v>
      </c>
      <c r="I515">
        <v>1</v>
      </c>
      <c r="J515" s="10">
        <v>0.375</v>
      </c>
      <c r="K515" s="10">
        <v>0.42777777777777776</v>
      </c>
      <c r="L515" s="10">
        <f t="shared" ref="L515:L566" si="17">K515-J515</f>
        <v>5.2777777777777757E-2</v>
      </c>
      <c r="M515" s="12">
        <f t="shared" si="16"/>
        <v>1.2666666666666662</v>
      </c>
      <c r="N515" s="12">
        <f>Table1[[#This Row],[Trip Hours]]*Table1[[#This Row],['#Angler]]</f>
        <v>1.2666666666666662</v>
      </c>
      <c r="O515" t="s">
        <v>349</v>
      </c>
      <c r="Q515" t="s">
        <v>224</v>
      </c>
      <c r="R515" s="11">
        <v>0</v>
      </c>
      <c r="S515">
        <v>0</v>
      </c>
      <c r="T515">
        <v>0</v>
      </c>
      <c r="U515">
        <v>0</v>
      </c>
      <c r="V515" s="11">
        <v>0</v>
      </c>
      <c r="W515">
        <v>0</v>
      </c>
      <c r="X515">
        <v>0</v>
      </c>
      <c r="Y515">
        <v>0</v>
      </c>
      <c r="Z515" s="11">
        <f>SUM(Table1[[#This Row],[Chi Kept]],Table1[[#This Row],[Chi Released]])</f>
        <v>0</v>
      </c>
      <c r="AA515">
        <f>SUM(Table1[[#This Row],[Co Kept]],Table1[[#This Row],[Co Released ]])</f>
        <v>0</v>
      </c>
      <c r="AB515">
        <f>SUM(Table1[[#This Row],[Pink Kept]],Table1[[#This Row],[Pink Released]])</f>
        <v>0</v>
      </c>
      <c r="AC515">
        <f>SUM(Table1[[#This Row],[Chu Kept]],Table1[[#This Row],[Chu Released]])</f>
        <v>0</v>
      </c>
    </row>
    <row r="516" spans="1:29" x14ac:dyDescent="0.3">
      <c r="A516" s="7">
        <v>45955</v>
      </c>
      <c r="B516">
        <v>10</v>
      </c>
      <c r="C516" t="s">
        <v>250</v>
      </c>
      <c r="D516" t="s">
        <v>26</v>
      </c>
      <c r="E516">
        <v>24</v>
      </c>
      <c r="F516">
        <v>2</v>
      </c>
      <c r="G516">
        <v>4</v>
      </c>
      <c r="H516" t="s">
        <v>241</v>
      </c>
      <c r="I516">
        <v>1</v>
      </c>
      <c r="J516" s="10">
        <v>0.375</v>
      </c>
      <c r="K516" s="10">
        <v>0.42777777777777776</v>
      </c>
      <c r="L516" s="10">
        <f t="shared" si="17"/>
        <v>5.2777777777777757E-2</v>
      </c>
      <c r="M516" s="12">
        <f t="shared" si="16"/>
        <v>1.2666666666666662</v>
      </c>
      <c r="N516" s="12">
        <f>Table1[[#This Row],[Trip Hours]]*Table1[[#This Row],['#Angler]]</f>
        <v>1.2666666666666662</v>
      </c>
      <c r="O516" t="s">
        <v>342</v>
      </c>
      <c r="Q516" t="s">
        <v>224</v>
      </c>
      <c r="R516" s="11">
        <v>0</v>
      </c>
      <c r="S516">
        <v>0</v>
      </c>
      <c r="T516">
        <v>0</v>
      </c>
      <c r="U516">
        <v>0</v>
      </c>
      <c r="V516" s="11">
        <v>0</v>
      </c>
      <c r="W516">
        <v>0</v>
      </c>
      <c r="X516">
        <v>0</v>
      </c>
      <c r="Y516">
        <v>0</v>
      </c>
      <c r="Z516" s="11">
        <f>SUM(Table1[[#This Row],[Chi Kept]],Table1[[#This Row],[Chi Released]])</f>
        <v>0</v>
      </c>
      <c r="AA516">
        <f>SUM(Table1[[#This Row],[Co Kept]],Table1[[#This Row],[Co Released ]])</f>
        <v>0</v>
      </c>
      <c r="AB516">
        <f>SUM(Table1[[#This Row],[Pink Kept]],Table1[[#This Row],[Pink Released]])</f>
        <v>0</v>
      </c>
      <c r="AC516">
        <f>SUM(Table1[[#This Row],[Chu Kept]],Table1[[#This Row],[Chu Released]])</f>
        <v>0</v>
      </c>
    </row>
    <row r="517" spans="1:29" x14ac:dyDescent="0.3">
      <c r="A517" s="7">
        <v>45955</v>
      </c>
      <c r="B517">
        <v>10</v>
      </c>
      <c r="C517" t="s">
        <v>250</v>
      </c>
      <c r="D517" t="s">
        <v>42</v>
      </c>
      <c r="E517">
        <v>25</v>
      </c>
      <c r="F517">
        <v>3</v>
      </c>
      <c r="G517">
        <v>8</v>
      </c>
      <c r="H517" t="s">
        <v>241</v>
      </c>
      <c r="I517">
        <v>1</v>
      </c>
      <c r="J517" s="10">
        <v>0.47916666666666669</v>
      </c>
      <c r="K517" s="10">
        <v>0.51944444444444449</v>
      </c>
      <c r="L517" s="10">
        <f t="shared" si="17"/>
        <v>4.0277777777777801E-2</v>
      </c>
      <c r="M517" s="12">
        <f t="shared" si="16"/>
        <v>0.96666666666666723</v>
      </c>
      <c r="N517" s="12">
        <f>Table1[[#This Row],[Trip Hours]]*Table1[[#This Row],['#Angler]]</f>
        <v>0.96666666666666723</v>
      </c>
      <c r="O517" t="s">
        <v>342</v>
      </c>
      <c r="Q517" t="s">
        <v>247</v>
      </c>
      <c r="R517" s="11">
        <v>0</v>
      </c>
      <c r="S517">
        <v>0</v>
      </c>
      <c r="T517">
        <v>0</v>
      </c>
      <c r="U517">
        <v>0</v>
      </c>
      <c r="V517" s="11">
        <v>0</v>
      </c>
      <c r="W517">
        <v>0</v>
      </c>
      <c r="X517">
        <v>2</v>
      </c>
      <c r="Y517">
        <v>0</v>
      </c>
      <c r="Z517" s="11">
        <f>SUM(Table1[[#This Row],[Chi Kept]],Table1[[#This Row],[Chi Released]])</f>
        <v>0</v>
      </c>
      <c r="AA517">
        <f>SUM(Table1[[#This Row],[Co Kept]],Table1[[#This Row],[Co Released ]])</f>
        <v>0</v>
      </c>
      <c r="AB517">
        <f>SUM(Table1[[#This Row],[Pink Kept]],Table1[[#This Row],[Pink Released]])</f>
        <v>2</v>
      </c>
      <c r="AC517">
        <f>SUM(Table1[[#This Row],[Chu Kept]],Table1[[#This Row],[Chu Released]])</f>
        <v>0</v>
      </c>
    </row>
    <row r="518" spans="1:29" x14ac:dyDescent="0.3">
      <c r="A518" s="7">
        <v>45955</v>
      </c>
      <c r="B518">
        <v>10</v>
      </c>
      <c r="C518" t="s">
        <v>250</v>
      </c>
      <c r="D518" t="s">
        <v>42</v>
      </c>
      <c r="E518">
        <v>26</v>
      </c>
      <c r="F518">
        <v>2</v>
      </c>
      <c r="G518">
        <v>2</v>
      </c>
      <c r="H518" t="s">
        <v>241</v>
      </c>
      <c r="I518">
        <v>1</v>
      </c>
      <c r="J518" s="10">
        <v>0.58402777777777781</v>
      </c>
      <c r="K518" s="10">
        <v>0.69444444444444442</v>
      </c>
      <c r="L518" s="10">
        <f t="shared" si="17"/>
        <v>0.11041666666666661</v>
      </c>
      <c r="M518" s="12">
        <f t="shared" si="16"/>
        <v>2.6499999999999986</v>
      </c>
      <c r="N518" s="12">
        <f>Table1[[#This Row],[Trip Hours]]*Table1[[#This Row],['#Angler]]</f>
        <v>2.6499999999999986</v>
      </c>
      <c r="O518" t="s">
        <v>342</v>
      </c>
      <c r="Q518" t="s">
        <v>247</v>
      </c>
      <c r="R518" s="11">
        <v>0</v>
      </c>
      <c r="S518">
        <v>0</v>
      </c>
      <c r="T518">
        <v>0</v>
      </c>
      <c r="U518">
        <v>0</v>
      </c>
      <c r="V518" s="11">
        <v>0</v>
      </c>
      <c r="W518">
        <v>0</v>
      </c>
      <c r="X518">
        <v>0</v>
      </c>
      <c r="Y518">
        <v>0</v>
      </c>
      <c r="Z518" s="11">
        <f>SUM(Table1[[#This Row],[Chi Kept]],Table1[[#This Row],[Chi Released]])</f>
        <v>0</v>
      </c>
      <c r="AA518">
        <f>SUM(Table1[[#This Row],[Co Kept]],Table1[[#This Row],[Co Released ]])</f>
        <v>0</v>
      </c>
      <c r="AB518">
        <f>SUM(Table1[[#This Row],[Pink Kept]],Table1[[#This Row],[Pink Released]])</f>
        <v>0</v>
      </c>
      <c r="AC518">
        <f>SUM(Table1[[#This Row],[Chu Kept]],Table1[[#This Row],[Chu Released]])</f>
        <v>0</v>
      </c>
    </row>
    <row r="519" spans="1:29" x14ac:dyDescent="0.3">
      <c r="A519" s="7">
        <v>45959</v>
      </c>
      <c r="B519">
        <v>11</v>
      </c>
      <c r="C519" t="s">
        <v>236</v>
      </c>
      <c r="D519" t="s">
        <v>26</v>
      </c>
      <c r="E519">
        <v>1</v>
      </c>
      <c r="F519">
        <v>2</v>
      </c>
      <c r="G519">
        <v>4</v>
      </c>
      <c r="H519" t="s">
        <v>241</v>
      </c>
      <c r="I519">
        <v>2</v>
      </c>
      <c r="J519" s="10">
        <v>0.3125</v>
      </c>
      <c r="K519" s="10">
        <v>0.42222222222222222</v>
      </c>
      <c r="L519" s="10">
        <f t="shared" si="17"/>
        <v>0.10972222222222222</v>
      </c>
      <c r="M519" s="12">
        <f t="shared" si="16"/>
        <v>2.6333333333333333</v>
      </c>
      <c r="N519" s="12">
        <f>Table1[[#This Row],[Trip Hours]]*Table1[[#This Row],['#Angler]]</f>
        <v>5.2666666666666666</v>
      </c>
      <c r="O519" t="s">
        <v>342</v>
      </c>
      <c r="Q519" t="s">
        <v>224</v>
      </c>
      <c r="R519" s="11">
        <v>0</v>
      </c>
      <c r="S519">
        <v>0</v>
      </c>
      <c r="T519">
        <v>0</v>
      </c>
      <c r="U519">
        <v>0</v>
      </c>
      <c r="V519" s="11">
        <v>0</v>
      </c>
      <c r="W519">
        <v>0</v>
      </c>
      <c r="X519">
        <v>0</v>
      </c>
      <c r="Y519">
        <v>3</v>
      </c>
      <c r="Z519" s="11">
        <f>SUM(Table1[[#This Row],[Chi Kept]],Table1[[#This Row],[Chi Released]])</f>
        <v>0</v>
      </c>
      <c r="AA519">
        <f>SUM(Table1[[#This Row],[Co Kept]],Table1[[#This Row],[Co Released ]])</f>
        <v>0</v>
      </c>
      <c r="AB519">
        <f>SUM(Table1[[#This Row],[Pink Kept]],Table1[[#This Row],[Pink Released]])</f>
        <v>0</v>
      </c>
      <c r="AC519">
        <f>SUM(Table1[[#This Row],[Chu Kept]],Table1[[#This Row],[Chu Released]])</f>
        <v>3</v>
      </c>
    </row>
    <row r="520" spans="1:29" x14ac:dyDescent="0.3">
      <c r="A520" s="7">
        <v>45959</v>
      </c>
      <c r="B520">
        <v>11</v>
      </c>
      <c r="C520" t="s">
        <v>236</v>
      </c>
      <c r="D520" t="s">
        <v>26</v>
      </c>
      <c r="E520">
        <v>2</v>
      </c>
      <c r="F520">
        <v>3</v>
      </c>
      <c r="G520">
        <v>6</v>
      </c>
      <c r="H520" t="s">
        <v>241</v>
      </c>
      <c r="I520">
        <v>3</v>
      </c>
      <c r="J520" s="10">
        <v>0.45833333333333331</v>
      </c>
      <c r="K520" s="10">
        <v>0.48125000000000001</v>
      </c>
      <c r="L520" s="10">
        <f t="shared" si="17"/>
        <v>2.2916666666666696E-2</v>
      </c>
      <c r="M520" s="12">
        <f t="shared" si="16"/>
        <v>0.55000000000000071</v>
      </c>
      <c r="N520" s="12">
        <f>Table1[[#This Row],[Trip Hours]]*Table1[[#This Row],['#Angler]]</f>
        <v>1.6500000000000021</v>
      </c>
      <c r="O520" t="s">
        <v>342</v>
      </c>
      <c r="Q520" t="s">
        <v>224</v>
      </c>
      <c r="R520" s="11">
        <v>0</v>
      </c>
      <c r="S520">
        <v>0</v>
      </c>
      <c r="T520">
        <v>0</v>
      </c>
      <c r="U520">
        <v>0</v>
      </c>
      <c r="V520" s="11">
        <v>0</v>
      </c>
      <c r="W520">
        <v>0</v>
      </c>
      <c r="X520">
        <v>0</v>
      </c>
      <c r="Y520">
        <v>0</v>
      </c>
      <c r="Z520" s="11">
        <f>SUM(Table1[[#This Row],[Chi Kept]],Table1[[#This Row],[Chi Released]])</f>
        <v>0</v>
      </c>
      <c r="AA520">
        <f>SUM(Table1[[#This Row],[Co Kept]],Table1[[#This Row],[Co Released ]])</f>
        <v>0</v>
      </c>
      <c r="AB520">
        <f>SUM(Table1[[#This Row],[Pink Kept]],Table1[[#This Row],[Pink Released]])</f>
        <v>0</v>
      </c>
      <c r="AC520">
        <f>SUM(Table1[[#This Row],[Chu Kept]],Table1[[#This Row],[Chu Released]])</f>
        <v>0</v>
      </c>
    </row>
    <row r="521" spans="1:29" x14ac:dyDescent="0.3">
      <c r="A521" s="7">
        <v>45959</v>
      </c>
      <c r="B521">
        <v>11</v>
      </c>
      <c r="C521" t="s">
        <v>236</v>
      </c>
      <c r="D521" t="s">
        <v>26</v>
      </c>
      <c r="E521">
        <v>3</v>
      </c>
      <c r="F521">
        <v>3</v>
      </c>
      <c r="G521">
        <v>8</v>
      </c>
      <c r="H521" t="s">
        <v>241</v>
      </c>
      <c r="I521">
        <v>1</v>
      </c>
      <c r="J521" s="10">
        <v>0.41666666666666669</v>
      </c>
      <c r="K521" s="10">
        <v>0.51041666666666663</v>
      </c>
      <c r="L521" s="10">
        <f t="shared" si="17"/>
        <v>9.3749999999999944E-2</v>
      </c>
      <c r="M521" s="12">
        <f t="shared" si="16"/>
        <v>2.2499999999999987</v>
      </c>
      <c r="N521" s="12">
        <f>Table1[[#This Row],[Trip Hours]]*Table1[[#This Row],['#Angler]]</f>
        <v>2.2499999999999987</v>
      </c>
      <c r="O521" t="s">
        <v>342</v>
      </c>
      <c r="P521" t="s">
        <v>56</v>
      </c>
      <c r="Q521" t="s">
        <v>224</v>
      </c>
      <c r="R521" s="11">
        <v>0</v>
      </c>
      <c r="S521">
        <v>0</v>
      </c>
      <c r="T521">
        <v>0</v>
      </c>
      <c r="U521">
        <v>2</v>
      </c>
      <c r="V521" s="11">
        <v>0</v>
      </c>
      <c r="W521">
        <v>0</v>
      </c>
      <c r="X521">
        <v>0</v>
      </c>
      <c r="Y521">
        <v>0</v>
      </c>
      <c r="Z521" s="11">
        <f>SUM(Table1[[#This Row],[Chi Kept]],Table1[[#This Row],[Chi Released]])</f>
        <v>0</v>
      </c>
      <c r="AA521">
        <f>SUM(Table1[[#This Row],[Co Kept]],Table1[[#This Row],[Co Released ]])</f>
        <v>0</v>
      </c>
      <c r="AB521">
        <f>SUM(Table1[[#This Row],[Pink Kept]],Table1[[#This Row],[Pink Released]])</f>
        <v>0</v>
      </c>
      <c r="AC521">
        <f>SUM(Table1[[#This Row],[Chu Kept]],Table1[[#This Row],[Chu Released]])</f>
        <v>2</v>
      </c>
    </row>
    <row r="522" spans="1:29" x14ac:dyDescent="0.3">
      <c r="A522" s="7">
        <v>45959</v>
      </c>
      <c r="B522">
        <v>11</v>
      </c>
      <c r="C522" t="s">
        <v>236</v>
      </c>
      <c r="D522" t="s">
        <v>26</v>
      </c>
      <c r="E522">
        <v>4</v>
      </c>
      <c r="F522">
        <v>3</v>
      </c>
      <c r="G522">
        <v>8</v>
      </c>
      <c r="H522" t="s">
        <v>241</v>
      </c>
      <c r="I522">
        <v>3</v>
      </c>
      <c r="J522" s="10">
        <v>0.375</v>
      </c>
      <c r="K522" s="10">
        <v>0.51041666666666663</v>
      </c>
      <c r="L522" s="10">
        <f t="shared" si="17"/>
        <v>0.13541666666666663</v>
      </c>
      <c r="M522" s="12">
        <f t="shared" si="16"/>
        <v>3.2499999999999991</v>
      </c>
      <c r="N522" s="12">
        <f>Table1[[#This Row],[Trip Hours]]*Table1[[#This Row],['#Angler]]</f>
        <v>9.7499999999999964</v>
      </c>
      <c r="O522" t="s">
        <v>342</v>
      </c>
      <c r="P522" t="s">
        <v>148</v>
      </c>
      <c r="R522" s="11">
        <v>0</v>
      </c>
      <c r="S522">
        <v>0</v>
      </c>
      <c r="T522">
        <v>0</v>
      </c>
      <c r="U522">
        <v>0</v>
      </c>
      <c r="V522" s="11">
        <v>0</v>
      </c>
      <c r="W522">
        <v>0</v>
      </c>
      <c r="X522">
        <v>0</v>
      </c>
      <c r="Y522">
        <v>0</v>
      </c>
      <c r="Z522" s="11">
        <f>SUM(Table1[[#This Row],[Chi Kept]],Table1[[#This Row],[Chi Released]])</f>
        <v>0</v>
      </c>
      <c r="AA522">
        <f>SUM(Table1[[#This Row],[Co Kept]],Table1[[#This Row],[Co Released ]])</f>
        <v>0</v>
      </c>
      <c r="AB522">
        <f>SUM(Table1[[#This Row],[Pink Kept]],Table1[[#This Row],[Pink Released]])</f>
        <v>0</v>
      </c>
      <c r="AC522">
        <f>SUM(Table1[[#This Row],[Chu Kept]],Table1[[#This Row],[Chu Released]])</f>
        <v>0</v>
      </c>
    </row>
    <row r="523" spans="1:29" x14ac:dyDescent="0.3">
      <c r="A523" s="7">
        <v>45959</v>
      </c>
      <c r="B523">
        <v>11</v>
      </c>
      <c r="C523" t="s">
        <v>236</v>
      </c>
      <c r="D523" t="s">
        <v>42</v>
      </c>
      <c r="E523">
        <v>5</v>
      </c>
      <c r="F523">
        <v>2</v>
      </c>
      <c r="G523">
        <v>4</v>
      </c>
      <c r="H523" t="s">
        <v>241</v>
      </c>
      <c r="I523">
        <v>2</v>
      </c>
      <c r="J523" s="10">
        <v>0.45833333333333331</v>
      </c>
      <c r="K523" s="10">
        <v>0.59097222222222223</v>
      </c>
      <c r="L523" s="10">
        <f t="shared" si="17"/>
        <v>0.13263888888888892</v>
      </c>
      <c r="M523" s="12">
        <f t="shared" si="16"/>
        <v>3.183333333333334</v>
      </c>
      <c r="N523" s="12">
        <f>Table1[[#This Row],[Trip Hours]]*Table1[[#This Row],['#Angler]]</f>
        <v>6.366666666666668</v>
      </c>
      <c r="O523" t="s">
        <v>342</v>
      </c>
      <c r="Q523" t="s">
        <v>224</v>
      </c>
      <c r="R523" s="11">
        <v>0</v>
      </c>
      <c r="S523">
        <v>0</v>
      </c>
      <c r="T523">
        <v>0</v>
      </c>
      <c r="U523">
        <v>2</v>
      </c>
      <c r="V523" s="11">
        <v>0</v>
      </c>
      <c r="W523">
        <v>0</v>
      </c>
      <c r="X523">
        <v>0</v>
      </c>
      <c r="Y523">
        <v>0</v>
      </c>
      <c r="Z523" s="11">
        <f>SUM(Table1[[#This Row],[Chi Kept]],Table1[[#This Row],[Chi Released]])</f>
        <v>0</v>
      </c>
      <c r="AA523">
        <f>SUM(Table1[[#This Row],[Co Kept]],Table1[[#This Row],[Co Released ]])</f>
        <v>0</v>
      </c>
      <c r="AB523">
        <f>SUM(Table1[[#This Row],[Pink Kept]],Table1[[#This Row],[Pink Released]])</f>
        <v>0</v>
      </c>
      <c r="AC523">
        <f>SUM(Table1[[#This Row],[Chu Kept]],Table1[[#This Row],[Chu Released]])</f>
        <v>2</v>
      </c>
    </row>
    <row r="524" spans="1:29" x14ac:dyDescent="0.3">
      <c r="A524" s="7">
        <v>45959</v>
      </c>
      <c r="B524">
        <v>11</v>
      </c>
      <c r="C524" t="s">
        <v>236</v>
      </c>
      <c r="D524" t="s">
        <v>42</v>
      </c>
      <c r="E524">
        <v>6</v>
      </c>
      <c r="F524">
        <v>2</v>
      </c>
      <c r="G524">
        <v>4</v>
      </c>
      <c r="H524" t="s">
        <v>241</v>
      </c>
      <c r="I524">
        <v>1</v>
      </c>
      <c r="J524" s="10">
        <v>0.4375</v>
      </c>
      <c r="K524" s="10">
        <v>0.59097222222222223</v>
      </c>
      <c r="L524" s="10">
        <f t="shared" si="17"/>
        <v>0.15347222222222223</v>
      </c>
      <c r="M524" s="12">
        <f t="shared" si="16"/>
        <v>3.6833333333333336</v>
      </c>
      <c r="N524" s="12">
        <f>Table1[[#This Row],[Trip Hours]]*Table1[[#This Row],['#Angler]]</f>
        <v>3.6833333333333336</v>
      </c>
      <c r="O524" t="s">
        <v>342</v>
      </c>
      <c r="P524" t="s">
        <v>363</v>
      </c>
      <c r="Q524" t="s">
        <v>238</v>
      </c>
      <c r="R524" s="11">
        <v>0</v>
      </c>
      <c r="S524">
        <v>0</v>
      </c>
      <c r="T524">
        <v>0</v>
      </c>
      <c r="U524">
        <v>1</v>
      </c>
      <c r="V524" s="11">
        <v>0</v>
      </c>
      <c r="W524">
        <v>0</v>
      </c>
      <c r="X524">
        <v>0</v>
      </c>
      <c r="Y524">
        <v>0</v>
      </c>
      <c r="Z524" s="11">
        <f>SUM(Table1[[#This Row],[Chi Kept]],Table1[[#This Row],[Chi Released]])</f>
        <v>0</v>
      </c>
      <c r="AA524">
        <f>SUM(Table1[[#This Row],[Co Kept]],Table1[[#This Row],[Co Released ]])</f>
        <v>0</v>
      </c>
      <c r="AB524">
        <f>SUM(Table1[[#This Row],[Pink Kept]],Table1[[#This Row],[Pink Released]])</f>
        <v>0</v>
      </c>
      <c r="AC524">
        <f>SUM(Table1[[#This Row],[Chu Kept]],Table1[[#This Row],[Chu Released]])</f>
        <v>1</v>
      </c>
    </row>
    <row r="525" spans="1:29" x14ac:dyDescent="0.3">
      <c r="A525" s="7">
        <v>45959</v>
      </c>
      <c r="B525">
        <v>11</v>
      </c>
      <c r="C525" t="s">
        <v>236</v>
      </c>
      <c r="D525" t="s">
        <v>42</v>
      </c>
      <c r="E525">
        <v>7</v>
      </c>
      <c r="F525">
        <v>2</v>
      </c>
      <c r="G525">
        <v>4</v>
      </c>
      <c r="H525" t="s">
        <v>241</v>
      </c>
      <c r="I525">
        <v>1</v>
      </c>
      <c r="J525" s="10">
        <v>0.5</v>
      </c>
      <c r="K525" s="10">
        <v>0.59236111111111112</v>
      </c>
      <c r="L525" s="10">
        <f t="shared" si="17"/>
        <v>9.2361111111111116E-2</v>
      </c>
      <c r="M525" s="12">
        <f t="shared" si="16"/>
        <v>2.2166666666666668</v>
      </c>
      <c r="N525" s="12">
        <f>Table1[[#This Row],[Trip Hours]]*Table1[[#This Row],['#Angler]]</f>
        <v>2.2166666666666668</v>
      </c>
      <c r="O525" t="s">
        <v>342</v>
      </c>
      <c r="Q525" t="s">
        <v>238</v>
      </c>
      <c r="R525" s="11">
        <v>0</v>
      </c>
      <c r="S525">
        <v>0</v>
      </c>
      <c r="T525">
        <v>0</v>
      </c>
      <c r="U525">
        <v>1</v>
      </c>
      <c r="V525" s="11">
        <v>0</v>
      </c>
      <c r="W525">
        <v>0</v>
      </c>
      <c r="X525">
        <v>0</v>
      </c>
      <c r="Y525">
        <v>0</v>
      </c>
      <c r="Z525" s="11">
        <f>SUM(Table1[[#This Row],[Chi Kept]],Table1[[#This Row],[Chi Released]])</f>
        <v>0</v>
      </c>
      <c r="AA525">
        <f>SUM(Table1[[#This Row],[Co Kept]],Table1[[#This Row],[Co Released ]])</f>
        <v>0</v>
      </c>
      <c r="AB525">
        <f>SUM(Table1[[#This Row],[Pink Kept]],Table1[[#This Row],[Pink Released]])</f>
        <v>0</v>
      </c>
      <c r="AC525">
        <f>SUM(Table1[[#This Row],[Chu Kept]],Table1[[#This Row],[Chu Released]])</f>
        <v>1</v>
      </c>
    </row>
    <row r="526" spans="1:29" x14ac:dyDescent="0.3">
      <c r="A526" s="7">
        <v>45959</v>
      </c>
      <c r="B526">
        <v>11</v>
      </c>
      <c r="C526" t="s">
        <v>236</v>
      </c>
      <c r="D526" t="s">
        <v>42</v>
      </c>
      <c r="E526">
        <v>8</v>
      </c>
      <c r="F526">
        <v>2</v>
      </c>
      <c r="G526">
        <v>4</v>
      </c>
      <c r="H526" t="s">
        <v>241</v>
      </c>
      <c r="I526">
        <v>1</v>
      </c>
      <c r="J526" s="10">
        <v>0.55208333333333337</v>
      </c>
      <c r="K526" s="10">
        <v>0.59444444444444444</v>
      </c>
      <c r="L526" s="10">
        <f t="shared" si="17"/>
        <v>4.2361111111111072E-2</v>
      </c>
      <c r="M526" s="12">
        <f t="shared" si="16"/>
        <v>1.0166666666666657</v>
      </c>
      <c r="N526" s="12">
        <f>Table1[[#This Row],[Trip Hours]]*Table1[[#This Row],['#Angler]]</f>
        <v>1.0166666666666657</v>
      </c>
      <c r="O526" t="s">
        <v>342</v>
      </c>
      <c r="P526" t="s">
        <v>363</v>
      </c>
      <c r="R526" s="11">
        <v>0</v>
      </c>
      <c r="S526">
        <v>0</v>
      </c>
      <c r="T526">
        <v>0</v>
      </c>
      <c r="U526">
        <v>0</v>
      </c>
      <c r="V526" s="11">
        <v>0</v>
      </c>
      <c r="W526">
        <v>0</v>
      </c>
      <c r="X526">
        <v>0</v>
      </c>
      <c r="Y526">
        <v>0</v>
      </c>
      <c r="Z526" s="11">
        <f>SUM(Table1[[#This Row],[Chi Kept]],Table1[[#This Row],[Chi Released]])</f>
        <v>0</v>
      </c>
      <c r="AA526">
        <f>SUM(Table1[[#This Row],[Co Kept]],Table1[[#This Row],[Co Released ]])</f>
        <v>0</v>
      </c>
      <c r="AB526">
        <f>SUM(Table1[[#This Row],[Pink Kept]],Table1[[#This Row],[Pink Released]])</f>
        <v>0</v>
      </c>
      <c r="AC526">
        <f>SUM(Table1[[#This Row],[Chu Kept]],Table1[[#This Row],[Chu Released]])</f>
        <v>0</v>
      </c>
    </row>
    <row r="527" spans="1:29" x14ac:dyDescent="0.3">
      <c r="A527" s="7">
        <v>45959</v>
      </c>
      <c r="B527">
        <v>11</v>
      </c>
      <c r="C527" t="s">
        <v>236</v>
      </c>
      <c r="D527" t="s">
        <v>42</v>
      </c>
      <c r="E527">
        <v>9</v>
      </c>
      <c r="F527">
        <v>2</v>
      </c>
      <c r="G527">
        <v>4</v>
      </c>
      <c r="H527" t="s">
        <v>241</v>
      </c>
      <c r="I527">
        <v>2</v>
      </c>
      <c r="J527" s="10">
        <v>0.5</v>
      </c>
      <c r="K527" s="10">
        <v>0.62152777777777779</v>
      </c>
      <c r="L527" s="10">
        <f t="shared" si="17"/>
        <v>0.12152777777777779</v>
      </c>
      <c r="M527" s="12">
        <f t="shared" si="16"/>
        <v>2.916666666666667</v>
      </c>
      <c r="N527" s="12">
        <f>Table1[[#This Row],[Trip Hours]]*Table1[[#This Row],['#Angler]]</f>
        <v>5.8333333333333339</v>
      </c>
      <c r="O527" t="s">
        <v>342</v>
      </c>
      <c r="Q527" t="s">
        <v>224</v>
      </c>
      <c r="R527" s="11">
        <v>0</v>
      </c>
      <c r="S527">
        <v>0</v>
      </c>
      <c r="T527">
        <v>0</v>
      </c>
      <c r="U527">
        <v>0</v>
      </c>
      <c r="V527" s="11">
        <v>0</v>
      </c>
      <c r="W527">
        <v>0</v>
      </c>
      <c r="X527">
        <v>0</v>
      </c>
      <c r="Y527">
        <v>0</v>
      </c>
      <c r="Z527" s="11">
        <f>SUM(Table1[[#This Row],[Chi Kept]],Table1[[#This Row],[Chi Released]])</f>
        <v>0</v>
      </c>
      <c r="AA527">
        <f>SUM(Table1[[#This Row],[Co Kept]],Table1[[#This Row],[Co Released ]])</f>
        <v>0</v>
      </c>
      <c r="AB527">
        <f>SUM(Table1[[#This Row],[Pink Kept]],Table1[[#This Row],[Pink Released]])</f>
        <v>0</v>
      </c>
      <c r="AC527">
        <f>SUM(Table1[[#This Row],[Chu Kept]],Table1[[#This Row],[Chu Released]])</f>
        <v>0</v>
      </c>
    </row>
    <row r="528" spans="1:29" x14ac:dyDescent="0.3">
      <c r="A528" s="7">
        <v>45959</v>
      </c>
      <c r="B528">
        <v>11</v>
      </c>
      <c r="C528" t="s">
        <v>236</v>
      </c>
      <c r="D528" t="s">
        <v>42</v>
      </c>
      <c r="E528">
        <v>10</v>
      </c>
      <c r="F528">
        <v>2</v>
      </c>
      <c r="G528">
        <v>4</v>
      </c>
      <c r="H528" t="s">
        <v>241</v>
      </c>
      <c r="I528">
        <v>1</v>
      </c>
      <c r="J528" s="10">
        <v>0.5</v>
      </c>
      <c r="K528" s="10">
        <v>0.62152777777777779</v>
      </c>
      <c r="L528" s="10">
        <f t="shared" si="17"/>
        <v>0.12152777777777779</v>
      </c>
      <c r="M528" s="12">
        <f t="shared" si="16"/>
        <v>2.916666666666667</v>
      </c>
      <c r="N528" s="12">
        <f>Table1[[#This Row],[Trip Hours]]*Table1[[#This Row],['#Angler]]</f>
        <v>2.916666666666667</v>
      </c>
      <c r="O528" t="s">
        <v>342</v>
      </c>
      <c r="Q528" t="s">
        <v>224</v>
      </c>
      <c r="R528" s="11">
        <v>0</v>
      </c>
      <c r="S528">
        <v>0</v>
      </c>
      <c r="T528">
        <v>0</v>
      </c>
      <c r="U528">
        <v>0</v>
      </c>
      <c r="V528" s="11">
        <v>0</v>
      </c>
      <c r="W528">
        <v>0</v>
      </c>
      <c r="X528">
        <v>0</v>
      </c>
      <c r="Y528">
        <v>1</v>
      </c>
      <c r="Z528" s="11">
        <f>SUM(Table1[[#This Row],[Chi Kept]],Table1[[#This Row],[Chi Released]])</f>
        <v>0</v>
      </c>
      <c r="AA528">
        <f>SUM(Table1[[#This Row],[Co Kept]],Table1[[#This Row],[Co Released ]])</f>
        <v>0</v>
      </c>
      <c r="AB528">
        <f>SUM(Table1[[#This Row],[Pink Kept]],Table1[[#This Row],[Pink Released]])</f>
        <v>0</v>
      </c>
      <c r="AC528">
        <f>SUM(Table1[[#This Row],[Chu Kept]],Table1[[#This Row],[Chu Released]])</f>
        <v>1</v>
      </c>
    </row>
    <row r="529" spans="1:29" x14ac:dyDescent="0.3">
      <c r="A529" s="7">
        <v>45959</v>
      </c>
      <c r="B529">
        <v>11</v>
      </c>
      <c r="C529" t="s">
        <v>236</v>
      </c>
      <c r="D529" t="s">
        <v>42</v>
      </c>
      <c r="E529">
        <v>11</v>
      </c>
      <c r="F529">
        <v>2</v>
      </c>
      <c r="G529">
        <v>4</v>
      </c>
      <c r="H529" t="s">
        <v>241</v>
      </c>
      <c r="I529">
        <v>1</v>
      </c>
      <c r="J529" s="10">
        <v>0.5</v>
      </c>
      <c r="K529" s="10">
        <v>0.6333333333333333</v>
      </c>
      <c r="L529" s="10">
        <f t="shared" si="17"/>
        <v>0.1333333333333333</v>
      </c>
      <c r="M529" s="12">
        <f t="shared" si="16"/>
        <v>3.1999999999999993</v>
      </c>
      <c r="N529" s="12">
        <f>Table1[[#This Row],[Trip Hours]]*Table1[[#This Row],['#Angler]]</f>
        <v>3.1999999999999993</v>
      </c>
      <c r="O529" t="s">
        <v>342</v>
      </c>
      <c r="Q529" t="s">
        <v>224</v>
      </c>
      <c r="R529" s="11">
        <v>0</v>
      </c>
      <c r="S529">
        <v>0</v>
      </c>
      <c r="T529">
        <v>0</v>
      </c>
      <c r="U529">
        <v>0</v>
      </c>
      <c r="V529" s="11">
        <v>0</v>
      </c>
      <c r="W529">
        <v>0</v>
      </c>
      <c r="X529">
        <v>0</v>
      </c>
      <c r="Y529">
        <v>0</v>
      </c>
      <c r="Z529" s="11">
        <f>SUM(Table1[[#This Row],[Chi Kept]],Table1[[#This Row],[Chi Released]])</f>
        <v>0</v>
      </c>
      <c r="AA529">
        <f>SUM(Table1[[#This Row],[Co Kept]],Table1[[#This Row],[Co Released ]])</f>
        <v>0</v>
      </c>
      <c r="AB529">
        <f>SUM(Table1[[#This Row],[Pink Kept]],Table1[[#This Row],[Pink Released]])</f>
        <v>0</v>
      </c>
      <c r="AC529">
        <f>SUM(Table1[[#This Row],[Chu Kept]],Table1[[#This Row],[Chu Released]])</f>
        <v>0</v>
      </c>
    </row>
    <row r="530" spans="1:29" x14ac:dyDescent="0.3">
      <c r="A530" s="7">
        <v>45959</v>
      </c>
      <c r="B530">
        <v>11</v>
      </c>
      <c r="C530" t="s">
        <v>236</v>
      </c>
      <c r="D530" t="s">
        <v>42</v>
      </c>
      <c r="E530">
        <v>12</v>
      </c>
      <c r="F530">
        <v>2</v>
      </c>
      <c r="G530">
        <v>4</v>
      </c>
      <c r="H530" t="s">
        <v>241</v>
      </c>
      <c r="I530">
        <v>1</v>
      </c>
      <c r="J530" s="10">
        <v>0.66666666666666663</v>
      </c>
      <c r="K530" s="10">
        <v>0.70902777777777781</v>
      </c>
      <c r="L530" s="10">
        <f t="shared" si="17"/>
        <v>4.2361111111111183E-2</v>
      </c>
      <c r="M530" s="12">
        <f t="shared" si="16"/>
        <v>1.0166666666666684</v>
      </c>
      <c r="N530" s="12">
        <f>Table1[[#This Row],[Trip Hours]]*Table1[[#This Row],['#Angler]]</f>
        <v>1.0166666666666684</v>
      </c>
      <c r="O530" t="s">
        <v>342</v>
      </c>
      <c r="P530" t="s">
        <v>29</v>
      </c>
      <c r="Q530" t="s">
        <v>224</v>
      </c>
      <c r="R530" s="11">
        <v>0</v>
      </c>
      <c r="S530">
        <v>0</v>
      </c>
      <c r="T530">
        <v>0</v>
      </c>
      <c r="U530">
        <v>0</v>
      </c>
      <c r="V530" s="11">
        <v>0</v>
      </c>
      <c r="W530">
        <v>0</v>
      </c>
      <c r="X530">
        <v>0</v>
      </c>
      <c r="Y530">
        <v>0</v>
      </c>
      <c r="Z530" s="11">
        <f>SUM(Table1[[#This Row],[Chi Kept]],Table1[[#This Row],[Chi Released]])</f>
        <v>0</v>
      </c>
      <c r="AA530">
        <f>SUM(Table1[[#This Row],[Co Kept]],Table1[[#This Row],[Co Released ]])</f>
        <v>0</v>
      </c>
      <c r="AB530">
        <f>SUM(Table1[[#This Row],[Pink Kept]],Table1[[#This Row],[Pink Released]])</f>
        <v>0</v>
      </c>
      <c r="AC530">
        <f>SUM(Table1[[#This Row],[Chu Kept]],Table1[[#This Row],[Chu Released]])</f>
        <v>0</v>
      </c>
    </row>
    <row r="531" spans="1:29" x14ac:dyDescent="0.3">
      <c r="A531" s="7">
        <v>45959</v>
      </c>
      <c r="B531">
        <v>11</v>
      </c>
      <c r="C531" t="s">
        <v>236</v>
      </c>
      <c r="D531" t="s">
        <v>42</v>
      </c>
      <c r="E531">
        <v>13</v>
      </c>
      <c r="F531">
        <v>2</v>
      </c>
      <c r="G531">
        <v>4</v>
      </c>
      <c r="H531" t="s">
        <v>241</v>
      </c>
      <c r="I531">
        <v>1</v>
      </c>
      <c r="J531" s="10">
        <v>0.69791666666666663</v>
      </c>
      <c r="K531" s="10">
        <v>0.72222222222222221</v>
      </c>
      <c r="L531" s="10">
        <f t="shared" si="17"/>
        <v>2.430555555555558E-2</v>
      </c>
      <c r="M531" s="12">
        <f t="shared" si="16"/>
        <v>0.58333333333333393</v>
      </c>
      <c r="N531" s="12">
        <f>Table1[[#This Row],[Trip Hours]]*Table1[[#This Row],['#Angler]]</f>
        <v>0.58333333333333393</v>
      </c>
      <c r="O531" t="s">
        <v>342</v>
      </c>
      <c r="Q531" t="s">
        <v>224</v>
      </c>
      <c r="R531" s="11">
        <v>0</v>
      </c>
      <c r="S531">
        <v>0</v>
      </c>
      <c r="T531">
        <v>0</v>
      </c>
      <c r="U531">
        <v>0</v>
      </c>
      <c r="V531" s="11">
        <v>0</v>
      </c>
      <c r="W531">
        <v>0</v>
      </c>
      <c r="X531">
        <v>0</v>
      </c>
      <c r="Y531">
        <v>0</v>
      </c>
      <c r="Z531" s="11">
        <f>SUM(Table1[[#This Row],[Chi Kept]],Table1[[#This Row],[Chi Released]])</f>
        <v>0</v>
      </c>
      <c r="AA531">
        <f>SUM(Table1[[#This Row],[Co Kept]],Table1[[#This Row],[Co Released ]])</f>
        <v>0</v>
      </c>
      <c r="AB531">
        <f>SUM(Table1[[#This Row],[Pink Kept]],Table1[[#This Row],[Pink Released]])</f>
        <v>0</v>
      </c>
      <c r="AC531">
        <f>SUM(Table1[[#This Row],[Chu Kept]],Table1[[#This Row],[Chu Released]])</f>
        <v>0</v>
      </c>
    </row>
    <row r="532" spans="1:29" x14ac:dyDescent="0.3">
      <c r="A532" s="7">
        <v>45959</v>
      </c>
      <c r="B532">
        <v>11</v>
      </c>
      <c r="C532" t="s">
        <v>236</v>
      </c>
      <c r="D532" t="s">
        <v>42</v>
      </c>
      <c r="E532">
        <v>14</v>
      </c>
      <c r="F532">
        <v>2</v>
      </c>
      <c r="G532">
        <v>4</v>
      </c>
      <c r="H532" t="s">
        <v>241</v>
      </c>
      <c r="I532">
        <v>1</v>
      </c>
      <c r="J532" s="10">
        <v>0.64583333333333337</v>
      </c>
      <c r="K532" s="10">
        <v>0.74027777777777781</v>
      </c>
      <c r="L532" s="10">
        <f t="shared" si="17"/>
        <v>9.4444444444444442E-2</v>
      </c>
      <c r="M532" s="12">
        <f t="shared" si="16"/>
        <v>2.2666666666666666</v>
      </c>
      <c r="N532" s="12">
        <f>Table1[[#This Row],[Trip Hours]]*Table1[[#This Row],['#Angler]]</f>
        <v>2.2666666666666666</v>
      </c>
      <c r="O532" t="s">
        <v>342</v>
      </c>
      <c r="R532" s="11">
        <v>0</v>
      </c>
      <c r="S532">
        <v>0</v>
      </c>
      <c r="T532">
        <v>0</v>
      </c>
      <c r="U532">
        <v>0</v>
      </c>
      <c r="V532" s="11">
        <v>0</v>
      </c>
      <c r="W532">
        <v>0</v>
      </c>
      <c r="X532">
        <v>0</v>
      </c>
      <c r="Y532">
        <v>0</v>
      </c>
      <c r="Z532" s="11">
        <f>SUM(Table1[[#This Row],[Chi Kept]],Table1[[#This Row],[Chi Released]])</f>
        <v>0</v>
      </c>
      <c r="AA532">
        <f>SUM(Table1[[#This Row],[Co Kept]],Table1[[#This Row],[Co Released ]])</f>
        <v>0</v>
      </c>
      <c r="AB532">
        <f>SUM(Table1[[#This Row],[Pink Kept]],Table1[[#This Row],[Pink Released]])</f>
        <v>0</v>
      </c>
      <c r="AC532">
        <f>SUM(Table1[[#This Row],[Chu Kept]],Table1[[#This Row],[Chu Released]])</f>
        <v>0</v>
      </c>
    </row>
    <row r="533" spans="1:29" x14ac:dyDescent="0.3">
      <c r="A533" s="7">
        <v>45959</v>
      </c>
      <c r="B533">
        <v>11</v>
      </c>
      <c r="C533" t="s">
        <v>236</v>
      </c>
      <c r="D533" t="s">
        <v>42</v>
      </c>
      <c r="E533">
        <v>15</v>
      </c>
      <c r="F533">
        <v>2</v>
      </c>
      <c r="G533">
        <v>4</v>
      </c>
      <c r="H533" t="s">
        <v>241</v>
      </c>
      <c r="I533">
        <v>1</v>
      </c>
      <c r="J533" s="10">
        <v>0.54166666666666663</v>
      </c>
      <c r="K533" s="10">
        <v>0.7416666666666667</v>
      </c>
      <c r="L533" s="10">
        <f t="shared" si="17"/>
        <v>0.20000000000000007</v>
      </c>
      <c r="M533" s="12">
        <f t="shared" si="16"/>
        <v>4.8000000000000016</v>
      </c>
      <c r="N533" s="12">
        <f>Table1[[#This Row],[Trip Hours]]*Table1[[#This Row],['#Angler]]</f>
        <v>4.8000000000000016</v>
      </c>
      <c r="O533" t="s">
        <v>342</v>
      </c>
      <c r="Q533" t="s">
        <v>241</v>
      </c>
      <c r="R533" s="11">
        <v>0</v>
      </c>
      <c r="S533">
        <v>0</v>
      </c>
      <c r="T533">
        <v>0</v>
      </c>
      <c r="U533">
        <v>0</v>
      </c>
      <c r="V533" s="11">
        <v>0</v>
      </c>
      <c r="W533">
        <v>0</v>
      </c>
      <c r="X533">
        <v>0</v>
      </c>
      <c r="Y533">
        <v>2</v>
      </c>
      <c r="Z533" s="11">
        <f>SUM(Table1[[#This Row],[Chi Kept]],Table1[[#This Row],[Chi Released]])</f>
        <v>0</v>
      </c>
      <c r="AA533">
        <f>SUM(Table1[[#This Row],[Co Kept]],Table1[[#This Row],[Co Released ]])</f>
        <v>0</v>
      </c>
      <c r="AB533">
        <f>SUM(Table1[[#This Row],[Pink Kept]],Table1[[#This Row],[Pink Released]])</f>
        <v>0</v>
      </c>
      <c r="AC533">
        <f>SUM(Table1[[#This Row],[Chu Kept]],Table1[[#This Row],[Chu Released]])</f>
        <v>2</v>
      </c>
    </row>
    <row r="534" spans="1:29" x14ac:dyDescent="0.3">
      <c r="A534" s="7">
        <v>45959</v>
      </c>
      <c r="B534">
        <v>11</v>
      </c>
      <c r="C534" t="s">
        <v>236</v>
      </c>
      <c r="D534" t="s">
        <v>42</v>
      </c>
      <c r="E534">
        <v>16</v>
      </c>
      <c r="F534">
        <v>2</v>
      </c>
      <c r="G534">
        <v>4</v>
      </c>
      <c r="H534" t="s">
        <v>241</v>
      </c>
      <c r="I534">
        <v>1</v>
      </c>
      <c r="J534" s="10">
        <v>0.6875</v>
      </c>
      <c r="K534" s="10">
        <v>0.74236111111111114</v>
      </c>
      <c r="L534" s="10">
        <f t="shared" si="17"/>
        <v>5.4861111111111138E-2</v>
      </c>
      <c r="M534" s="12">
        <f t="shared" si="16"/>
        <v>1.3166666666666673</v>
      </c>
      <c r="N534" s="12">
        <f>Table1[[#This Row],[Trip Hours]]*Table1[[#This Row],['#Angler]]</f>
        <v>1.3166666666666673</v>
      </c>
      <c r="O534" t="s">
        <v>349</v>
      </c>
      <c r="P534" t="s">
        <v>186</v>
      </c>
      <c r="Q534" t="s">
        <v>241</v>
      </c>
      <c r="R534" s="11">
        <v>0</v>
      </c>
      <c r="S534">
        <v>0</v>
      </c>
      <c r="T534">
        <v>0</v>
      </c>
      <c r="U534">
        <v>0</v>
      </c>
      <c r="V534" s="11">
        <v>0</v>
      </c>
      <c r="W534">
        <v>0</v>
      </c>
      <c r="X534">
        <v>0</v>
      </c>
      <c r="Y534">
        <v>0</v>
      </c>
      <c r="Z534" s="11">
        <f>SUM(Table1[[#This Row],[Chi Kept]],Table1[[#This Row],[Chi Released]])</f>
        <v>0</v>
      </c>
      <c r="AA534">
        <f>SUM(Table1[[#This Row],[Co Kept]],Table1[[#This Row],[Co Released ]])</f>
        <v>0</v>
      </c>
      <c r="AB534">
        <f>SUM(Table1[[#This Row],[Pink Kept]],Table1[[#This Row],[Pink Released]])</f>
        <v>0</v>
      </c>
      <c r="AC534">
        <f>SUM(Table1[[#This Row],[Chu Kept]],Table1[[#This Row],[Chu Released]])</f>
        <v>0</v>
      </c>
    </row>
    <row r="535" spans="1:29" x14ac:dyDescent="0.3">
      <c r="A535" s="7">
        <v>45959</v>
      </c>
      <c r="B535">
        <v>11</v>
      </c>
      <c r="C535" t="s">
        <v>236</v>
      </c>
      <c r="D535" t="s">
        <v>42</v>
      </c>
      <c r="E535">
        <v>17</v>
      </c>
      <c r="F535">
        <v>2</v>
      </c>
      <c r="G535">
        <v>4</v>
      </c>
      <c r="H535" t="s">
        <v>241</v>
      </c>
      <c r="I535">
        <v>1</v>
      </c>
      <c r="J535" s="10">
        <v>0.71875</v>
      </c>
      <c r="K535" s="10">
        <v>0.74305555555555558</v>
      </c>
      <c r="L535" s="10">
        <f t="shared" si="17"/>
        <v>2.430555555555558E-2</v>
      </c>
      <c r="M535" s="12">
        <f t="shared" si="16"/>
        <v>0.58333333333333393</v>
      </c>
      <c r="N535" s="12">
        <f>Table1[[#This Row],[Trip Hours]]*Table1[[#This Row],['#Angler]]</f>
        <v>0.58333333333333393</v>
      </c>
      <c r="O535" t="s">
        <v>349</v>
      </c>
      <c r="P535" t="s">
        <v>56</v>
      </c>
      <c r="R535" s="11">
        <v>0</v>
      </c>
      <c r="S535">
        <v>0</v>
      </c>
      <c r="T535">
        <v>0</v>
      </c>
      <c r="U535">
        <v>0</v>
      </c>
      <c r="V535" s="11">
        <v>0</v>
      </c>
      <c r="W535">
        <v>0</v>
      </c>
      <c r="X535">
        <v>0</v>
      </c>
      <c r="Y535">
        <v>0</v>
      </c>
      <c r="Z535" s="11">
        <f>SUM(Table1[[#This Row],[Chi Kept]],Table1[[#This Row],[Chi Released]])</f>
        <v>0</v>
      </c>
      <c r="AA535">
        <f>SUM(Table1[[#This Row],[Co Kept]],Table1[[#This Row],[Co Released ]])</f>
        <v>0</v>
      </c>
      <c r="AB535">
        <f>SUM(Table1[[#This Row],[Pink Kept]],Table1[[#This Row],[Pink Released]])</f>
        <v>0</v>
      </c>
      <c r="AC535">
        <f>SUM(Table1[[#This Row],[Chu Kept]],Table1[[#This Row],[Chu Released]])</f>
        <v>0</v>
      </c>
    </row>
    <row r="536" spans="1:29" x14ac:dyDescent="0.3">
      <c r="A536" s="7">
        <v>45959</v>
      </c>
      <c r="B536">
        <v>11</v>
      </c>
      <c r="C536" t="s">
        <v>236</v>
      </c>
      <c r="D536" t="s">
        <v>42</v>
      </c>
      <c r="E536">
        <v>18</v>
      </c>
      <c r="F536">
        <v>2</v>
      </c>
      <c r="G536">
        <v>4</v>
      </c>
      <c r="H536" t="s">
        <v>241</v>
      </c>
      <c r="I536">
        <v>4</v>
      </c>
      <c r="J536" s="10">
        <v>0.71875</v>
      </c>
      <c r="K536" s="10">
        <v>0.74375000000000002</v>
      </c>
      <c r="L536" s="10">
        <f t="shared" si="17"/>
        <v>2.5000000000000022E-2</v>
      </c>
      <c r="M536" s="12">
        <f t="shared" si="16"/>
        <v>0.60000000000000053</v>
      </c>
      <c r="N536" s="12">
        <f>Table1[[#This Row],[Trip Hours]]*Table1[[#This Row],['#Angler]]</f>
        <v>2.4000000000000021</v>
      </c>
      <c r="O536" t="s">
        <v>349</v>
      </c>
      <c r="P536" t="s">
        <v>186</v>
      </c>
      <c r="R536" s="11">
        <v>0</v>
      </c>
      <c r="S536">
        <v>0</v>
      </c>
      <c r="T536">
        <v>0</v>
      </c>
      <c r="U536">
        <v>1</v>
      </c>
      <c r="V536" s="11">
        <v>0</v>
      </c>
      <c r="W536">
        <v>0</v>
      </c>
      <c r="X536">
        <v>0</v>
      </c>
      <c r="Y536">
        <v>0</v>
      </c>
      <c r="Z536" s="11">
        <f>SUM(Table1[[#This Row],[Chi Kept]],Table1[[#This Row],[Chi Released]])</f>
        <v>0</v>
      </c>
      <c r="AA536">
        <f>SUM(Table1[[#This Row],[Co Kept]],Table1[[#This Row],[Co Released ]])</f>
        <v>0</v>
      </c>
      <c r="AB536">
        <f>SUM(Table1[[#This Row],[Pink Kept]],Table1[[#This Row],[Pink Released]])</f>
        <v>0</v>
      </c>
      <c r="AC536">
        <f>SUM(Table1[[#This Row],[Chu Kept]],Table1[[#This Row],[Chu Released]])</f>
        <v>1</v>
      </c>
    </row>
    <row r="537" spans="1:29" x14ac:dyDescent="0.3">
      <c r="A537" s="7">
        <v>45959</v>
      </c>
      <c r="B537">
        <v>11</v>
      </c>
      <c r="C537" t="s">
        <v>236</v>
      </c>
      <c r="D537" t="s">
        <v>42</v>
      </c>
      <c r="E537">
        <v>19</v>
      </c>
      <c r="F537">
        <v>2</v>
      </c>
      <c r="G537">
        <v>4</v>
      </c>
      <c r="H537" t="s">
        <v>241</v>
      </c>
      <c r="I537">
        <v>1</v>
      </c>
      <c r="J537" s="10">
        <v>0.72916666666666663</v>
      </c>
      <c r="K537" s="10">
        <v>0.74444444444444446</v>
      </c>
      <c r="L537" s="10">
        <f t="shared" si="17"/>
        <v>1.5277777777777835E-2</v>
      </c>
      <c r="M537" s="12">
        <f t="shared" si="16"/>
        <v>0.36666666666666803</v>
      </c>
      <c r="N537" s="12">
        <f>Table1[[#This Row],[Trip Hours]]*Table1[[#This Row],['#Angler]]</f>
        <v>0.36666666666666803</v>
      </c>
      <c r="O537" t="s">
        <v>349</v>
      </c>
      <c r="P537" t="s">
        <v>148</v>
      </c>
      <c r="Q537" t="s">
        <v>241</v>
      </c>
      <c r="R537" s="11">
        <v>0</v>
      </c>
      <c r="S537">
        <v>0</v>
      </c>
      <c r="T537">
        <v>0</v>
      </c>
      <c r="U537">
        <v>0</v>
      </c>
      <c r="V537" s="11">
        <v>0</v>
      </c>
      <c r="W537">
        <v>0</v>
      </c>
      <c r="X537">
        <v>0</v>
      </c>
      <c r="Y537">
        <v>0</v>
      </c>
      <c r="Z537" s="11">
        <f>SUM(Table1[[#This Row],[Chi Kept]],Table1[[#This Row],[Chi Released]])</f>
        <v>0</v>
      </c>
      <c r="AA537">
        <f>SUM(Table1[[#This Row],[Co Kept]],Table1[[#This Row],[Co Released ]])</f>
        <v>0</v>
      </c>
      <c r="AB537">
        <f>SUM(Table1[[#This Row],[Pink Kept]],Table1[[#This Row],[Pink Released]])</f>
        <v>0</v>
      </c>
      <c r="AC537">
        <f>SUM(Table1[[#This Row],[Chu Kept]],Table1[[#This Row],[Chu Released]])</f>
        <v>0</v>
      </c>
    </row>
    <row r="538" spans="1:29" x14ac:dyDescent="0.3">
      <c r="A538" s="7">
        <v>45960</v>
      </c>
      <c r="B538">
        <v>11</v>
      </c>
      <c r="C538" t="s">
        <v>236</v>
      </c>
      <c r="D538" t="s">
        <v>26</v>
      </c>
      <c r="E538">
        <v>1</v>
      </c>
      <c r="F538">
        <v>2</v>
      </c>
      <c r="G538">
        <v>4</v>
      </c>
      <c r="H538" t="s">
        <v>241</v>
      </c>
      <c r="I538">
        <v>1</v>
      </c>
      <c r="J538" s="10">
        <v>0.29166666666666669</v>
      </c>
      <c r="K538" s="10">
        <v>0.35833333333333334</v>
      </c>
      <c r="L538" s="10">
        <f t="shared" si="17"/>
        <v>6.6666666666666652E-2</v>
      </c>
      <c r="M538" s="12">
        <f t="shared" si="16"/>
        <v>1.5999999999999996</v>
      </c>
      <c r="N538" s="12">
        <f>Table1[[#This Row],[Trip Hours]]*Table1[[#This Row],['#Angler]]</f>
        <v>1.5999999999999996</v>
      </c>
      <c r="O538" t="s">
        <v>342</v>
      </c>
      <c r="Q538" t="s">
        <v>224</v>
      </c>
      <c r="R538" s="11">
        <v>0</v>
      </c>
      <c r="S538">
        <v>0</v>
      </c>
      <c r="T538">
        <v>0</v>
      </c>
      <c r="U538">
        <v>0</v>
      </c>
      <c r="V538" s="11">
        <v>0</v>
      </c>
      <c r="W538">
        <v>0</v>
      </c>
      <c r="X538">
        <v>0</v>
      </c>
      <c r="Y538">
        <v>0</v>
      </c>
      <c r="Z538" s="11">
        <f>SUM(Table1[[#This Row],[Chi Kept]],Table1[[#This Row],[Chi Released]])</f>
        <v>0</v>
      </c>
      <c r="AA538">
        <f>SUM(Table1[[#This Row],[Co Kept]],Table1[[#This Row],[Co Released ]])</f>
        <v>0</v>
      </c>
      <c r="AB538">
        <f>SUM(Table1[[#This Row],[Pink Kept]],Table1[[#This Row],[Pink Released]])</f>
        <v>0</v>
      </c>
      <c r="AC538">
        <f>SUM(Table1[[#This Row],[Chu Kept]],Table1[[#This Row],[Chu Released]])</f>
        <v>0</v>
      </c>
    </row>
    <row r="539" spans="1:29" x14ac:dyDescent="0.3">
      <c r="A539" s="7">
        <v>45960</v>
      </c>
      <c r="B539">
        <v>11</v>
      </c>
      <c r="C539" t="s">
        <v>236</v>
      </c>
      <c r="D539" t="s">
        <v>26</v>
      </c>
      <c r="E539">
        <v>2</v>
      </c>
      <c r="F539">
        <v>2</v>
      </c>
      <c r="G539">
        <v>4</v>
      </c>
      <c r="H539" t="s">
        <v>241</v>
      </c>
      <c r="I539">
        <v>1</v>
      </c>
      <c r="J539" s="10">
        <v>0.33333333333333331</v>
      </c>
      <c r="K539" s="10">
        <v>0.37361111111111112</v>
      </c>
      <c r="L539" s="10">
        <f t="shared" si="17"/>
        <v>4.0277777777777801E-2</v>
      </c>
      <c r="M539" s="12">
        <f t="shared" si="16"/>
        <v>0.96666666666666723</v>
      </c>
      <c r="N539" s="12">
        <f>Table1[[#This Row],[Trip Hours]]*Table1[[#This Row],['#Angler]]</f>
        <v>0.96666666666666723</v>
      </c>
      <c r="O539" t="s">
        <v>342</v>
      </c>
      <c r="Q539" t="s">
        <v>224</v>
      </c>
      <c r="R539" s="11">
        <v>0</v>
      </c>
      <c r="S539">
        <v>0</v>
      </c>
      <c r="T539">
        <v>0</v>
      </c>
      <c r="U539">
        <v>0</v>
      </c>
      <c r="V539" s="11">
        <v>0</v>
      </c>
      <c r="W539">
        <v>0</v>
      </c>
      <c r="X539">
        <v>0</v>
      </c>
      <c r="Y539">
        <v>0</v>
      </c>
      <c r="Z539" s="11">
        <f>SUM(Table1[[#This Row],[Chi Kept]],Table1[[#This Row],[Chi Released]])</f>
        <v>0</v>
      </c>
      <c r="AA539">
        <f>SUM(Table1[[#This Row],[Co Kept]],Table1[[#This Row],[Co Released ]])</f>
        <v>0</v>
      </c>
      <c r="AB539">
        <f>SUM(Table1[[#This Row],[Pink Kept]],Table1[[#This Row],[Pink Released]])</f>
        <v>0</v>
      </c>
      <c r="AC539">
        <f>SUM(Table1[[#This Row],[Chu Kept]],Table1[[#This Row],[Chu Released]])</f>
        <v>0</v>
      </c>
    </row>
    <row r="540" spans="1:29" x14ac:dyDescent="0.3">
      <c r="A540" s="7">
        <v>45960</v>
      </c>
      <c r="B540">
        <v>11</v>
      </c>
      <c r="C540" t="s">
        <v>236</v>
      </c>
      <c r="D540" t="s">
        <v>26</v>
      </c>
      <c r="E540">
        <v>3</v>
      </c>
      <c r="F540">
        <v>2</v>
      </c>
      <c r="G540">
        <v>4</v>
      </c>
      <c r="H540" t="s">
        <v>241</v>
      </c>
      <c r="I540">
        <v>1</v>
      </c>
      <c r="J540" s="10">
        <v>0.33333333333333331</v>
      </c>
      <c r="K540" s="10">
        <v>0.37847222222222221</v>
      </c>
      <c r="L540" s="10">
        <f t="shared" si="17"/>
        <v>4.5138888888888895E-2</v>
      </c>
      <c r="M540" s="12">
        <f t="shared" si="16"/>
        <v>1.0833333333333335</v>
      </c>
      <c r="N540" s="12">
        <f>Table1[[#This Row],[Trip Hours]]*Table1[[#This Row],['#Angler]]</f>
        <v>1.0833333333333335</v>
      </c>
      <c r="O540" t="s">
        <v>342</v>
      </c>
      <c r="Q540" t="s">
        <v>224</v>
      </c>
      <c r="R540" s="11">
        <v>0</v>
      </c>
      <c r="S540">
        <v>0</v>
      </c>
      <c r="T540">
        <v>0</v>
      </c>
      <c r="U540">
        <v>0</v>
      </c>
      <c r="V540" s="11">
        <v>0</v>
      </c>
      <c r="W540">
        <v>0</v>
      </c>
      <c r="X540">
        <v>0</v>
      </c>
      <c r="Y540">
        <v>0</v>
      </c>
      <c r="Z540" s="11">
        <f>SUM(Table1[[#This Row],[Chi Kept]],Table1[[#This Row],[Chi Released]])</f>
        <v>0</v>
      </c>
      <c r="AA540">
        <f>SUM(Table1[[#This Row],[Co Kept]],Table1[[#This Row],[Co Released ]])</f>
        <v>0</v>
      </c>
      <c r="AB540">
        <f>SUM(Table1[[#This Row],[Pink Kept]],Table1[[#This Row],[Pink Released]])</f>
        <v>0</v>
      </c>
      <c r="AC540">
        <f>SUM(Table1[[#This Row],[Chu Kept]],Table1[[#This Row],[Chu Released]])</f>
        <v>0</v>
      </c>
    </row>
    <row r="541" spans="1:29" x14ac:dyDescent="0.3">
      <c r="A541" s="7">
        <v>45960</v>
      </c>
      <c r="B541">
        <v>11</v>
      </c>
      <c r="C541" t="s">
        <v>236</v>
      </c>
      <c r="D541" t="s">
        <v>26</v>
      </c>
      <c r="E541">
        <v>4</v>
      </c>
      <c r="F541">
        <v>2</v>
      </c>
      <c r="G541">
        <v>4</v>
      </c>
      <c r="H541" t="s">
        <v>241</v>
      </c>
      <c r="I541">
        <v>2</v>
      </c>
      <c r="J541" s="10">
        <v>0.33333333333333331</v>
      </c>
      <c r="K541" s="10">
        <v>0.37916666666666665</v>
      </c>
      <c r="L541" s="10">
        <f t="shared" si="17"/>
        <v>4.5833333333333337E-2</v>
      </c>
      <c r="M541" s="12">
        <f t="shared" si="16"/>
        <v>1.1000000000000001</v>
      </c>
      <c r="N541" s="12">
        <f>Table1[[#This Row],[Trip Hours]]*Table1[[#This Row],['#Angler]]</f>
        <v>2.2000000000000002</v>
      </c>
      <c r="O541" t="s">
        <v>342</v>
      </c>
      <c r="P541" t="s">
        <v>186</v>
      </c>
      <c r="Q541" t="s">
        <v>224</v>
      </c>
      <c r="R541" s="11">
        <v>0</v>
      </c>
      <c r="S541">
        <v>0</v>
      </c>
      <c r="T541">
        <v>0</v>
      </c>
      <c r="U541">
        <v>0</v>
      </c>
      <c r="V541" s="11">
        <v>0</v>
      </c>
      <c r="W541">
        <v>0</v>
      </c>
      <c r="X541">
        <v>0</v>
      </c>
      <c r="Y541">
        <v>0</v>
      </c>
      <c r="Z541" s="11">
        <f>SUM(Table1[[#This Row],[Chi Kept]],Table1[[#This Row],[Chi Released]])</f>
        <v>0</v>
      </c>
      <c r="AA541">
        <f>SUM(Table1[[#This Row],[Co Kept]],Table1[[#This Row],[Co Released ]])</f>
        <v>0</v>
      </c>
      <c r="AB541">
        <f>SUM(Table1[[#This Row],[Pink Kept]],Table1[[#This Row],[Pink Released]])</f>
        <v>0</v>
      </c>
      <c r="AC541">
        <f>SUM(Table1[[#This Row],[Chu Kept]],Table1[[#This Row],[Chu Released]])</f>
        <v>0</v>
      </c>
    </row>
    <row r="542" spans="1:29" x14ac:dyDescent="0.3">
      <c r="A542" s="7">
        <v>45960</v>
      </c>
      <c r="B542">
        <v>11</v>
      </c>
      <c r="C542" t="s">
        <v>236</v>
      </c>
      <c r="D542" t="s">
        <v>26</v>
      </c>
      <c r="E542">
        <v>5</v>
      </c>
      <c r="F542">
        <v>2</v>
      </c>
      <c r="G542">
        <v>4</v>
      </c>
      <c r="H542" t="s">
        <v>241</v>
      </c>
      <c r="I542">
        <v>1</v>
      </c>
      <c r="J542" s="10">
        <v>0.3125</v>
      </c>
      <c r="K542" s="10">
        <v>0.38333333333333336</v>
      </c>
      <c r="L542" s="10">
        <f t="shared" si="17"/>
        <v>7.0833333333333359E-2</v>
      </c>
      <c r="M542" s="12">
        <f t="shared" si="16"/>
        <v>1.7000000000000006</v>
      </c>
      <c r="N542" s="12">
        <f>Table1[[#This Row],[Trip Hours]]*Table1[[#This Row],['#Angler]]</f>
        <v>1.7000000000000006</v>
      </c>
      <c r="O542" t="s">
        <v>342</v>
      </c>
      <c r="P542" t="s">
        <v>29</v>
      </c>
      <c r="Q542" t="s">
        <v>224</v>
      </c>
      <c r="R542" s="11">
        <v>0</v>
      </c>
      <c r="S542">
        <v>0</v>
      </c>
      <c r="T542">
        <v>0</v>
      </c>
      <c r="U542">
        <v>0</v>
      </c>
      <c r="V542" s="11">
        <v>0</v>
      </c>
      <c r="W542">
        <v>0</v>
      </c>
      <c r="X542">
        <v>0</v>
      </c>
      <c r="Y542">
        <v>1</v>
      </c>
      <c r="Z542" s="11">
        <f>SUM(Table1[[#This Row],[Chi Kept]],Table1[[#This Row],[Chi Released]])</f>
        <v>0</v>
      </c>
      <c r="AA542">
        <f>SUM(Table1[[#This Row],[Co Kept]],Table1[[#This Row],[Co Released ]])</f>
        <v>0</v>
      </c>
      <c r="AB542">
        <f>SUM(Table1[[#This Row],[Pink Kept]],Table1[[#This Row],[Pink Released]])</f>
        <v>0</v>
      </c>
      <c r="AC542">
        <f>SUM(Table1[[#This Row],[Chu Kept]],Table1[[#This Row],[Chu Released]])</f>
        <v>1</v>
      </c>
    </row>
    <row r="543" spans="1:29" x14ac:dyDescent="0.3">
      <c r="A543" s="7">
        <v>45960</v>
      </c>
      <c r="B543">
        <v>11</v>
      </c>
      <c r="C543" t="s">
        <v>236</v>
      </c>
      <c r="D543" t="s">
        <v>26</v>
      </c>
      <c r="E543">
        <v>6</v>
      </c>
      <c r="F543">
        <v>2</v>
      </c>
      <c r="G543">
        <v>4</v>
      </c>
      <c r="H543" t="s">
        <v>241</v>
      </c>
      <c r="I543">
        <v>2</v>
      </c>
      <c r="J543" s="10">
        <v>0.33333333333333331</v>
      </c>
      <c r="K543" s="10">
        <v>0.38680555555555557</v>
      </c>
      <c r="L543" s="10">
        <f t="shared" si="17"/>
        <v>5.3472222222222254E-2</v>
      </c>
      <c r="M543" s="12">
        <f t="shared" si="16"/>
        <v>1.2833333333333341</v>
      </c>
      <c r="N543" s="12">
        <f>Table1[[#This Row],[Trip Hours]]*Table1[[#This Row],['#Angler]]</f>
        <v>2.5666666666666682</v>
      </c>
      <c r="O543" t="s">
        <v>342</v>
      </c>
      <c r="P543" t="s">
        <v>186</v>
      </c>
      <c r="Q543" t="s">
        <v>224</v>
      </c>
      <c r="R543" s="11">
        <v>0</v>
      </c>
      <c r="S543">
        <v>0</v>
      </c>
      <c r="T543">
        <v>0</v>
      </c>
      <c r="U543">
        <v>0</v>
      </c>
      <c r="V543" s="11">
        <v>0</v>
      </c>
      <c r="W543">
        <v>0</v>
      </c>
      <c r="X543">
        <v>0</v>
      </c>
      <c r="Y543">
        <v>0</v>
      </c>
      <c r="Z543" s="11">
        <f>SUM(Table1[[#This Row],[Chi Kept]],Table1[[#This Row],[Chi Released]])</f>
        <v>0</v>
      </c>
      <c r="AA543">
        <f>SUM(Table1[[#This Row],[Co Kept]],Table1[[#This Row],[Co Released ]])</f>
        <v>0</v>
      </c>
      <c r="AB543">
        <f>SUM(Table1[[#This Row],[Pink Kept]],Table1[[#This Row],[Pink Released]])</f>
        <v>0</v>
      </c>
      <c r="AC543">
        <f>SUM(Table1[[#This Row],[Chu Kept]],Table1[[#This Row],[Chu Released]])</f>
        <v>0</v>
      </c>
    </row>
    <row r="544" spans="1:29" x14ac:dyDescent="0.3">
      <c r="A544" s="7">
        <v>45960</v>
      </c>
      <c r="B544">
        <v>11</v>
      </c>
      <c r="C544" t="s">
        <v>236</v>
      </c>
      <c r="D544" t="s">
        <v>26</v>
      </c>
      <c r="E544">
        <v>7</v>
      </c>
      <c r="F544">
        <v>2</v>
      </c>
      <c r="G544">
        <v>4</v>
      </c>
      <c r="H544" t="s">
        <v>241</v>
      </c>
      <c r="I544">
        <v>2</v>
      </c>
      <c r="J544" s="10">
        <v>0.29166666666666669</v>
      </c>
      <c r="K544" s="10">
        <v>0.39583333333333331</v>
      </c>
      <c r="L544" s="10">
        <f t="shared" si="17"/>
        <v>0.10416666666666663</v>
      </c>
      <c r="M544" s="12">
        <f t="shared" si="16"/>
        <v>2.4999999999999991</v>
      </c>
      <c r="N544" s="12">
        <f>Table1[[#This Row],[Trip Hours]]*Table1[[#This Row],['#Angler]]</f>
        <v>4.9999999999999982</v>
      </c>
      <c r="O544" t="s">
        <v>342</v>
      </c>
      <c r="Q544" t="s">
        <v>224</v>
      </c>
      <c r="R544" s="11">
        <v>0</v>
      </c>
      <c r="S544">
        <v>0</v>
      </c>
      <c r="T544">
        <v>0</v>
      </c>
      <c r="U544">
        <v>0</v>
      </c>
      <c r="V544" s="11">
        <v>0</v>
      </c>
      <c r="W544">
        <v>0</v>
      </c>
      <c r="X544">
        <v>0</v>
      </c>
      <c r="Y544">
        <v>1</v>
      </c>
      <c r="Z544" s="11">
        <f>SUM(Table1[[#This Row],[Chi Kept]],Table1[[#This Row],[Chi Released]])</f>
        <v>0</v>
      </c>
      <c r="AA544">
        <f>SUM(Table1[[#This Row],[Co Kept]],Table1[[#This Row],[Co Released ]])</f>
        <v>0</v>
      </c>
      <c r="AB544">
        <f>SUM(Table1[[#This Row],[Pink Kept]],Table1[[#This Row],[Pink Released]])</f>
        <v>0</v>
      </c>
      <c r="AC544">
        <f>SUM(Table1[[#This Row],[Chu Kept]],Table1[[#This Row],[Chu Released]])</f>
        <v>1</v>
      </c>
    </row>
    <row r="545" spans="1:29" x14ac:dyDescent="0.3">
      <c r="A545" s="7">
        <v>45960</v>
      </c>
      <c r="B545">
        <v>11</v>
      </c>
      <c r="C545" t="s">
        <v>236</v>
      </c>
      <c r="D545" t="s">
        <v>26</v>
      </c>
      <c r="E545">
        <v>8</v>
      </c>
      <c r="F545">
        <v>2</v>
      </c>
      <c r="G545">
        <v>4</v>
      </c>
      <c r="H545" t="s">
        <v>241</v>
      </c>
      <c r="I545">
        <v>1</v>
      </c>
      <c r="J545" s="10">
        <v>0.33333333333333331</v>
      </c>
      <c r="K545" s="10">
        <v>0.39652777777777776</v>
      </c>
      <c r="L545" s="10">
        <f t="shared" si="17"/>
        <v>6.3194444444444442E-2</v>
      </c>
      <c r="M545" s="12">
        <f t="shared" si="16"/>
        <v>1.5166666666666666</v>
      </c>
      <c r="N545" s="12">
        <f>Table1[[#This Row],[Trip Hours]]*Table1[[#This Row],['#Angler]]</f>
        <v>1.5166666666666666</v>
      </c>
      <c r="O545" t="s">
        <v>342</v>
      </c>
      <c r="Q545" t="s">
        <v>224</v>
      </c>
      <c r="R545" s="11">
        <v>0</v>
      </c>
      <c r="S545">
        <v>0</v>
      </c>
      <c r="T545">
        <v>0</v>
      </c>
      <c r="U545">
        <v>1</v>
      </c>
      <c r="V545" s="11">
        <v>0</v>
      </c>
      <c r="W545">
        <v>0</v>
      </c>
      <c r="X545">
        <v>0</v>
      </c>
      <c r="Y545">
        <v>0</v>
      </c>
      <c r="Z545" s="11">
        <f>SUM(Table1[[#This Row],[Chi Kept]],Table1[[#This Row],[Chi Released]])</f>
        <v>0</v>
      </c>
      <c r="AA545">
        <f>SUM(Table1[[#This Row],[Co Kept]],Table1[[#This Row],[Co Released ]])</f>
        <v>0</v>
      </c>
      <c r="AB545">
        <f>SUM(Table1[[#This Row],[Pink Kept]],Table1[[#This Row],[Pink Released]])</f>
        <v>0</v>
      </c>
      <c r="AC545">
        <f>SUM(Table1[[#This Row],[Chu Kept]],Table1[[#This Row],[Chu Released]])</f>
        <v>1</v>
      </c>
    </row>
    <row r="546" spans="1:29" x14ac:dyDescent="0.3">
      <c r="A546" s="7">
        <v>45960</v>
      </c>
      <c r="B546">
        <v>11</v>
      </c>
      <c r="C546" t="s">
        <v>236</v>
      </c>
      <c r="D546" t="s">
        <v>26</v>
      </c>
      <c r="E546">
        <v>9</v>
      </c>
      <c r="F546">
        <v>2</v>
      </c>
      <c r="G546">
        <v>4</v>
      </c>
      <c r="H546" t="s">
        <v>241</v>
      </c>
      <c r="I546">
        <v>1</v>
      </c>
      <c r="J546" s="10">
        <v>0.33333333333333331</v>
      </c>
      <c r="K546" s="10">
        <v>0.3972222222222222</v>
      </c>
      <c r="L546" s="10">
        <f t="shared" si="17"/>
        <v>6.3888888888888884E-2</v>
      </c>
      <c r="M546" s="12">
        <f t="shared" si="16"/>
        <v>1.5333333333333332</v>
      </c>
      <c r="N546" s="12">
        <f>Table1[[#This Row],[Trip Hours]]*Table1[[#This Row],['#Angler]]</f>
        <v>1.5333333333333332</v>
      </c>
      <c r="O546" t="s">
        <v>342</v>
      </c>
      <c r="Q546" t="s">
        <v>224</v>
      </c>
      <c r="R546" s="11">
        <v>0</v>
      </c>
      <c r="S546">
        <v>0</v>
      </c>
      <c r="T546">
        <v>0</v>
      </c>
      <c r="U546">
        <v>0</v>
      </c>
      <c r="V546" s="11">
        <v>0</v>
      </c>
      <c r="W546">
        <v>0</v>
      </c>
      <c r="X546">
        <v>0</v>
      </c>
      <c r="Y546">
        <v>0</v>
      </c>
      <c r="Z546" s="11">
        <f>SUM(Table1[[#This Row],[Chi Kept]],Table1[[#This Row],[Chi Released]])</f>
        <v>0</v>
      </c>
      <c r="AA546">
        <f>SUM(Table1[[#This Row],[Co Kept]],Table1[[#This Row],[Co Released ]])</f>
        <v>0</v>
      </c>
      <c r="AB546">
        <f>SUM(Table1[[#This Row],[Pink Kept]],Table1[[#This Row],[Pink Released]])</f>
        <v>0</v>
      </c>
      <c r="AC546">
        <f>SUM(Table1[[#This Row],[Chu Kept]],Table1[[#This Row],[Chu Released]])</f>
        <v>0</v>
      </c>
    </row>
    <row r="547" spans="1:29" x14ac:dyDescent="0.3">
      <c r="A547" s="7">
        <v>45960</v>
      </c>
      <c r="B547">
        <v>11</v>
      </c>
      <c r="C547" t="s">
        <v>236</v>
      </c>
      <c r="D547" t="s">
        <v>26</v>
      </c>
      <c r="E547">
        <v>10</v>
      </c>
      <c r="F547">
        <v>2</v>
      </c>
      <c r="G547">
        <v>4</v>
      </c>
      <c r="H547" t="s">
        <v>241</v>
      </c>
      <c r="I547">
        <v>1</v>
      </c>
      <c r="J547" s="10">
        <v>0.32291666666666669</v>
      </c>
      <c r="K547" s="10">
        <v>0.41249999999999998</v>
      </c>
      <c r="L547" s="10">
        <f t="shared" si="17"/>
        <v>8.9583333333333293E-2</v>
      </c>
      <c r="M547" s="12">
        <f t="shared" si="16"/>
        <v>2.149999999999999</v>
      </c>
      <c r="N547" s="12">
        <f>Table1[[#This Row],[Trip Hours]]*Table1[[#This Row],['#Angler]]</f>
        <v>2.149999999999999</v>
      </c>
      <c r="O547" t="s">
        <v>342</v>
      </c>
      <c r="Q547" t="s">
        <v>238</v>
      </c>
      <c r="R547" s="11">
        <v>0</v>
      </c>
      <c r="S547">
        <v>0</v>
      </c>
      <c r="T547">
        <v>0</v>
      </c>
      <c r="U547">
        <v>0</v>
      </c>
      <c r="V547" s="11">
        <v>0</v>
      </c>
      <c r="W547">
        <v>0</v>
      </c>
      <c r="X547">
        <v>0</v>
      </c>
      <c r="Y547">
        <v>0</v>
      </c>
      <c r="Z547" s="11">
        <f>SUM(Table1[[#This Row],[Chi Kept]],Table1[[#This Row],[Chi Released]])</f>
        <v>0</v>
      </c>
      <c r="AA547">
        <f>SUM(Table1[[#This Row],[Co Kept]],Table1[[#This Row],[Co Released ]])</f>
        <v>0</v>
      </c>
      <c r="AB547">
        <f>SUM(Table1[[#This Row],[Pink Kept]],Table1[[#This Row],[Pink Released]])</f>
        <v>0</v>
      </c>
      <c r="AC547">
        <f>SUM(Table1[[#This Row],[Chu Kept]],Table1[[#This Row],[Chu Released]])</f>
        <v>0</v>
      </c>
    </row>
    <row r="548" spans="1:29" x14ac:dyDescent="0.3">
      <c r="A548" s="7">
        <v>45960</v>
      </c>
      <c r="B548">
        <v>11</v>
      </c>
      <c r="C548" t="s">
        <v>236</v>
      </c>
      <c r="D548" t="s">
        <v>26</v>
      </c>
      <c r="E548">
        <v>11</v>
      </c>
      <c r="F548">
        <v>2</v>
      </c>
      <c r="G548">
        <v>4</v>
      </c>
      <c r="H548" t="s">
        <v>241</v>
      </c>
      <c r="I548">
        <v>1</v>
      </c>
      <c r="J548" s="10">
        <v>0.3125</v>
      </c>
      <c r="K548" s="10">
        <v>0.41388888888888886</v>
      </c>
      <c r="L548" s="10">
        <f t="shared" si="17"/>
        <v>0.10138888888888886</v>
      </c>
      <c r="M548" s="12">
        <f t="shared" si="16"/>
        <v>2.4333333333333327</v>
      </c>
      <c r="N548" s="12">
        <f>Table1[[#This Row],[Trip Hours]]*Table1[[#This Row],['#Angler]]</f>
        <v>2.4333333333333327</v>
      </c>
      <c r="O548" t="s">
        <v>342</v>
      </c>
      <c r="Q548" t="s">
        <v>224</v>
      </c>
      <c r="R548" s="11">
        <v>0</v>
      </c>
      <c r="S548">
        <v>0</v>
      </c>
      <c r="T548">
        <v>0</v>
      </c>
      <c r="U548">
        <v>1</v>
      </c>
      <c r="V548" s="11">
        <v>0</v>
      </c>
      <c r="W548">
        <v>0</v>
      </c>
      <c r="X548">
        <v>0</v>
      </c>
      <c r="Y548">
        <v>0</v>
      </c>
      <c r="Z548" s="11">
        <f>SUM(Table1[[#This Row],[Chi Kept]],Table1[[#This Row],[Chi Released]])</f>
        <v>0</v>
      </c>
      <c r="AA548">
        <f>SUM(Table1[[#This Row],[Co Kept]],Table1[[#This Row],[Co Released ]])</f>
        <v>0</v>
      </c>
      <c r="AB548">
        <f>SUM(Table1[[#This Row],[Pink Kept]],Table1[[#This Row],[Pink Released]])</f>
        <v>0</v>
      </c>
      <c r="AC548">
        <f>SUM(Table1[[#This Row],[Chu Kept]],Table1[[#This Row],[Chu Released]])</f>
        <v>1</v>
      </c>
    </row>
    <row r="549" spans="1:29" x14ac:dyDescent="0.3">
      <c r="A549" s="7">
        <v>45960</v>
      </c>
      <c r="B549">
        <v>11</v>
      </c>
      <c r="C549" t="s">
        <v>236</v>
      </c>
      <c r="D549" t="s">
        <v>26</v>
      </c>
      <c r="E549">
        <v>12</v>
      </c>
      <c r="F549">
        <v>2</v>
      </c>
      <c r="G549">
        <v>4</v>
      </c>
      <c r="H549" t="s">
        <v>241</v>
      </c>
      <c r="I549">
        <v>1</v>
      </c>
      <c r="J549" s="10">
        <v>0.3125</v>
      </c>
      <c r="K549" s="10">
        <v>0.4152777777777778</v>
      </c>
      <c r="L549" s="10">
        <f t="shared" si="17"/>
        <v>0.1027777777777778</v>
      </c>
      <c r="M549" s="12">
        <f t="shared" si="16"/>
        <v>2.4666666666666672</v>
      </c>
      <c r="N549" s="12">
        <f>Table1[[#This Row],[Trip Hours]]*Table1[[#This Row],['#Angler]]</f>
        <v>2.4666666666666672</v>
      </c>
      <c r="O549" t="s">
        <v>342</v>
      </c>
      <c r="Q549" t="s">
        <v>224</v>
      </c>
      <c r="R549" s="11">
        <v>0</v>
      </c>
      <c r="S549">
        <v>0</v>
      </c>
      <c r="T549">
        <v>0</v>
      </c>
      <c r="U549">
        <v>2</v>
      </c>
      <c r="V549" s="11">
        <v>0</v>
      </c>
      <c r="W549">
        <v>0</v>
      </c>
      <c r="X549">
        <v>0</v>
      </c>
      <c r="Y549">
        <v>0</v>
      </c>
      <c r="Z549" s="11">
        <f>SUM(Table1[[#This Row],[Chi Kept]],Table1[[#This Row],[Chi Released]])</f>
        <v>0</v>
      </c>
      <c r="AA549">
        <f>SUM(Table1[[#This Row],[Co Kept]],Table1[[#This Row],[Co Released ]])</f>
        <v>0</v>
      </c>
      <c r="AB549">
        <f>SUM(Table1[[#This Row],[Pink Kept]],Table1[[#This Row],[Pink Released]])</f>
        <v>0</v>
      </c>
      <c r="AC549">
        <f>SUM(Table1[[#This Row],[Chu Kept]],Table1[[#This Row],[Chu Released]])</f>
        <v>2</v>
      </c>
    </row>
    <row r="550" spans="1:29" x14ac:dyDescent="0.3">
      <c r="A550" s="7">
        <v>45960</v>
      </c>
      <c r="B550">
        <v>11</v>
      </c>
      <c r="C550" t="s">
        <v>236</v>
      </c>
      <c r="D550" t="s">
        <v>26</v>
      </c>
      <c r="E550">
        <v>13</v>
      </c>
      <c r="F550">
        <v>2</v>
      </c>
      <c r="G550">
        <v>4</v>
      </c>
      <c r="H550" t="s">
        <v>241</v>
      </c>
      <c r="I550">
        <v>1</v>
      </c>
      <c r="J550" s="10">
        <v>0.375</v>
      </c>
      <c r="K550" s="10">
        <v>0.43402777777777779</v>
      </c>
      <c r="L550" s="10">
        <f t="shared" si="17"/>
        <v>5.902777777777779E-2</v>
      </c>
      <c r="M550" s="12">
        <f t="shared" si="16"/>
        <v>1.416666666666667</v>
      </c>
      <c r="N550" s="12">
        <f>Table1[[#This Row],[Trip Hours]]*Table1[[#This Row],['#Angler]]</f>
        <v>1.416666666666667</v>
      </c>
      <c r="O550" t="s">
        <v>342</v>
      </c>
      <c r="Q550" t="s">
        <v>224</v>
      </c>
      <c r="R550" s="11">
        <v>0</v>
      </c>
      <c r="S550">
        <v>0</v>
      </c>
      <c r="T550">
        <v>0</v>
      </c>
      <c r="U550">
        <v>0</v>
      </c>
      <c r="V550" s="11">
        <v>0</v>
      </c>
      <c r="W550">
        <v>0</v>
      </c>
      <c r="X550">
        <v>0</v>
      </c>
      <c r="Y550">
        <v>1</v>
      </c>
      <c r="Z550" s="11">
        <f>SUM(Table1[[#This Row],[Chi Kept]],Table1[[#This Row],[Chi Released]])</f>
        <v>0</v>
      </c>
      <c r="AA550">
        <f>SUM(Table1[[#This Row],[Co Kept]],Table1[[#This Row],[Co Released ]])</f>
        <v>0</v>
      </c>
      <c r="AB550">
        <f>SUM(Table1[[#This Row],[Pink Kept]],Table1[[#This Row],[Pink Released]])</f>
        <v>0</v>
      </c>
      <c r="AC550">
        <f>SUM(Table1[[#This Row],[Chu Kept]],Table1[[#This Row],[Chu Released]])</f>
        <v>1</v>
      </c>
    </row>
    <row r="551" spans="1:29" x14ac:dyDescent="0.3">
      <c r="A551" s="7">
        <v>45960</v>
      </c>
      <c r="B551">
        <v>11</v>
      </c>
      <c r="C551" t="s">
        <v>236</v>
      </c>
      <c r="D551" t="s">
        <v>26</v>
      </c>
      <c r="E551">
        <v>14</v>
      </c>
      <c r="F551">
        <v>2</v>
      </c>
      <c r="G551">
        <v>4</v>
      </c>
      <c r="H551" t="s">
        <v>241</v>
      </c>
      <c r="I551">
        <v>3</v>
      </c>
      <c r="J551" s="10">
        <v>0.29166666666666669</v>
      </c>
      <c r="K551" s="10">
        <v>0.45</v>
      </c>
      <c r="L551" s="10">
        <f t="shared" si="17"/>
        <v>0.15833333333333333</v>
      </c>
      <c r="M551" s="12">
        <f t="shared" si="16"/>
        <v>3.8</v>
      </c>
      <c r="N551" s="12">
        <f>Table1[[#This Row],[Trip Hours]]*Table1[[#This Row],['#Angler]]</f>
        <v>11.399999999999999</v>
      </c>
      <c r="O551" t="s">
        <v>342</v>
      </c>
      <c r="P551" t="s">
        <v>217</v>
      </c>
      <c r="Q551" t="s">
        <v>224</v>
      </c>
      <c r="R551" s="11">
        <v>0</v>
      </c>
      <c r="S551">
        <v>0</v>
      </c>
      <c r="T551">
        <v>0</v>
      </c>
      <c r="U551">
        <v>3</v>
      </c>
      <c r="V551" s="11">
        <v>0</v>
      </c>
      <c r="W551">
        <v>0</v>
      </c>
      <c r="X551">
        <v>0</v>
      </c>
      <c r="Y551">
        <v>0</v>
      </c>
      <c r="Z551" s="11">
        <f>SUM(Table1[[#This Row],[Chi Kept]],Table1[[#This Row],[Chi Released]])</f>
        <v>0</v>
      </c>
      <c r="AA551">
        <f>SUM(Table1[[#This Row],[Co Kept]],Table1[[#This Row],[Co Released ]])</f>
        <v>0</v>
      </c>
      <c r="AB551">
        <f>SUM(Table1[[#This Row],[Pink Kept]],Table1[[#This Row],[Pink Released]])</f>
        <v>0</v>
      </c>
      <c r="AC551">
        <f>SUM(Table1[[#This Row],[Chu Kept]],Table1[[#This Row],[Chu Released]])</f>
        <v>3</v>
      </c>
    </row>
    <row r="552" spans="1:29" x14ac:dyDescent="0.3">
      <c r="A552" s="7">
        <v>45960</v>
      </c>
      <c r="B552">
        <v>11</v>
      </c>
      <c r="C552" t="s">
        <v>236</v>
      </c>
      <c r="D552" t="s">
        <v>26</v>
      </c>
      <c r="E552">
        <v>15</v>
      </c>
      <c r="F552">
        <v>2</v>
      </c>
      <c r="G552">
        <v>4</v>
      </c>
      <c r="H552" t="s">
        <v>241</v>
      </c>
      <c r="I552">
        <v>2</v>
      </c>
      <c r="J552" s="10">
        <v>0.33333333333333331</v>
      </c>
      <c r="K552" s="10">
        <v>0.4513888888888889</v>
      </c>
      <c r="L552" s="10">
        <f t="shared" si="17"/>
        <v>0.11805555555555558</v>
      </c>
      <c r="M552" s="12">
        <f t="shared" si="16"/>
        <v>2.8333333333333339</v>
      </c>
      <c r="N552" s="12">
        <f>Table1[[#This Row],[Trip Hours]]*Table1[[#This Row],['#Angler]]</f>
        <v>5.6666666666666679</v>
      </c>
      <c r="O552" t="s">
        <v>342</v>
      </c>
      <c r="P552" t="s">
        <v>82</v>
      </c>
      <c r="Q552" t="s">
        <v>241</v>
      </c>
      <c r="R552" s="11">
        <v>0</v>
      </c>
      <c r="S552">
        <v>0</v>
      </c>
      <c r="T552">
        <v>0</v>
      </c>
      <c r="U552">
        <v>0</v>
      </c>
      <c r="V552" s="11">
        <v>0</v>
      </c>
      <c r="W552">
        <v>0</v>
      </c>
      <c r="X552">
        <v>0</v>
      </c>
      <c r="Y552">
        <v>0</v>
      </c>
      <c r="Z552" s="11">
        <f>SUM(Table1[[#This Row],[Chi Kept]],Table1[[#This Row],[Chi Released]])</f>
        <v>0</v>
      </c>
      <c r="AA552">
        <f>SUM(Table1[[#This Row],[Co Kept]],Table1[[#This Row],[Co Released ]])</f>
        <v>0</v>
      </c>
      <c r="AB552">
        <f>SUM(Table1[[#This Row],[Pink Kept]],Table1[[#This Row],[Pink Released]])</f>
        <v>0</v>
      </c>
      <c r="AC552">
        <f>SUM(Table1[[#This Row],[Chu Kept]],Table1[[#This Row],[Chu Released]])</f>
        <v>0</v>
      </c>
    </row>
    <row r="553" spans="1:29" x14ac:dyDescent="0.3">
      <c r="A553" s="7">
        <v>45960</v>
      </c>
      <c r="B553">
        <v>11</v>
      </c>
      <c r="C553" t="s">
        <v>236</v>
      </c>
      <c r="D553" t="s">
        <v>26</v>
      </c>
      <c r="E553">
        <v>16</v>
      </c>
      <c r="F553">
        <v>2</v>
      </c>
      <c r="G553">
        <v>4</v>
      </c>
      <c r="H553" t="s">
        <v>241</v>
      </c>
      <c r="I553">
        <v>1</v>
      </c>
      <c r="J553" s="10">
        <v>0.33333333333333331</v>
      </c>
      <c r="K553" s="10">
        <v>0.46875</v>
      </c>
      <c r="L553" s="10">
        <f t="shared" si="17"/>
        <v>0.13541666666666669</v>
      </c>
      <c r="M553" s="12">
        <f t="shared" si="16"/>
        <v>3.2500000000000004</v>
      </c>
      <c r="N553" s="12">
        <f>Table1[[#This Row],[Trip Hours]]*Table1[[#This Row],['#Angler]]</f>
        <v>3.2500000000000004</v>
      </c>
      <c r="O553" t="s">
        <v>342</v>
      </c>
      <c r="Q553" t="s">
        <v>224</v>
      </c>
      <c r="R553" s="11">
        <v>0</v>
      </c>
      <c r="S553">
        <v>0</v>
      </c>
      <c r="T553">
        <v>0</v>
      </c>
      <c r="U553">
        <v>0</v>
      </c>
      <c r="V553" s="11">
        <v>0</v>
      </c>
      <c r="W553">
        <v>0</v>
      </c>
      <c r="X553">
        <v>0</v>
      </c>
      <c r="Y553">
        <v>0</v>
      </c>
      <c r="Z553" s="11">
        <f>SUM(Table1[[#This Row],[Chi Kept]],Table1[[#This Row],[Chi Released]])</f>
        <v>0</v>
      </c>
      <c r="AA553">
        <f>SUM(Table1[[#This Row],[Co Kept]],Table1[[#This Row],[Co Released ]])</f>
        <v>0</v>
      </c>
      <c r="AB553">
        <f>SUM(Table1[[#This Row],[Pink Kept]],Table1[[#This Row],[Pink Released]])</f>
        <v>0</v>
      </c>
      <c r="AC553">
        <f>SUM(Table1[[#This Row],[Chu Kept]],Table1[[#This Row],[Chu Released]])</f>
        <v>0</v>
      </c>
    </row>
    <row r="554" spans="1:29" x14ac:dyDescent="0.3">
      <c r="A554" s="7">
        <v>45960</v>
      </c>
      <c r="B554">
        <v>11</v>
      </c>
      <c r="C554" t="s">
        <v>236</v>
      </c>
      <c r="D554" t="s">
        <v>26</v>
      </c>
      <c r="E554">
        <v>17</v>
      </c>
      <c r="F554">
        <v>2</v>
      </c>
      <c r="G554">
        <v>4</v>
      </c>
      <c r="H554" t="s">
        <v>241</v>
      </c>
      <c r="I554">
        <v>1</v>
      </c>
      <c r="J554" s="10">
        <v>0.29166666666666669</v>
      </c>
      <c r="K554" s="10">
        <v>0.46875</v>
      </c>
      <c r="L554" s="10">
        <f t="shared" si="17"/>
        <v>0.17708333333333331</v>
      </c>
      <c r="M554" s="12">
        <f t="shared" si="16"/>
        <v>4.25</v>
      </c>
      <c r="N554" s="12">
        <f>Table1[[#This Row],[Trip Hours]]*Table1[[#This Row],['#Angler]]</f>
        <v>4.25</v>
      </c>
      <c r="O554" t="s">
        <v>342</v>
      </c>
      <c r="P554" t="s">
        <v>112</v>
      </c>
      <c r="Q554" t="s">
        <v>224</v>
      </c>
      <c r="R554" s="11">
        <v>0</v>
      </c>
      <c r="S554">
        <v>0</v>
      </c>
      <c r="T554">
        <v>0</v>
      </c>
      <c r="U554">
        <v>1</v>
      </c>
      <c r="V554" s="11">
        <v>0</v>
      </c>
      <c r="W554">
        <v>0</v>
      </c>
      <c r="X554">
        <v>0</v>
      </c>
      <c r="Y554">
        <v>0</v>
      </c>
      <c r="Z554" s="11">
        <f>SUM(Table1[[#This Row],[Chi Kept]],Table1[[#This Row],[Chi Released]])</f>
        <v>0</v>
      </c>
      <c r="AA554">
        <f>SUM(Table1[[#This Row],[Co Kept]],Table1[[#This Row],[Co Released ]])</f>
        <v>0</v>
      </c>
      <c r="AB554">
        <f>SUM(Table1[[#This Row],[Pink Kept]],Table1[[#This Row],[Pink Released]])</f>
        <v>0</v>
      </c>
      <c r="AC554">
        <f>SUM(Table1[[#This Row],[Chu Kept]],Table1[[#This Row],[Chu Released]])</f>
        <v>1</v>
      </c>
    </row>
    <row r="555" spans="1:29" x14ac:dyDescent="0.3">
      <c r="A555" s="7">
        <v>45960</v>
      </c>
      <c r="B555">
        <v>11</v>
      </c>
      <c r="C555" t="s">
        <v>236</v>
      </c>
      <c r="D555" t="s">
        <v>26</v>
      </c>
      <c r="E555">
        <v>18</v>
      </c>
      <c r="F555">
        <v>2</v>
      </c>
      <c r="G555">
        <v>4</v>
      </c>
      <c r="H555" t="s">
        <v>241</v>
      </c>
      <c r="I555">
        <v>1</v>
      </c>
      <c r="J555" s="10">
        <v>0.375</v>
      </c>
      <c r="K555" s="10">
        <v>0.47847222222222224</v>
      </c>
      <c r="L555" s="10">
        <f t="shared" si="17"/>
        <v>0.10347222222222224</v>
      </c>
      <c r="M555" s="12">
        <f t="shared" si="16"/>
        <v>2.4833333333333338</v>
      </c>
      <c r="N555" s="12">
        <f>Table1[[#This Row],[Trip Hours]]*Table1[[#This Row],['#Angler]]</f>
        <v>2.4833333333333338</v>
      </c>
      <c r="O555" t="s">
        <v>342</v>
      </c>
      <c r="Q555" t="s">
        <v>224</v>
      </c>
      <c r="R555" s="11">
        <v>0</v>
      </c>
      <c r="S555">
        <v>0</v>
      </c>
      <c r="T555">
        <v>0</v>
      </c>
      <c r="U555">
        <v>0</v>
      </c>
      <c r="V555" s="11">
        <v>0</v>
      </c>
      <c r="W555">
        <v>0</v>
      </c>
      <c r="X555">
        <v>0</v>
      </c>
      <c r="Y555">
        <v>0</v>
      </c>
      <c r="Z555" s="11">
        <f>SUM(Table1[[#This Row],[Chi Kept]],Table1[[#This Row],[Chi Released]])</f>
        <v>0</v>
      </c>
      <c r="AA555">
        <f>SUM(Table1[[#This Row],[Co Kept]],Table1[[#This Row],[Co Released ]])</f>
        <v>0</v>
      </c>
      <c r="AB555">
        <f>SUM(Table1[[#This Row],[Pink Kept]],Table1[[#This Row],[Pink Released]])</f>
        <v>0</v>
      </c>
      <c r="AC555">
        <f>SUM(Table1[[#This Row],[Chu Kept]],Table1[[#This Row],[Chu Released]])</f>
        <v>0</v>
      </c>
    </row>
    <row r="556" spans="1:29" x14ac:dyDescent="0.3">
      <c r="A556" s="7">
        <v>45960</v>
      </c>
      <c r="B556">
        <v>11</v>
      </c>
      <c r="C556" t="s">
        <v>236</v>
      </c>
      <c r="D556" t="s">
        <v>42</v>
      </c>
      <c r="E556">
        <v>19</v>
      </c>
      <c r="F556">
        <v>3</v>
      </c>
      <c r="G556">
        <v>8</v>
      </c>
      <c r="H556" t="s">
        <v>241</v>
      </c>
      <c r="I556">
        <v>1</v>
      </c>
      <c r="J556" s="10">
        <v>0.6875</v>
      </c>
      <c r="K556" s="10">
        <v>0.73958333333333337</v>
      </c>
      <c r="L556" s="10">
        <f t="shared" si="17"/>
        <v>5.208333333333337E-2</v>
      </c>
      <c r="M556" s="12">
        <f t="shared" si="16"/>
        <v>1.2500000000000009</v>
      </c>
      <c r="N556" s="12">
        <f>Table1[[#This Row],[Trip Hours]]*Table1[[#This Row],['#Angler]]</f>
        <v>1.2500000000000009</v>
      </c>
      <c r="O556" t="s">
        <v>342</v>
      </c>
      <c r="P556" t="s">
        <v>29</v>
      </c>
      <c r="Q556" t="s">
        <v>238</v>
      </c>
      <c r="R556" s="11">
        <v>0</v>
      </c>
      <c r="S556">
        <v>0</v>
      </c>
      <c r="T556">
        <v>0</v>
      </c>
      <c r="U556">
        <v>0</v>
      </c>
      <c r="V556" s="11">
        <v>0</v>
      </c>
      <c r="W556">
        <v>0</v>
      </c>
      <c r="X556">
        <v>0</v>
      </c>
      <c r="Y556">
        <v>0</v>
      </c>
      <c r="Z556" s="11">
        <f>SUM(Table1[[#This Row],[Chi Kept]],Table1[[#This Row],[Chi Released]])</f>
        <v>0</v>
      </c>
      <c r="AA556">
        <f>SUM(Table1[[#This Row],[Co Kept]],Table1[[#This Row],[Co Released ]])</f>
        <v>0</v>
      </c>
      <c r="AB556">
        <f>SUM(Table1[[#This Row],[Pink Kept]],Table1[[#This Row],[Pink Released]])</f>
        <v>0</v>
      </c>
      <c r="AC556">
        <f>SUM(Table1[[#This Row],[Chu Kept]],Table1[[#This Row],[Chu Released]])</f>
        <v>0</v>
      </c>
    </row>
    <row r="557" spans="1:29" x14ac:dyDescent="0.3">
      <c r="A557" s="7">
        <v>45961</v>
      </c>
      <c r="B557">
        <v>11</v>
      </c>
      <c r="C557" t="s">
        <v>236</v>
      </c>
      <c r="D557" t="s">
        <v>42</v>
      </c>
      <c r="E557">
        <v>1</v>
      </c>
      <c r="F557">
        <v>2</v>
      </c>
      <c r="G557">
        <v>3</v>
      </c>
      <c r="H557" t="s">
        <v>241</v>
      </c>
      <c r="I557">
        <v>1</v>
      </c>
      <c r="J557" s="10">
        <v>0.65625</v>
      </c>
      <c r="K557" s="10">
        <v>0.66666666666666663</v>
      </c>
      <c r="L557" s="10">
        <f t="shared" si="17"/>
        <v>1.041666666666663E-2</v>
      </c>
      <c r="M557" s="12">
        <f t="shared" si="16"/>
        <v>0.24999999999999911</v>
      </c>
      <c r="N557" s="12">
        <f>Table1[[#This Row],[Trip Hours]]*Table1[[#This Row],['#Angler]]</f>
        <v>0.24999999999999911</v>
      </c>
      <c r="O557" t="s">
        <v>349</v>
      </c>
      <c r="Q557" t="s">
        <v>224</v>
      </c>
      <c r="R557" s="11">
        <v>0</v>
      </c>
      <c r="S557">
        <v>0</v>
      </c>
      <c r="T557">
        <v>0</v>
      </c>
      <c r="U557">
        <v>0</v>
      </c>
      <c r="V557" s="11">
        <v>0</v>
      </c>
      <c r="W557">
        <v>0</v>
      </c>
      <c r="X557">
        <v>0</v>
      </c>
      <c r="Y557">
        <v>0</v>
      </c>
      <c r="Z557" s="11">
        <f>SUM(Table1[[#This Row],[Chi Kept]],Table1[[#This Row],[Chi Released]])</f>
        <v>0</v>
      </c>
      <c r="AA557">
        <f>SUM(Table1[[#This Row],[Co Kept]],Table1[[#This Row],[Co Released ]])</f>
        <v>0</v>
      </c>
      <c r="AB557">
        <f>SUM(Table1[[#This Row],[Pink Kept]],Table1[[#This Row],[Pink Released]])</f>
        <v>0</v>
      </c>
      <c r="AC557">
        <f>SUM(Table1[[#This Row],[Chu Kept]],Table1[[#This Row],[Chu Released]])</f>
        <v>0</v>
      </c>
    </row>
    <row r="558" spans="1:29" x14ac:dyDescent="0.3">
      <c r="A558" s="7">
        <v>45961</v>
      </c>
      <c r="B558">
        <v>11</v>
      </c>
      <c r="C558" t="s">
        <v>236</v>
      </c>
      <c r="D558" t="s">
        <v>42</v>
      </c>
      <c r="E558">
        <v>2</v>
      </c>
      <c r="F558">
        <v>2</v>
      </c>
      <c r="G558">
        <v>4</v>
      </c>
      <c r="H558" t="s">
        <v>241</v>
      </c>
      <c r="I558">
        <v>1</v>
      </c>
      <c r="J558" s="10">
        <v>0.65625</v>
      </c>
      <c r="K558" s="10">
        <v>0.6875</v>
      </c>
      <c r="L558" s="10">
        <f t="shared" si="17"/>
        <v>3.125E-2</v>
      </c>
      <c r="M558" s="12">
        <f t="shared" si="16"/>
        <v>0.75</v>
      </c>
      <c r="N558" s="12">
        <f>Table1[[#This Row],[Trip Hours]]*Table1[[#This Row],['#Angler]]</f>
        <v>0.75</v>
      </c>
      <c r="O558" t="s">
        <v>349</v>
      </c>
      <c r="P558" t="s">
        <v>186</v>
      </c>
      <c r="Q558" t="s">
        <v>224</v>
      </c>
      <c r="R558" s="11">
        <v>0</v>
      </c>
      <c r="S558">
        <v>0</v>
      </c>
      <c r="T558">
        <v>0</v>
      </c>
      <c r="U558">
        <v>0</v>
      </c>
      <c r="V558" s="11">
        <v>0</v>
      </c>
      <c r="W558">
        <v>0</v>
      </c>
      <c r="X558">
        <v>0</v>
      </c>
      <c r="Y558">
        <v>0</v>
      </c>
      <c r="Z558" s="11">
        <f>SUM(Table1[[#This Row],[Chi Kept]],Table1[[#This Row],[Chi Released]])</f>
        <v>0</v>
      </c>
      <c r="AA558">
        <f>SUM(Table1[[#This Row],[Co Kept]],Table1[[#This Row],[Co Released ]])</f>
        <v>0</v>
      </c>
      <c r="AB558">
        <f>SUM(Table1[[#This Row],[Pink Kept]],Table1[[#This Row],[Pink Released]])</f>
        <v>0</v>
      </c>
      <c r="AC558">
        <f>SUM(Table1[[#This Row],[Chu Kept]],Table1[[#This Row],[Chu Released]])</f>
        <v>0</v>
      </c>
    </row>
    <row r="559" spans="1:29" x14ac:dyDescent="0.3">
      <c r="A559" s="7">
        <v>45961</v>
      </c>
      <c r="B559">
        <v>11</v>
      </c>
      <c r="C559" t="s">
        <v>236</v>
      </c>
      <c r="D559" t="s">
        <v>42</v>
      </c>
      <c r="E559">
        <v>3</v>
      </c>
      <c r="F559">
        <v>2</v>
      </c>
      <c r="G559">
        <v>4</v>
      </c>
      <c r="H559" t="s">
        <v>241</v>
      </c>
      <c r="I559">
        <v>1</v>
      </c>
      <c r="J559" s="10">
        <v>0.67708333333333337</v>
      </c>
      <c r="K559" s="10">
        <v>0.68819444444444444</v>
      </c>
      <c r="L559" s="10">
        <f t="shared" si="17"/>
        <v>1.1111111111111072E-2</v>
      </c>
      <c r="M559" s="12">
        <f t="shared" si="16"/>
        <v>0.26666666666666572</v>
      </c>
      <c r="N559" s="12">
        <f>Table1[[#This Row],[Trip Hours]]*Table1[[#This Row],['#Angler]]</f>
        <v>0.26666666666666572</v>
      </c>
      <c r="O559" t="s">
        <v>349</v>
      </c>
      <c r="P559" t="s">
        <v>186</v>
      </c>
      <c r="Q559" t="s">
        <v>224</v>
      </c>
      <c r="R559" s="11">
        <v>0</v>
      </c>
      <c r="S559">
        <v>0</v>
      </c>
      <c r="T559">
        <v>0</v>
      </c>
      <c r="U559">
        <v>0</v>
      </c>
      <c r="V559" s="11">
        <v>0</v>
      </c>
      <c r="W559">
        <v>0</v>
      </c>
      <c r="X559">
        <v>0</v>
      </c>
      <c r="Y559">
        <v>0</v>
      </c>
      <c r="Z559" s="11">
        <f>SUM(Table1[[#This Row],[Chi Kept]],Table1[[#This Row],[Chi Released]])</f>
        <v>0</v>
      </c>
      <c r="AA559">
        <f>SUM(Table1[[#This Row],[Co Kept]],Table1[[#This Row],[Co Released ]])</f>
        <v>0</v>
      </c>
      <c r="AB559">
        <f>SUM(Table1[[#This Row],[Pink Kept]],Table1[[#This Row],[Pink Released]])</f>
        <v>0</v>
      </c>
      <c r="AC559">
        <f>SUM(Table1[[#This Row],[Chu Kept]],Table1[[#This Row],[Chu Released]])</f>
        <v>0</v>
      </c>
    </row>
    <row r="560" spans="1:29" x14ac:dyDescent="0.3">
      <c r="A560" s="7">
        <v>45961</v>
      </c>
      <c r="B560">
        <v>11</v>
      </c>
      <c r="C560" t="s">
        <v>236</v>
      </c>
      <c r="D560" t="s">
        <v>42</v>
      </c>
      <c r="E560">
        <v>4</v>
      </c>
      <c r="F560">
        <v>2</v>
      </c>
      <c r="G560">
        <v>4</v>
      </c>
      <c r="H560" t="s">
        <v>241</v>
      </c>
      <c r="I560">
        <v>1</v>
      </c>
      <c r="J560" s="10">
        <v>0.64583333333333337</v>
      </c>
      <c r="K560" s="10">
        <v>0.68888888888888888</v>
      </c>
      <c r="L560" s="10">
        <f t="shared" si="17"/>
        <v>4.3055555555555514E-2</v>
      </c>
      <c r="M560" s="12">
        <f t="shared" si="16"/>
        <v>1.0333333333333323</v>
      </c>
      <c r="N560" s="12">
        <f>Table1[[#This Row],[Trip Hours]]*Table1[[#This Row],['#Angler]]</f>
        <v>1.0333333333333323</v>
      </c>
      <c r="O560" t="s">
        <v>349</v>
      </c>
      <c r="P560" t="s">
        <v>186</v>
      </c>
      <c r="Q560" t="s">
        <v>224</v>
      </c>
      <c r="R560" s="11">
        <v>0</v>
      </c>
      <c r="S560">
        <v>0</v>
      </c>
      <c r="T560">
        <v>0</v>
      </c>
      <c r="U560">
        <v>1</v>
      </c>
      <c r="V560" s="11">
        <v>0</v>
      </c>
      <c r="W560">
        <v>0</v>
      </c>
      <c r="X560">
        <v>0</v>
      </c>
      <c r="Y560">
        <v>1</v>
      </c>
      <c r="Z560" s="11">
        <f>SUM(Table1[[#This Row],[Chi Kept]],Table1[[#This Row],[Chi Released]])</f>
        <v>0</v>
      </c>
      <c r="AA560">
        <f>SUM(Table1[[#This Row],[Co Kept]],Table1[[#This Row],[Co Released ]])</f>
        <v>0</v>
      </c>
      <c r="AB560">
        <f>SUM(Table1[[#This Row],[Pink Kept]],Table1[[#This Row],[Pink Released]])</f>
        <v>0</v>
      </c>
      <c r="AC560">
        <f>SUM(Table1[[#This Row],[Chu Kept]],Table1[[#This Row],[Chu Released]])</f>
        <v>2</v>
      </c>
    </row>
    <row r="561" spans="1:29" x14ac:dyDescent="0.3">
      <c r="A561" s="7">
        <v>45961</v>
      </c>
      <c r="B561">
        <v>11</v>
      </c>
      <c r="C561" t="s">
        <v>236</v>
      </c>
      <c r="D561" t="s">
        <v>42</v>
      </c>
      <c r="E561">
        <v>5</v>
      </c>
      <c r="F561">
        <v>2</v>
      </c>
      <c r="G561">
        <v>4</v>
      </c>
      <c r="H561" t="s">
        <v>241</v>
      </c>
      <c r="I561">
        <v>1</v>
      </c>
      <c r="J561" s="10">
        <v>0.66666666666666663</v>
      </c>
      <c r="K561" s="10">
        <v>0.68958333333333333</v>
      </c>
      <c r="L561" s="10">
        <f t="shared" si="17"/>
        <v>2.2916666666666696E-2</v>
      </c>
      <c r="M561" s="12">
        <f t="shared" si="16"/>
        <v>0.55000000000000071</v>
      </c>
      <c r="N561" s="12">
        <f>Table1[[#This Row],[Trip Hours]]*Table1[[#This Row],['#Angler]]</f>
        <v>0.55000000000000071</v>
      </c>
      <c r="O561" t="s">
        <v>349</v>
      </c>
      <c r="P561" t="s">
        <v>186</v>
      </c>
      <c r="Q561" t="s">
        <v>224</v>
      </c>
      <c r="R561" s="11">
        <v>0</v>
      </c>
      <c r="S561">
        <v>0</v>
      </c>
      <c r="T561">
        <v>0</v>
      </c>
      <c r="U561">
        <v>0</v>
      </c>
      <c r="V561" s="11">
        <v>0</v>
      </c>
      <c r="W561">
        <v>0</v>
      </c>
      <c r="X561">
        <v>0</v>
      </c>
      <c r="Y561">
        <v>0</v>
      </c>
      <c r="Z561" s="11">
        <f>SUM(Table1[[#This Row],[Chi Kept]],Table1[[#This Row],[Chi Released]])</f>
        <v>0</v>
      </c>
      <c r="AA561">
        <f>SUM(Table1[[#This Row],[Co Kept]],Table1[[#This Row],[Co Released ]])</f>
        <v>0</v>
      </c>
      <c r="AB561">
        <f>SUM(Table1[[#This Row],[Pink Kept]],Table1[[#This Row],[Pink Released]])</f>
        <v>0</v>
      </c>
      <c r="AC561">
        <f>SUM(Table1[[#This Row],[Chu Kept]],Table1[[#This Row],[Chu Released]])</f>
        <v>0</v>
      </c>
    </row>
    <row r="562" spans="1:29" x14ac:dyDescent="0.3">
      <c r="A562" s="7">
        <v>45961</v>
      </c>
      <c r="B562">
        <v>11</v>
      </c>
      <c r="C562" t="s">
        <v>236</v>
      </c>
      <c r="D562" t="s">
        <v>42</v>
      </c>
      <c r="E562">
        <v>6</v>
      </c>
      <c r="F562">
        <v>2</v>
      </c>
      <c r="G562">
        <v>4</v>
      </c>
      <c r="H562" t="s">
        <v>241</v>
      </c>
      <c r="I562">
        <v>1</v>
      </c>
      <c r="J562" s="10">
        <v>0.67361111111111116</v>
      </c>
      <c r="K562" s="10">
        <v>0.69027777777777777</v>
      </c>
      <c r="L562" s="10">
        <f t="shared" si="17"/>
        <v>1.6666666666666607E-2</v>
      </c>
      <c r="M562" s="12">
        <f t="shared" si="16"/>
        <v>0.39999999999999858</v>
      </c>
      <c r="N562" s="12">
        <f>Table1[[#This Row],[Trip Hours]]*Table1[[#This Row],['#Angler]]</f>
        <v>0.39999999999999858</v>
      </c>
      <c r="O562" t="s">
        <v>349</v>
      </c>
      <c r="P562" t="s">
        <v>186</v>
      </c>
      <c r="Q562" t="s">
        <v>224</v>
      </c>
      <c r="R562" s="11">
        <v>0</v>
      </c>
      <c r="S562">
        <v>0</v>
      </c>
      <c r="T562">
        <v>0</v>
      </c>
      <c r="U562">
        <v>0</v>
      </c>
      <c r="V562" s="11">
        <v>0</v>
      </c>
      <c r="W562">
        <v>0</v>
      </c>
      <c r="X562">
        <v>0</v>
      </c>
      <c r="Y562">
        <v>0</v>
      </c>
      <c r="Z562" s="11">
        <f>SUM(Table1[[#This Row],[Chi Kept]],Table1[[#This Row],[Chi Released]])</f>
        <v>0</v>
      </c>
      <c r="AA562">
        <f>SUM(Table1[[#This Row],[Co Kept]],Table1[[#This Row],[Co Released ]])</f>
        <v>0</v>
      </c>
      <c r="AB562">
        <f>SUM(Table1[[#This Row],[Pink Kept]],Table1[[#This Row],[Pink Released]])</f>
        <v>0</v>
      </c>
      <c r="AC562">
        <f>SUM(Table1[[#This Row],[Chu Kept]],Table1[[#This Row],[Chu Released]])</f>
        <v>0</v>
      </c>
    </row>
    <row r="563" spans="1:29" x14ac:dyDescent="0.3">
      <c r="A563" s="7">
        <v>45961</v>
      </c>
      <c r="B563">
        <v>11</v>
      </c>
      <c r="C563" t="s">
        <v>236</v>
      </c>
      <c r="D563" t="s">
        <v>42</v>
      </c>
      <c r="E563">
        <v>7</v>
      </c>
      <c r="F563">
        <v>2</v>
      </c>
      <c r="G563">
        <v>4</v>
      </c>
      <c r="H563" t="s">
        <v>241</v>
      </c>
      <c r="I563">
        <v>1</v>
      </c>
      <c r="J563" s="10">
        <v>0.64583333333333337</v>
      </c>
      <c r="K563" s="10">
        <v>0.70972222222222225</v>
      </c>
      <c r="L563" s="10">
        <f t="shared" si="17"/>
        <v>6.3888888888888884E-2</v>
      </c>
      <c r="M563" s="12">
        <f t="shared" si="16"/>
        <v>1.5333333333333332</v>
      </c>
      <c r="N563" s="12">
        <f>Table1[[#This Row],[Trip Hours]]*Table1[[#This Row],['#Angler]]</f>
        <v>1.5333333333333332</v>
      </c>
      <c r="O563" t="s">
        <v>342</v>
      </c>
      <c r="Q563" t="s">
        <v>224</v>
      </c>
      <c r="R563" s="11">
        <v>0</v>
      </c>
      <c r="S563">
        <v>0</v>
      </c>
      <c r="T563">
        <v>0</v>
      </c>
      <c r="U563">
        <v>1</v>
      </c>
      <c r="V563" s="11">
        <v>0</v>
      </c>
      <c r="W563">
        <v>0</v>
      </c>
      <c r="X563">
        <v>0</v>
      </c>
      <c r="Y563">
        <v>0</v>
      </c>
      <c r="Z563" s="11">
        <f>SUM(Table1[[#This Row],[Chi Kept]],Table1[[#This Row],[Chi Released]])</f>
        <v>0</v>
      </c>
      <c r="AA563">
        <f>SUM(Table1[[#This Row],[Co Kept]],Table1[[#This Row],[Co Released ]])</f>
        <v>0</v>
      </c>
      <c r="AB563">
        <f>SUM(Table1[[#This Row],[Pink Kept]],Table1[[#This Row],[Pink Released]])</f>
        <v>0</v>
      </c>
      <c r="AC563">
        <f>SUM(Table1[[#This Row],[Chu Kept]],Table1[[#This Row],[Chu Released]])</f>
        <v>1</v>
      </c>
    </row>
    <row r="564" spans="1:29" x14ac:dyDescent="0.3">
      <c r="A564" s="7">
        <v>45961</v>
      </c>
      <c r="B564">
        <v>11</v>
      </c>
      <c r="C564" t="s">
        <v>236</v>
      </c>
      <c r="D564" t="s">
        <v>42</v>
      </c>
      <c r="E564">
        <v>8</v>
      </c>
      <c r="F564">
        <v>2</v>
      </c>
      <c r="G564">
        <v>4</v>
      </c>
      <c r="H564" t="s">
        <v>241</v>
      </c>
      <c r="I564">
        <v>1</v>
      </c>
      <c r="J564" s="10">
        <v>0.64583333333333337</v>
      </c>
      <c r="K564" s="10">
        <v>0.73402777777777772</v>
      </c>
      <c r="L564" s="10">
        <f t="shared" si="17"/>
        <v>8.8194444444444353E-2</v>
      </c>
      <c r="M564" s="12">
        <f t="shared" si="16"/>
        <v>2.1166666666666645</v>
      </c>
      <c r="N564" s="12">
        <f>Table1[[#This Row],[Trip Hours]]*Table1[[#This Row],['#Angler]]</f>
        <v>2.1166666666666645</v>
      </c>
      <c r="O564" t="s">
        <v>342</v>
      </c>
      <c r="Q564" t="s">
        <v>224</v>
      </c>
      <c r="R564" s="11">
        <v>0</v>
      </c>
      <c r="S564">
        <v>0</v>
      </c>
      <c r="T564">
        <v>0</v>
      </c>
      <c r="U564">
        <v>0</v>
      </c>
      <c r="V564" s="11">
        <v>0</v>
      </c>
      <c r="W564">
        <v>0</v>
      </c>
      <c r="X564">
        <v>0</v>
      </c>
      <c r="Y564">
        <v>0</v>
      </c>
      <c r="Z564" s="11">
        <f>SUM(Table1[[#This Row],[Chi Kept]],Table1[[#This Row],[Chi Released]])</f>
        <v>0</v>
      </c>
      <c r="AA564">
        <f>SUM(Table1[[#This Row],[Co Kept]],Table1[[#This Row],[Co Released ]])</f>
        <v>0</v>
      </c>
      <c r="AB564">
        <f>SUM(Table1[[#This Row],[Pink Kept]],Table1[[#This Row],[Pink Released]])</f>
        <v>0</v>
      </c>
      <c r="AC564">
        <f>SUM(Table1[[#This Row],[Chu Kept]],Table1[[#This Row],[Chu Released]])</f>
        <v>0</v>
      </c>
    </row>
    <row r="565" spans="1:29" x14ac:dyDescent="0.3">
      <c r="A565" s="7">
        <v>45961</v>
      </c>
      <c r="B565">
        <v>11</v>
      </c>
      <c r="C565" t="s">
        <v>236</v>
      </c>
      <c r="D565" t="s">
        <v>42</v>
      </c>
      <c r="E565">
        <v>9</v>
      </c>
      <c r="F565">
        <v>2</v>
      </c>
      <c r="G565">
        <v>4</v>
      </c>
      <c r="H565" t="s">
        <v>241</v>
      </c>
      <c r="I565">
        <v>1</v>
      </c>
      <c r="J565" s="10">
        <v>0.64583333333333337</v>
      </c>
      <c r="K565" s="10">
        <v>0.73958333333333337</v>
      </c>
      <c r="L565" s="10">
        <f t="shared" si="17"/>
        <v>9.375E-2</v>
      </c>
      <c r="M565" s="12">
        <f t="shared" si="16"/>
        <v>2.25</v>
      </c>
      <c r="N565" s="12">
        <f>Table1[[#This Row],[Trip Hours]]*Table1[[#This Row],['#Angler]]</f>
        <v>2.25</v>
      </c>
      <c r="O565" t="s">
        <v>349</v>
      </c>
      <c r="P565" t="s">
        <v>186</v>
      </c>
      <c r="Q565" t="s">
        <v>224</v>
      </c>
      <c r="R565" s="11">
        <v>0</v>
      </c>
      <c r="S565">
        <v>0</v>
      </c>
      <c r="T565">
        <v>0</v>
      </c>
      <c r="U565">
        <v>0</v>
      </c>
      <c r="V565" s="11">
        <v>0</v>
      </c>
      <c r="W565">
        <v>0</v>
      </c>
      <c r="X565">
        <v>0</v>
      </c>
      <c r="Y565">
        <v>0</v>
      </c>
      <c r="Z565" s="11">
        <f>SUM(Table1[[#This Row],[Chi Kept]],Table1[[#This Row],[Chi Released]])</f>
        <v>0</v>
      </c>
      <c r="AA565">
        <f>SUM(Table1[[#This Row],[Co Kept]],Table1[[#This Row],[Co Released ]])</f>
        <v>0</v>
      </c>
      <c r="AB565">
        <f>SUM(Table1[[#This Row],[Pink Kept]],Table1[[#This Row],[Pink Released]])</f>
        <v>0</v>
      </c>
      <c r="AC565">
        <f>SUM(Table1[[#This Row],[Chu Kept]],Table1[[#This Row],[Chu Released]])</f>
        <v>0</v>
      </c>
    </row>
    <row r="566" spans="1:29" x14ac:dyDescent="0.3">
      <c r="A566" s="7">
        <v>45961</v>
      </c>
      <c r="B566">
        <v>11</v>
      </c>
      <c r="C566" t="s">
        <v>236</v>
      </c>
      <c r="D566" t="s">
        <v>42</v>
      </c>
      <c r="E566">
        <v>10</v>
      </c>
      <c r="F566">
        <v>2</v>
      </c>
      <c r="G566">
        <v>4</v>
      </c>
      <c r="H566" t="s">
        <v>241</v>
      </c>
      <c r="I566">
        <v>2</v>
      </c>
      <c r="J566" s="10">
        <v>0.69791666666666663</v>
      </c>
      <c r="K566" s="10">
        <v>0.73958333333333337</v>
      </c>
      <c r="L566" s="10">
        <f t="shared" si="17"/>
        <v>4.1666666666666741E-2</v>
      </c>
      <c r="M566" s="12">
        <f t="shared" si="16"/>
        <v>1.0000000000000018</v>
      </c>
      <c r="N566" s="12">
        <f>Table1[[#This Row],[Trip Hours]]*Table1[[#This Row],['#Angler]]</f>
        <v>2.0000000000000036</v>
      </c>
      <c r="O566" t="s">
        <v>342</v>
      </c>
      <c r="Q566" t="s">
        <v>224</v>
      </c>
      <c r="R566" s="11">
        <v>0</v>
      </c>
      <c r="S566">
        <v>0</v>
      </c>
      <c r="T566">
        <v>0</v>
      </c>
      <c r="U566">
        <v>1</v>
      </c>
      <c r="V566" s="11">
        <v>0</v>
      </c>
      <c r="W566">
        <v>0</v>
      </c>
      <c r="X566">
        <v>0</v>
      </c>
      <c r="Y566">
        <v>1</v>
      </c>
      <c r="Z566" s="11">
        <f>SUM(Table1[[#This Row],[Chi Kept]],Table1[[#This Row],[Chi Released]])</f>
        <v>0</v>
      </c>
      <c r="AA566">
        <f>SUM(Table1[[#This Row],[Co Kept]],Table1[[#This Row],[Co Released ]])</f>
        <v>0</v>
      </c>
      <c r="AB566">
        <f>SUM(Table1[[#This Row],[Pink Kept]],Table1[[#This Row],[Pink Released]])</f>
        <v>0</v>
      </c>
      <c r="AC566">
        <f>SUM(Table1[[#This Row],[Chu Kept]],Table1[[#This Row],[Chu Released]])</f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8468-DB7E-41A8-8010-4A9FA5292122}">
  <dimension ref="A1:AE216"/>
  <sheetViews>
    <sheetView workbookViewId="0"/>
  </sheetViews>
  <sheetFormatPr defaultRowHeight="14.4" x14ac:dyDescent="0.3"/>
  <cols>
    <col min="1" max="1" width="13.88671875" customWidth="1"/>
    <col min="7" max="7" width="10" customWidth="1"/>
    <col min="8" max="8" width="12.109375" customWidth="1"/>
    <col min="9" max="9" width="9.109375" customWidth="1"/>
    <col min="12" max="12" width="10.109375" customWidth="1"/>
    <col min="13" max="13" width="13.33203125" customWidth="1"/>
    <col min="14" max="14" width="13.6640625" customWidth="1"/>
    <col min="17" max="17" width="10" customWidth="1"/>
    <col min="18" max="18" width="9.21875" style="11" customWidth="1"/>
    <col min="19" max="19" width="10.77734375" customWidth="1"/>
    <col min="20" max="20" width="10.44140625" customWidth="1"/>
    <col min="21" max="21" width="14.21875" customWidth="1"/>
    <col min="22" max="22" width="14" style="11" customWidth="1"/>
    <col min="23" max="23" width="14.6640625" customWidth="1"/>
    <col min="24" max="24" width="14.33203125" customWidth="1"/>
    <col min="25" max="25" width="15.5546875" customWidth="1"/>
    <col min="26" max="26" width="14.88671875" style="11" customWidth="1"/>
    <col min="27" max="27" width="16.33203125" customWidth="1"/>
    <col min="28" max="28" width="16.109375" customWidth="1"/>
    <col min="29" max="29" width="9.88671875" customWidth="1"/>
    <col min="30" max="30" width="12" style="11" customWidth="1"/>
  </cols>
  <sheetData>
    <row r="1" spans="1:31" x14ac:dyDescent="0.3">
      <c r="A1" s="13" t="s">
        <v>1</v>
      </c>
      <c r="B1" s="14" t="s">
        <v>225</v>
      </c>
      <c r="C1" s="14" t="s">
        <v>226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227</v>
      </c>
      <c r="J1" s="15" t="s">
        <v>8</v>
      </c>
      <c r="K1" s="15" t="s">
        <v>9</v>
      </c>
      <c r="L1" s="15" t="s">
        <v>228</v>
      </c>
      <c r="M1" s="16" t="s">
        <v>229</v>
      </c>
      <c r="N1" s="16" t="s">
        <v>230</v>
      </c>
      <c r="O1" s="14" t="s">
        <v>11</v>
      </c>
      <c r="P1" s="14" t="s">
        <v>12</v>
      </c>
      <c r="Q1" s="14" t="s">
        <v>13</v>
      </c>
      <c r="R1" s="17" t="s">
        <v>14</v>
      </c>
      <c r="S1" s="14" t="s">
        <v>15</v>
      </c>
      <c r="T1" s="14" t="s">
        <v>16</v>
      </c>
      <c r="U1" s="14" t="s">
        <v>17</v>
      </c>
      <c r="V1" s="17" t="s">
        <v>18</v>
      </c>
      <c r="W1" s="14" t="s">
        <v>231</v>
      </c>
      <c r="X1" s="14" t="s">
        <v>340</v>
      </c>
      <c r="Y1" s="14" t="s">
        <v>21</v>
      </c>
      <c r="Z1" s="17" t="s">
        <v>232</v>
      </c>
      <c r="AA1" s="14" t="s">
        <v>233</v>
      </c>
      <c r="AB1" s="14" t="s">
        <v>341</v>
      </c>
      <c r="AC1" s="14" t="s">
        <v>234</v>
      </c>
      <c r="AD1" s="17" t="s">
        <v>235</v>
      </c>
      <c r="AE1" s="14" t="s">
        <v>24</v>
      </c>
    </row>
    <row r="2" spans="1:31" x14ac:dyDescent="0.3">
      <c r="A2" s="7">
        <v>45962</v>
      </c>
      <c r="B2">
        <v>11</v>
      </c>
      <c r="C2" t="s">
        <v>250</v>
      </c>
      <c r="D2" t="s">
        <v>26</v>
      </c>
      <c r="E2">
        <v>1</v>
      </c>
      <c r="F2">
        <v>3</v>
      </c>
      <c r="G2">
        <v>6</v>
      </c>
      <c r="H2" t="s">
        <v>241</v>
      </c>
      <c r="I2">
        <v>1</v>
      </c>
      <c r="J2" s="10">
        <v>0.29236111111111113</v>
      </c>
      <c r="K2" s="10">
        <v>0.3611111111111111</v>
      </c>
      <c r="L2" s="10">
        <f t="shared" ref="L2:L193" si="0">K2-J2</f>
        <v>6.8749999999999978E-2</v>
      </c>
      <c r="M2" s="12">
        <f t="shared" ref="M2:M216" si="1">L2*24</f>
        <v>1.6499999999999995</v>
      </c>
      <c r="N2" s="12">
        <f>InterviewsRaw[[#This Row],[Trip Hours]]*InterviewsRaw[[#This Row],['#Angler]]</f>
        <v>1.6499999999999995</v>
      </c>
      <c r="O2" t="s">
        <v>342</v>
      </c>
      <c r="Q2" t="s">
        <v>224</v>
      </c>
      <c r="R2" s="11">
        <v>0</v>
      </c>
      <c r="S2">
        <v>0</v>
      </c>
      <c r="T2">
        <v>0</v>
      </c>
      <c r="U2">
        <v>1</v>
      </c>
      <c r="V2" s="11">
        <v>0</v>
      </c>
      <c r="W2">
        <v>0</v>
      </c>
      <c r="X2">
        <v>0</v>
      </c>
      <c r="Y2">
        <v>0</v>
      </c>
      <c r="Z2" s="11">
        <f>InterviewsRaw[[#This Row],[Chi Kept]]+InterviewsRaw[[#This Row],[Chi Released]]</f>
        <v>0</v>
      </c>
      <c r="AA2">
        <f>InterviewsRaw[[#This Row],[Co Kept]]+InterviewsRaw[[#This Row],[Co Released ]]</f>
        <v>0</v>
      </c>
      <c r="AB2">
        <f>InterviewsRaw[[#This Row],[Pink Kept]]+InterviewsRaw[[#This Row],[Pink Released]]</f>
        <v>0</v>
      </c>
      <c r="AC2">
        <f>InterviewsRaw[[#This Row],[Chu Kept]]+InterviewsRaw[[#This Row],[Chu Released]]</f>
        <v>1</v>
      </c>
    </row>
    <row r="3" spans="1:31" x14ac:dyDescent="0.3">
      <c r="A3" s="7">
        <v>45962</v>
      </c>
      <c r="B3">
        <v>11</v>
      </c>
      <c r="C3" t="s">
        <v>250</v>
      </c>
      <c r="D3" t="s">
        <v>26</v>
      </c>
      <c r="E3">
        <v>2</v>
      </c>
      <c r="F3">
        <v>3</v>
      </c>
      <c r="G3">
        <v>6</v>
      </c>
      <c r="H3" t="s">
        <v>241</v>
      </c>
      <c r="I3">
        <v>1</v>
      </c>
      <c r="J3" s="10">
        <v>0.33333333333333331</v>
      </c>
      <c r="K3" s="10">
        <v>0.38194444444444442</v>
      </c>
      <c r="L3" s="10">
        <f t="shared" si="0"/>
        <v>4.8611111111111105E-2</v>
      </c>
      <c r="M3" s="12">
        <f t="shared" si="1"/>
        <v>1.1666666666666665</v>
      </c>
      <c r="N3" s="12">
        <f>InterviewsRaw[[#This Row],[Trip Hours]]*InterviewsRaw[[#This Row],['#Angler]]</f>
        <v>1.1666666666666665</v>
      </c>
      <c r="O3" t="s">
        <v>342</v>
      </c>
      <c r="P3" t="s">
        <v>186</v>
      </c>
      <c r="Q3" t="s">
        <v>224</v>
      </c>
      <c r="R3" s="11">
        <v>0</v>
      </c>
      <c r="S3">
        <v>0</v>
      </c>
      <c r="T3">
        <v>0</v>
      </c>
      <c r="U3">
        <v>0</v>
      </c>
      <c r="V3" s="11">
        <v>0</v>
      </c>
      <c r="W3">
        <v>0</v>
      </c>
      <c r="X3">
        <v>0</v>
      </c>
      <c r="Y3">
        <v>0</v>
      </c>
      <c r="Z3" s="11">
        <f>InterviewsRaw[[#This Row],[Chi Kept]]+InterviewsRaw[[#This Row],[Chi Released]]</f>
        <v>0</v>
      </c>
      <c r="AA3">
        <f>InterviewsRaw[[#This Row],[Co Kept]]+InterviewsRaw[[#This Row],[Co Released ]]</f>
        <v>0</v>
      </c>
      <c r="AB3">
        <f>InterviewsRaw[[#This Row],[Pink Kept]]+InterviewsRaw[[#This Row],[Pink Released]]</f>
        <v>0</v>
      </c>
      <c r="AC3">
        <f>InterviewsRaw[[#This Row],[Chu Kept]]+InterviewsRaw[[#This Row],[Chu Released]]</f>
        <v>0</v>
      </c>
    </row>
    <row r="4" spans="1:31" x14ac:dyDescent="0.3">
      <c r="A4" s="7">
        <v>45962</v>
      </c>
      <c r="B4">
        <v>11</v>
      </c>
      <c r="C4" t="s">
        <v>250</v>
      </c>
      <c r="D4" t="s">
        <v>26</v>
      </c>
      <c r="E4">
        <v>3</v>
      </c>
      <c r="F4">
        <v>3</v>
      </c>
      <c r="G4">
        <v>8</v>
      </c>
      <c r="H4" t="s">
        <v>241</v>
      </c>
      <c r="I4">
        <v>2</v>
      </c>
      <c r="J4" s="10">
        <v>0.3125</v>
      </c>
      <c r="K4" s="10">
        <v>0.40277777777777779</v>
      </c>
      <c r="L4" s="10">
        <f t="shared" si="0"/>
        <v>9.027777777777779E-2</v>
      </c>
      <c r="M4" s="12">
        <f t="shared" si="1"/>
        <v>2.166666666666667</v>
      </c>
      <c r="N4" s="12">
        <f>InterviewsRaw[[#This Row],[Trip Hours]]*InterviewsRaw[[#This Row],['#Angler]]</f>
        <v>4.3333333333333339</v>
      </c>
      <c r="O4" t="s">
        <v>342</v>
      </c>
      <c r="Q4" t="s">
        <v>224</v>
      </c>
      <c r="R4" s="11">
        <v>0</v>
      </c>
      <c r="S4">
        <v>0</v>
      </c>
      <c r="T4">
        <v>0</v>
      </c>
      <c r="U4">
        <v>0</v>
      </c>
      <c r="V4" s="11">
        <v>0</v>
      </c>
      <c r="W4">
        <v>0</v>
      </c>
      <c r="X4">
        <v>0</v>
      </c>
      <c r="Y4">
        <v>1</v>
      </c>
      <c r="Z4" s="11">
        <f>InterviewsRaw[[#This Row],[Chi Kept]]+InterviewsRaw[[#This Row],[Chi Released]]</f>
        <v>0</v>
      </c>
      <c r="AA4">
        <f>InterviewsRaw[[#This Row],[Co Kept]]+InterviewsRaw[[#This Row],[Co Released ]]</f>
        <v>0</v>
      </c>
      <c r="AB4">
        <f>InterviewsRaw[[#This Row],[Pink Kept]]+InterviewsRaw[[#This Row],[Pink Released]]</f>
        <v>0</v>
      </c>
      <c r="AC4">
        <f>InterviewsRaw[[#This Row],[Chu Kept]]+InterviewsRaw[[#This Row],[Chu Released]]</f>
        <v>1</v>
      </c>
    </row>
    <row r="5" spans="1:31" x14ac:dyDescent="0.3">
      <c r="A5" s="7">
        <v>45962</v>
      </c>
      <c r="B5">
        <v>11</v>
      </c>
      <c r="C5" t="s">
        <v>250</v>
      </c>
      <c r="D5" t="s">
        <v>26</v>
      </c>
      <c r="E5">
        <v>4</v>
      </c>
      <c r="F5">
        <v>4</v>
      </c>
      <c r="G5">
        <v>1</v>
      </c>
      <c r="H5" t="s">
        <v>241</v>
      </c>
      <c r="I5">
        <v>1</v>
      </c>
      <c r="J5" s="10">
        <v>0.38541666666666669</v>
      </c>
      <c r="K5" s="10">
        <v>0.41805555555555557</v>
      </c>
      <c r="L5" s="10">
        <f t="shared" si="0"/>
        <v>3.2638888888888884E-2</v>
      </c>
      <c r="M5" s="12">
        <f t="shared" si="1"/>
        <v>0.78333333333333321</v>
      </c>
      <c r="N5" s="12">
        <f>InterviewsRaw[[#This Row],[Trip Hours]]*InterviewsRaw[[#This Row],['#Angler]]</f>
        <v>0.78333333333333321</v>
      </c>
      <c r="O5" t="s">
        <v>349</v>
      </c>
      <c r="Q5" t="s">
        <v>224</v>
      </c>
      <c r="R5" s="11">
        <v>0</v>
      </c>
      <c r="S5">
        <v>0</v>
      </c>
      <c r="T5">
        <v>0</v>
      </c>
      <c r="U5">
        <v>0</v>
      </c>
      <c r="V5" s="11">
        <v>0</v>
      </c>
      <c r="W5">
        <v>0</v>
      </c>
      <c r="X5">
        <v>0</v>
      </c>
      <c r="Y5">
        <v>0</v>
      </c>
      <c r="Z5" s="11">
        <f>InterviewsRaw[[#This Row],[Chi Kept]]+InterviewsRaw[[#This Row],[Chi Released]]</f>
        <v>0</v>
      </c>
      <c r="AA5">
        <f>InterviewsRaw[[#This Row],[Co Kept]]+InterviewsRaw[[#This Row],[Co Released ]]</f>
        <v>0</v>
      </c>
      <c r="AB5">
        <f>InterviewsRaw[[#This Row],[Pink Kept]]+InterviewsRaw[[#This Row],[Pink Released]]</f>
        <v>0</v>
      </c>
      <c r="AC5">
        <f>InterviewsRaw[[#This Row],[Chu Kept]]+InterviewsRaw[[#This Row],[Chu Released]]</f>
        <v>0</v>
      </c>
    </row>
    <row r="6" spans="1:31" x14ac:dyDescent="0.3">
      <c r="A6" s="7">
        <v>45962</v>
      </c>
      <c r="B6">
        <v>11</v>
      </c>
      <c r="C6" t="s">
        <v>250</v>
      </c>
      <c r="D6" t="s">
        <v>26</v>
      </c>
      <c r="E6">
        <v>5</v>
      </c>
      <c r="F6">
        <v>4</v>
      </c>
      <c r="G6">
        <v>2</v>
      </c>
      <c r="H6" t="s">
        <v>241</v>
      </c>
      <c r="I6">
        <v>3</v>
      </c>
      <c r="J6" s="10">
        <v>0.3125</v>
      </c>
      <c r="K6" s="10">
        <v>0.42499999999999999</v>
      </c>
      <c r="L6" s="10">
        <f t="shared" si="0"/>
        <v>0.11249999999999999</v>
      </c>
      <c r="M6" s="12">
        <f t="shared" si="1"/>
        <v>2.6999999999999997</v>
      </c>
      <c r="N6" s="12">
        <f>InterviewsRaw[[#This Row],[Trip Hours]]*InterviewsRaw[[#This Row],['#Angler]]</f>
        <v>8.1</v>
      </c>
      <c r="O6" t="s">
        <v>342</v>
      </c>
      <c r="Q6" t="s">
        <v>224</v>
      </c>
      <c r="R6" s="11">
        <v>0</v>
      </c>
      <c r="S6">
        <v>0</v>
      </c>
      <c r="T6">
        <v>0</v>
      </c>
      <c r="U6">
        <v>0</v>
      </c>
      <c r="V6" s="11">
        <v>0</v>
      </c>
      <c r="W6">
        <v>0</v>
      </c>
      <c r="X6">
        <v>0</v>
      </c>
      <c r="Y6">
        <v>0</v>
      </c>
      <c r="Z6" s="11">
        <f>InterviewsRaw[[#This Row],[Chi Kept]]+InterviewsRaw[[#This Row],[Chi Released]]</f>
        <v>0</v>
      </c>
      <c r="AA6">
        <f>InterviewsRaw[[#This Row],[Co Kept]]+InterviewsRaw[[#This Row],[Co Released ]]</f>
        <v>0</v>
      </c>
      <c r="AB6">
        <f>InterviewsRaw[[#This Row],[Pink Kept]]+InterviewsRaw[[#This Row],[Pink Released]]</f>
        <v>0</v>
      </c>
      <c r="AC6">
        <f>InterviewsRaw[[#This Row],[Chu Kept]]+InterviewsRaw[[#This Row],[Chu Released]]</f>
        <v>0</v>
      </c>
    </row>
    <row r="7" spans="1:31" x14ac:dyDescent="0.3">
      <c r="A7" s="7">
        <v>45962</v>
      </c>
      <c r="B7">
        <v>11</v>
      </c>
      <c r="C7" t="s">
        <v>250</v>
      </c>
      <c r="D7" t="s">
        <v>26</v>
      </c>
      <c r="E7">
        <v>6</v>
      </c>
      <c r="F7">
        <v>4</v>
      </c>
      <c r="G7">
        <v>2</v>
      </c>
      <c r="H7" t="s">
        <v>241</v>
      </c>
      <c r="I7">
        <v>2</v>
      </c>
      <c r="J7" s="10">
        <v>0.33333333333333331</v>
      </c>
      <c r="K7" s="10">
        <v>0.42499999999999999</v>
      </c>
      <c r="L7" s="10">
        <f t="shared" si="0"/>
        <v>9.1666666666666674E-2</v>
      </c>
      <c r="M7" s="12">
        <f t="shared" si="1"/>
        <v>2.2000000000000002</v>
      </c>
      <c r="N7" s="12">
        <f>InterviewsRaw[[#This Row],[Trip Hours]]*InterviewsRaw[[#This Row],['#Angler]]</f>
        <v>4.4000000000000004</v>
      </c>
      <c r="O7" t="s">
        <v>342</v>
      </c>
      <c r="Q7" t="s">
        <v>224</v>
      </c>
      <c r="R7" s="11">
        <v>0</v>
      </c>
      <c r="S7">
        <v>0</v>
      </c>
      <c r="T7">
        <v>0</v>
      </c>
      <c r="U7">
        <v>0</v>
      </c>
      <c r="V7" s="11">
        <v>0</v>
      </c>
      <c r="W7">
        <v>0</v>
      </c>
      <c r="X7">
        <v>0</v>
      </c>
      <c r="Y7">
        <v>0</v>
      </c>
      <c r="Z7" s="11">
        <f>InterviewsRaw[[#This Row],[Chi Kept]]+InterviewsRaw[[#This Row],[Chi Released]]</f>
        <v>0</v>
      </c>
      <c r="AA7">
        <f>InterviewsRaw[[#This Row],[Co Kept]]+InterviewsRaw[[#This Row],[Co Released ]]</f>
        <v>0</v>
      </c>
      <c r="AB7">
        <f>InterviewsRaw[[#This Row],[Pink Kept]]+InterviewsRaw[[#This Row],[Pink Released]]</f>
        <v>0</v>
      </c>
      <c r="AC7">
        <f>InterviewsRaw[[#This Row],[Chu Kept]]+InterviewsRaw[[#This Row],[Chu Released]]</f>
        <v>0</v>
      </c>
    </row>
    <row r="8" spans="1:31" x14ac:dyDescent="0.3">
      <c r="A8" s="7">
        <v>45962</v>
      </c>
      <c r="B8">
        <v>11</v>
      </c>
      <c r="C8" t="s">
        <v>250</v>
      </c>
      <c r="D8" t="s">
        <v>26</v>
      </c>
      <c r="E8">
        <v>7</v>
      </c>
      <c r="F8">
        <v>4</v>
      </c>
      <c r="G8">
        <v>3</v>
      </c>
      <c r="H8" t="s">
        <v>241</v>
      </c>
      <c r="I8">
        <v>3</v>
      </c>
      <c r="J8" s="10">
        <v>0.32291666666666669</v>
      </c>
      <c r="K8" s="10">
        <v>0.43055555555555558</v>
      </c>
      <c r="L8" s="10">
        <f t="shared" si="0"/>
        <v>0.1076388888888889</v>
      </c>
      <c r="M8" s="12">
        <f t="shared" si="1"/>
        <v>2.5833333333333335</v>
      </c>
      <c r="N8" s="12">
        <f>InterviewsRaw[[#This Row],[Trip Hours]]*InterviewsRaw[[#This Row],['#Angler]]</f>
        <v>7.75</v>
      </c>
      <c r="O8" t="s">
        <v>342</v>
      </c>
      <c r="Q8" t="s">
        <v>224</v>
      </c>
      <c r="R8" s="11">
        <v>0</v>
      </c>
      <c r="S8">
        <v>0</v>
      </c>
      <c r="T8">
        <v>0</v>
      </c>
      <c r="U8">
        <v>0</v>
      </c>
      <c r="V8" s="11">
        <v>0</v>
      </c>
      <c r="W8">
        <v>0</v>
      </c>
      <c r="X8">
        <v>0</v>
      </c>
      <c r="Y8">
        <v>0</v>
      </c>
      <c r="Z8" s="11">
        <f>InterviewsRaw[[#This Row],[Chi Kept]]+InterviewsRaw[[#This Row],[Chi Released]]</f>
        <v>0</v>
      </c>
      <c r="AA8">
        <f>InterviewsRaw[[#This Row],[Co Kept]]+InterviewsRaw[[#This Row],[Co Released ]]</f>
        <v>0</v>
      </c>
      <c r="AB8">
        <f>InterviewsRaw[[#This Row],[Pink Kept]]+InterviewsRaw[[#This Row],[Pink Released]]</f>
        <v>0</v>
      </c>
      <c r="AC8">
        <f>InterviewsRaw[[#This Row],[Chu Kept]]+InterviewsRaw[[#This Row],[Chu Released]]</f>
        <v>0</v>
      </c>
    </row>
    <row r="9" spans="1:31" x14ac:dyDescent="0.3">
      <c r="A9" s="7">
        <v>45962</v>
      </c>
      <c r="B9">
        <v>11</v>
      </c>
      <c r="C9" t="s">
        <v>250</v>
      </c>
      <c r="D9" t="s">
        <v>26</v>
      </c>
      <c r="E9">
        <v>8</v>
      </c>
      <c r="F9">
        <v>4</v>
      </c>
      <c r="G9">
        <v>3</v>
      </c>
      <c r="H9" t="s">
        <v>241</v>
      </c>
      <c r="I9">
        <v>1</v>
      </c>
      <c r="J9" s="10">
        <v>0.27083333333333331</v>
      </c>
      <c r="K9" s="10">
        <v>0.43055555555555558</v>
      </c>
      <c r="L9" s="10">
        <f t="shared" si="0"/>
        <v>0.15972222222222227</v>
      </c>
      <c r="M9" s="12">
        <f t="shared" si="1"/>
        <v>3.8333333333333344</v>
      </c>
      <c r="N9" s="12">
        <f>InterviewsRaw[[#This Row],[Trip Hours]]*InterviewsRaw[[#This Row],['#Angler]]</f>
        <v>3.8333333333333344</v>
      </c>
      <c r="O9" t="s">
        <v>342</v>
      </c>
      <c r="Q9" t="s">
        <v>241</v>
      </c>
      <c r="R9" s="11">
        <v>0</v>
      </c>
      <c r="S9">
        <v>0</v>
      </c>
      <c r="T9">
        <v>0</v>
      </c>
      <c r="U9">
        <v>0</v>
      </c>
      <c r="V9" s="11">
        <v>0</v>
      </c>
      <c r="W9">
        <v>0</v>
      </c>
      <c r="X9">
        <v>0</v>
      </c>
      <c r="Y9">
        <v>0</v>
      </c>
      <c r="Z9" s="11">
        <f>InterviewsRaw[[#This Row],[Chi Kept]]+InterviewsRaw[[#This Row],[Chi Released]]</f>
        <v>0</v>
      </c>
      <c r="AA9">
        <f>InterviewsRaw[[#This Row],[Co Kept]]+InterviewsRaw[[#This Row],[Co Released ]]</f>
        <v>0</v>
      </c>
      <c r="AB9">
        <f>InterviewsRaw[[#This Row],[Pink Kept]]+InterviewsRaw[[#This Row],[Pink Released]]</f>
        <v>0</v>
      </c>
      <c r="AC9">
        <f>InterviewsRaw[[#This Row],[Chu Kept]]+InterviewsRaw[[#This Row],[Chu Released]]</f>
        <v>0</v>
      </c>
    </row>
    <row r="10" spans="1:31" x14ac:dyDescent="0.3">
      <c r="A10" s="7">
        <v>45962</v>
      </c>
      <c r="B10">
        <v>11</v>
      </c>
      <c r="C10" t="s">
        <v>250</v>
      </c>
      <c r="D10" t="s">
        <v>26</v>
      </c>
      <c r="E10">
        <v>9</v>
      </c>
      <c r="F10">
        <v>4</v>
      </c>
      <c r="G10">
        <v>3</v>
      </c>
      <c r="H10" t="s">
        <v>241</v>
      </c>
      <c r="I10">
        <v>2</v>
      </c>
      <c r="J10" s="10">
        <v>0.3125</v>
      </c>
      <c r="K10" s="10">
        <v>0.43333333333333335</v>
      </c>
      <c r="L10" s="10">
        <f t="shared" si="0"/>
        <v>0.12083333333333335</v>
      </c>
      <c r="M10" s="12">
        <f t="shared" si="1"/>
        <v>2.9000000000000004</v>
      </c>
      <c r="N10" s="12">
        <f>InterviewsRaw[[#This Row],[Trip Hours]]*InterviewsRaw[[#This Row],['#Angler]]</f>
        <v>5.8000000000000007</v>
      </c>
      <c r="O10" t="s">
        <v>342</v>
      </c>
      <c r="R10" s="11">
        <v>0</v>
      </c>
      <c r="S10">
        <v>0</v>
      </c>
      <c r="T10">
        <v>0</v>
      </c>
      <c r="U10">
        <v>0</v>
      </c>
      <c r="V10" s="11">
        <v>0</v>
      </c>
      <c r="W10">
        <v>0</v>
      </c>
      <c r="X10">
        <v>0</v>
      </c>
      <c r="Y10">
        <v>0</v>
      </c>
      <c r="Z10" s="11">
        <f>InterviewsRaw[[#This Row],[Chi Kept]]+InterviewsRaw[[#This Row],[Chi Released]]</f>
        <v>0</v>
      </c>
      <c r="AA10">
        <f>InterviewsRaw[[#This Row],[Co Kept]]+InterviewsRaw[[#This Row],[Co Released ]]</f>
        <v>0</v>
      </c>
      <c r="AB10">
        <f>InterviewsRaw[[#This Row],[Pink Kept]]+InterviewsRaw[[#This Row],[Pink Released]]</f>
        <v>0</v>
      </c>
      <c r="AC10">
        <f>InterviewsRaw[[#This Row],[Chu Kept]]+InterviewsRaw[[#This Row],[Chu Released]]</f>
        <v>0</v>
      </c>
    </row>
    <row r="11" spans="1:31" x14ac:dyDescent="0.3">
      <c r="A11" s="7">
        <v>45962</v>
      </c>
      <c r="B11">
        <v>11</v>
      </c>
      <c r="C11" t="s">
        <v>250</v>
      </c>
      <c r="D11" t="s">
        <v>26</v>
      </c>
      <c r="E11">
        <v>10</v>
      </c>
      <c r="F11">
        <v>4</v>
      </c>
      <c r="G11">
        <v>3</v>
      </c>
      <c r="H11" t="s">
        <v>241</v>
      </c>
      <c r="I11">
        <v>2</v>
      </c>
      <c r="J11" s="10">
        <v>0.43055555555555558</v>
      </c>
      <c r="K11" s="10">
        <v>0.44027777777777777</v>
      </c>
      <c r="L11" s="10">
        <f t="shared" si="0"/>
        <v>9.7222222222221877E-3</v>
      </c>
      <c r="M11" s="12">
        <f t="shared" si="1"/>
        <v>0.2333333333333325</v>
      </c>
      <c r="N11" s="12">
        <f>InterviewsRaw[[#This Row],[Trip Hours]]*InterviewsRaw[[#This Row],['#Angler]]</f>
        <v>0.46666666666666501</v>
      </c>
      <c r="O11" t="s">
        <v>349</v>
      </c>
      <c r="Q11" t="s">
        <v>224</v>
      </c>
      <c r="R11" s="11">
        <v>0</v>
      </c>
      <c r="S11">
        <v>0</v>
      </c>
      <c r="T11">
        <v>0</v>
      </c>
      <c r="U11">
        <v>0</v>
      </c>
      <c r="V11" s="11">
        <v>0</v>
      </c>
      <c r="W11">
        <v>0</v>
      </c>
      <c r="X11">
        <v>0</v>
      </c>
      <c r="Y11">
        <v>0</v>
      </c>
      <c r="Z11" s="11">
        <f>InterviewsRaw[[#This Row],[Chi Kept]]+InterviewsRaw[[#This Row],[Chi Released]]</f>
        <v>0</v>
      </c>
      <c r="AA11">
        <f>InterviewsRaw[[#This Row],[Co Kept]]+InterviewsRaw[[#This Row],[Co Released ]]</f>
        <v>0</v>
      </c>
      <c r="AB11">
        <f>InterviewsRaw[[#This Row],[Pink Kept]]+InterviewsRaw[[#This Row],[Pink Released]]</f>
        <v>0</v>
      </c>
      <c r="AC11">
        <f>InterviewsRaw[[#This Row],[Chu Kept]]+InterviewsRaw[[#This Row],[Chu Released]]</f>
        <v>0</v>
      </c>
      <c r="AD11" s="11" t="s">
        <v>371</v>
      </c>
    </row>
    <row r="12" spans="1:31" x14ac:dyDescent="0.3">
      <c r="A12" s="7">
        <v>45962</v>
      </c>
      <c r="B12">
        <v>11</v>
      </c>
      <c r="C12" t="s">
        <v>250</v>
      </c>
      <c r="D12" t="s">
        <v>26</v>
      </c>
      <c r="E12">
        <v>11</v>
      </c>
      <c r="F12">
        <v>4</v>
      </c>
      <c r="G12">
        <v>3</v>
      </c>
      <c r="H12" t="s">
        <v>241</v>
      </c>
      <c r="I12">
        <v>2</v>
      </c>
      <c r="J12" s="10">
        <v>0.375</v>
      </c>
      <c r="K12" s="10">
        <v>0.44027777777777777</v>
      </c>
      <c r="L12" s="10">
        <f t="shared" si="0"/>
        <v>6.5277777777777768E-2</v>
      </c>
      <c r="M12" s="12">
        <f t="shared" si="1"/>
        <v>1.5666666666666664</v>
      </c>
      <c r="N12" s="12">
        <f>InterviewsRaw[[#This Row],[Trip Hours]]*InterviewsRaw[[#This Row],['#Angler]]</f>
        <v>3.1333333333333329</v>
      </c>
      <c r="O12" t="s">
        <v>349</v>
      </c>
      <c r="P12" t="s">
        <v>186</v>
      </c>
      <c r="R12" s="11">
        <v>0</v>
      </c>
      <c r="S12">
        <v>0</v>
      </c>
      <c r="T12">
        <v>0</v>
      </c>
      <c r="U12">
        <v>0</v>
      </c>
      <c r="V12" s="11">
        <v>0</v>
      </c>
      <c r="W12">
        <v>0</v>
      </c>
      <c r="X12">
        <v>0</v>
      </c>
      <c r="Y12">
        <v>0</v>
      </c>
      <c r="Z12" s="11">
        <f>InterviewsRaw[[#This Row],[Chi Kept]]+InterviewsRaw[[#This Row],[Chi Released]]</f>
        <v>0</v>
      </c>
      <c r="AA12">
        <f>InterviewsRaw[[#This Row],[Co Kept]]+InterviewsRaw[[#This Row],[Co Released ]]</f>
        <v>0</v>
      </c>
      <c r="AB12">
        <f>InterviewsRaw[[#This Row],[Pink Kept]]+InterviewsRaw[[#This Row],[Pink Released]]</f>
        <v>0</v>
      </c>
      <c r="AC12">
        <f>InterviewsRaw[[#This Row],[Chu Kept]]+InterviewsRaw[[#This Row],[Chu Released]]</f>
        <v>0</v>
      </c>
    </row>
    <row r="13" spans="1:31" x14ac:dyDescent="0.3">
      <c r="A13" s="7">
        <v>45962</v>
      </c>
      <c r="B13">
        <v>11</v>
      </c>
      <c r="C13" t="s">
        <v>250</v>
      </c>
      <c r="D13" t="s">
        <v>42</v>
      </c>
      <c r="E13">
        <v>12</v>
      </c>
      <c r="F13">
        <v>4</v>
      </c>
      <c r="G13">
        <v>3</v>
      </c>
      <c r="H13" t="s">
        <v>241</v>
      </c>
      <c r="I13">
        <v>1</v>
      </c>
      <c r="J13" s="10">
        <v>0.54166666666666663</v>
      </c>
      <c r="K13" s="10">
        <v>0.59097222222222223</v>
      </c>
      <c r="L13" s="10">
        <f t="shared" si="0"/>
        <v>4.9305555555555602E-2</v>
      </c>
      <c r="M13" s="12">
        <f t="shared" si="1"/>
        <v>1.1833333333333345</v>
      </c>
      <c r="N13" s="12">
        <f>InterviewsRaw[[#This Row],[Trip Hours]]*InterviewsRaw[[#This Row],['#Angler]]</f>
        <v>1.1833333333333345</v>
      </c>
      <c r="O13" t="s">
        <v>342</v>
      </c>
      <c r="Q13" t="s">
        <v>224</v>
      </c>
      <c r="R13" s="11">
        <v>0</v>
      </c>
      <c r="S13">
        <v>0</v>
      </c>
      <c r="T13">
        <v>0</v>
      </c>
      <c r="U13">
        <v>0</v>
      </c>
      <c r="V13" s="11">
        <v>0</v>
      </c>
      <c r="W13">
        <v>0</v>
      </c>
      <c r="X13">
        <v>0</v>
      </c>
      <c r="Y13">
        <v>0</v>
      </c>
      <c r="Z13" s="11">
        <f>InterviewsRaw[[#This Row],[Chi Kept]]+InterviewsRaw[[#This Row],[Chi Released]]</f>
        <v>0</v>
      </c>
      <c r="AA13">
        <f>InterviewsRaw[[#This Row],[Co Kept]]+InterviewsRaw[[#This Row],[Co Released ]]</f>
        <v>0</v>
      </c>
      <c r="AB13">
        <f>InterviewsRaw[[#This Row],[Pink Kept]]+InterviewsRaw[[#This Row],[Pink Released]]</f>
        <v>0</v>
      </c>
      <c r="AC13">
        <f>InterviewsRaw[[#This Row],[Chu Kept]]+InterviewsRaw[[#This Row],[Chu Released]]</f>
        <v>0</v>
      </c>
    </row>
    <row r="14" spans="1:31" x14ac:dyDescent="0.3">
      <c r="A14" s="7">
        <v>45962</v>
      </c>
      <c r="B14">
        <v>11</v>
      </c>
      <c r="C14" t="s">
        <v>250</v>
      </c>
      <c r="D14" t="s">
        <v>42</v>
      </c>
      <c r="E14">
        <v>13</v>
      </c>
      <c r="F14">
        <v>3</v>
      </c>
      <c r="G14">
        <v>8</v>
      </c>
      <c r="H14" t="s">
        <v>241</v>
      </c>
      <c r="I14">
        <v>2</v>
      </c>
      <c r="J14" s="10">
        <v>0.5</v>
      </c>
      <c r="K14" s="10">
        <v>0.625</v>
      </c>
      <c r="L14" s="10">
        <f t="shared" si="0"/>
        <v>0.125</v>
      </c>
      <c r="M14" s="12">
        <f t="shared" si="1"/>
        <v>3</v>
      </c>
      <c r="N14" s="12">
        <f>InterviewsRaw[[#This Row],[Trip Hours]]*InterviewsRaw[[#This Row],['#Angler]]</f>
        <v>6</v>
      </c>
      <c r="O14" t="s">
        <v>342</v>
      </c>
      <c r="Q14" t="s">
        <v>238</v>
      </c>
      <c r="R14" s="11">
        <v>0</v>
      </c>
      <c r="S14">
        <v>0</v>
      </c>
      <c r="T14">
        <v>0</v>
      </c>
      <c r="U14">
        <v>2</v>
      </c>
      <c r="V14" s="11">
        <v>0</v>
      </c>
      <c r="W14">
        <v>0</v>
      </c>
      <c r="X14">
        <v>1</v>
      </c>
      <c r="Y14">
        <v>0</v>
      </c>
      <c r="Z14" s="11">
        <f>InterviewsRaw[[#This Row],[Chi Kept]]+InterviewsRaw[[#This Row],[Chi Released]]</f>
        <v>0</v>
      </c>
      <c r="AA14">
        <f>InterviewsRaw[[#This Row],[Co Kept]]+InterviewsRaw[[#This Row],[Co Released ]]</f>
        <v>0</v>
      </c>
      <c r="AB14">
        <f>InterviewsRaw[[#This Row],[Pink Kept]]+InterviewsRaw[[#This Row],[Pink Released]]</f>
        <v>1</v>
      </c>
      <c r="AC14">
        <f>InterviewsRaw[[#This Row],[Chu Kept]]+InterviewsRaw[[#This Row],[Chu Released]]</f>
        <v>2</v>
      </c>
    </row>
    <row r="15" spans="1:31" x14ac:dyDescent="0.3">
      <c r="A15" s="7">
        <v>45962</v>
      </c>
      <c r="B15">
        <v>11</v>
      </c>
      <c r="C15" t="s">
        <v>250</v>
      </c>
      <c r="D15" t="s">
        <v>42</v>
      </c>
      <c r="E15">
        <v>14</v>
      </c>
      <c r="F15">
        <v>3</v>
      </c>
      <c r="G15">
        <v>8</v>
      </c>
      <c r="H15" t="s">
        <v>241</v>
      </c>
      <c r="I15">
        <v>1</v>
      </c>
      <c r="J15" s="10">
        <v>0.54166666666666663</v>
      </c>
      <c r="K15" s="10">
        <v>0.63402777777777775</v>
      </c>
      <c r="L15" s="10">
        <f t="shared" si="0"/>
        <v>9.2361111111111116E-2</v>
      </c>
      <c r="M15" s="12">
        <f t="shared" si="1"/>
        <v>2.2166666666666668</v>
      </c>
      <c r="N15" s="12">
        <f>InterviewsRaw[[#This Row],[Trip Hours]]*InterviewsRaw[[#This Row],['#Angler]]</f>
        <v>2.2166666666666668</v>
      </c>
      <c r="O15" t="s">
        <v>342</v>
      </c>
      <c r="Q15" t="s">
        <v>224</v>
      </c>
      <c r="R15" s="11">
        <v>0</v>
      </c>
      <c r="S15">
        <v>0</v>
      </c>
      <c r="T15">
        <v>0</v>
      </c>
      <c r="U15">
        <v>2</v>
      </c>
      <c r="V15" s="11">
        <v>0</v>
      </c>
      <c r="W15">
        <v>0</v>
      </c>
      <c r="X15">
        <v>0</v>
      </c>
      <c r="Y15">
        <v>5</v>
      </c>
      <c r="Z15" s="11">
        <f>InterviewsRaw[[#This Row],[Chi Kept]]+InterviewsRaw[[#This Row],[Chi Released]]</f>
        <v>0</v>
      </c>
      <c r="AA15">
        <f>InterviewsRaw[[#This Row],[Co Kept]]+InterviewsRaw[[#This Row],[Co Released ]]</f>
        <v>0</v>
      </c>
      <c r="AB15">
        <f>InterviewsRaw[[#This Row],[Pink Kept]]+InterviewsRaw[[#This Row],[Pink Released]]</f>
        <v>0</v>
      </c>
      <c r="AC15">
        <f>InterviewsRaw[[#This Row],[Chu Kept]]+InterviewsRaw[[#This Row],[Chu Released]]</f>
        <v>7</v>
      </c>
    </row>
    <row r="16" spans="1:31" x14ac:dyDescent="0.3">
      <c r="A16" s="7">
        <v>45962</v>
      </c>
      <c r="B16">
        <v>11</v>
      </c>
      <c r="C16" t="s">
        <v>250</v>
      </c>
      <c r="D16" t="s">
        <v>42</v>
      </c>
      <c r="E16">
        <v>15</v>
      </c>
      <c r="F16">
        <v>3</v>
      </c>
      <c r="G16">
        <v>8</v>
      </c>
      <c r="H16" t="s">
        <v>241</v>
      </c>
      <c r="I16">
        <v>3</v>
      </c>
      <c r="J16" s="10">
        <v>0.59375</v>
      </c>
      <c r="K16" s="10">
        <v>0.64583333333333337</v>
      </c>
      <c r="L16" s="10">
        <f t="shared" si="0"/>
        <v>5.208333333333337E-2</v>
      </c>
      <c r="M16" s="12">
        <f t="shared" si="1"/>
        <v>1.2500000000000009</v>
      </c>
      <c r="N16" s="12">
        <f>InterviewsRaw[[#This Row],[Trip Hours]]*InterviewsRaw[[#This Row],['#Angler]]</f>
        <v>3.7500000000000027</v>
      </c>
      <c r="O16" t="s">
        <v>349</v>
      </c>
      <c r="Q16" t="s">
        <v>241</v>
      </c>
      <c r="R16" s="11">
        <v>0</v>
      </c>
      <c r="S16">
        <v>0</v>
      </c>
      <c r="T16">
        <v>0</v>
      </c>
      <c r="U16">
        <v>0</v>
      </c>
      <c r="V16" s="11">
        <v>0</v>
      </c>
      <c r="W16">
        <v>0</v>
      </c>
      <c r="X16">
        <v>0</v>
      </c>
      <c r="Y16">
        <v>0</v>
      </c>
      <c r="Z16" s="11">
        <f>InterviewsRaw[[#This Row],[Chi Kept]]+InterviewsRaw[[#This Row],[Chi Released]]</f>
        <v>0</v>
      </c>
      <c r="AA16">
        <f>InterviewsRaw[[#This Row],[Co Kept]]+InterviewsRaw[[#This Row],[Co Released ]]</f>
        <v>0</v>
      </c>
      <c r="AB16">
        <f>InterviewsRaw[[#This Row],[Pink Kept]]+InterviewsRaw[[#This Row],[Pink Released]]</f>
        <v>0</v>
      </c>
      <c r="AC16">
        <f>InterviewsRaw[[#This Row],[Chu Kept]]+InterviewsRaw[[#This Row],[Chu Released]]</f>
        <v>0</v>
      </c>
    </row>
    <row r="17" spans="1:29" x14ac:dyDescent="0.3">
      <c r="A17" s="7">
        <v>45962</v>
      </c>
      <c r="B17">
        <v>11</v>
      </c>
      <c r="C17" t="s">
        <v>250</v>
      </c>
      <c r="D17" t="s">
        <v>42</v>
      </c>
      <c r="E17">
        <v>16</v>
      </c>
      <c r="F17">
        <v>3</v>
      </c>
      <c r="G17">
        <v>8</v>
      </c>
      <c r="H17" t="s">
        <v>241</v>
      </c>
      <c r="I17">
        <v>2</v>
      </c>
      <c r="J17" s="10">
        <v>0.5</v>
      </c>
      <c r="K17" s="10">
        <v>0.64930555555555558</v>
      </c>
      <c r="L17" s="10">
        <f t="shared" si="0"/>
        <v>0.14930555555555558</v>
      </c>
      <c r="M17" s="12">
        <f t="shared" si="1"/>
        <v>3.5833333333333339</v>
      </c>
      <c r="N17" s="12">
        <f>InterviewsRaw[[#This Row],[Trip Hours]]*InterviewsRaw[[#This Row],['#Angler]]</f>
        <v>7.1666666666666679</v>
      </c>
      <c r="O17" t="s">
        <v>342</v>
      </c>
      <c r="Q17" t="s">
        <v>364</v>
      </c>
      <c r="R17" s="11">
        <v>0</v>
      </c>
      <c r="S17">
        <v>0</v>
      </c>
      <c r="T17">
        <v>0</v>
      </c>
      <c r="U17">
        <v>0</v>
      </c>
      <c r="V17" s="11">
        <v>0</v>
      </c>
      <c r="W17">
        <v>0</v>
      </c>
      <c r="X17">
        <v>0</v>
      </c>
      <c r="Y17">
        <v>0</v>
      </c>
      <c r="Z17" s="11">
        <f>InterviewsRaw[[#This Row],[Chi Kept]]+InterviewsRaw[[#This Row],[Chi Released]]</f>
        <v>0</v>
      </c>
      <c r="AA17">
        <f>InterviewsRaw[[#This Row],[Co Kept]]+InterviewsRaw[[#This Row],[Co Released ]]</f>
        <v>0</v>
      </c>
      <c r="AB17">
        <f>InterviewsRaw[[#This Row],[Pink Kept]]+InterviewsRaw[[#This Row],[Pink Released]]</f>
        <v>0</v>
      </c>
      <c r="AC17">
        <f>InterviewsRaw[[#This Row],[Chu Kept]]+InterviewsRaw[[#This Row],[Chu Released]]</f>
        <v>0</v>
      </c>
    </row>
    <row r="18" spans="1:29" x14ac:dyDescent="0.3">
      <c r="A18" s="7">
        <v>45962</v>
      </c>
      <c r="B18">
        <v>11</v>
      </c>
      <c r="C18" t="s">
        <v>250</v>
      </c>
      <c r="D18" t="s">
        <v>42</v>
      </c>
      <c r="E18">
        <v>17</v>
      </c>
      <c r="F18">
        <v>3</v>
      </c>
      <c r="G18">
        <v>8</v>
      </c>
      <c r="H18" t="s">
        <v>241</v>
      </c>
      <c r="I18">
        <v>1</v>
      </c>
      <c r="J18" s="10">
        <v>0.52083333333333337</v>
      </c>
      <c r="K18" s="10">
        <v>0.64930555555555558</v>
      </c>
      <c r="L18" s="10">
        <f t="shared" si="0"/>
        <v>0.12847222222222221</v>
      </c>
      <c r="M18" s="12">
        <f t="shared" si="1"/>
        <v>3.083333333333333</v>
      </c>
      <c r="N18" s="12">
        <f>InterviewsRaw[[#This Row],[Trip Hours]]*InterviewsRaw[[#This Row],['#Angler]]</f>
        <v>3.083333333333333</v>
      </c>
      <c r="O18" t="s">
        <v>342</v>
      </c>
      <c r="Q18" t="s">
        <v>224</v>
      </c>
      <c r="R18" s="11">
        <v>0</v>
      </c>
      <c r="S18">
        <v>0</v>
      </c>
      <c r="T18">
        <v>0</v>
      </c>
      <c r="U18">
        <v>2</v>
      </c>
      <c r="V18" s="11">
        <v>0</v>
      </c>
      <c r="W18">
        <v>0</v>
      </c>
      <c r="X18">
        <v>0</v>
      </c>
      <c r="Y18">
        <v>3</v>
      </c>
      <c r="Z18" s="11">
        <f>InterviewsRaw[[#This Row],[Chi Kept]]+InterviewsRaw[[#This Row],[Chi Released]]</f>
        <v>0</v>
      </c>
      <c r="AA18">
        <f>InterviewsRaw[[#This Row],[Co Kept]]+InterviewsRaw[[#This Row],[Co Released ]]</f>
        <v>0</v>
      </c>
      <c r="AB18">
        <f>InterviewsRaw[[#This Row],[Pink Kept]]+InterviewsRaw[[#This Row],[Pink Released]]</f>
        <v>0</v>
      </c>
      <c r="AC18">
        <f>InterviewsRaw[[#This Row],[Chu Kept]]+InterviewsRaw[[#This Row],[Chu Released]]</f>
        <v>5</v>
      </c>
    </row>
    <row r="19" spans="1:29" x14ac:dyDescent="0.3">
      <c r="A19" s="7">
        <v>45962</v>
      </c>
      <c r="B19">
        <v>11</v>
      </c>
      <c r="C19" t="s">
        <v>250</v>
      </c>
      <c r="D19" t="s">
        <v>42</v>
      </c>
      <c r="E19">
        <v>18</v>
      </c>
      <c r="F19">
        <v>3</v>
      </c>
      <c r="G19">
        <v>8</v>
      </c>
      <c r="H19" t="s">
        <v>241</v>
      </c>
      <c r="I19">
        <v>3</v>
      </c>
      <c r="J19" s="10">
        <v>0.47916666666666669</v>
      </c>
      <c r="K19" s="10">
        <v>0.65347222222222223</v>
      </c>
      <c r="L19" s="10">
        <f t="shared" si="0"/>
        <v>0.17430555555555555</v>
      </c>
      <c r="M19" s="12">
        <f t="shared" si="1"/>
        <v>4.1833333333333336</v>
      </c>
      <c r="N19" s="12">
        <f>InterviewsRaw[[#This Row],[Trip Hours]]*InterviewsRaw[[#This Row],['#Angler]]</f>
        <v>12.55</v>
      </c>
      <c r="O19" t="s">
        <v>342</v>
      </c>
      <c r="P19" t="s">
        <v>29</v>
      </c>
      <c r="Q19" t="s">
        <v>238</v>
      </c>
      <c r="R19" s="11">
        <v>0</v>
      </c>
      <c r="S19">
        <v>0</v>
      </c>
      <c r="T19">
        <v>0</v>
      </c>
      <c r="U19">
        <v>0</v>
      </c>
      <c r="V19" s="11">
        <v>0</v>
      </c>
      <c r="W19">
        <v>0</v>
      </c>
      <c r="X19">
        <v>0</v>
      </c>
      <c r="Y19">
        <v>0</v>
      </c>
      <c r="Z19" s="11">
        <f>InterviewsRaw[[#This Row],[Chi Kept]]+InterviewsRaw[[#This Row],[Chi Released]]</f>
        <v>0</v>
      </c>
      <c r="AA19">
        <f>InterviewsRaw[[#This Row],[Co Kept]]+InterviewsRaw[[#This Row],[Co Released ]]</f>
        <v>0</v>
      </c>
      <c r="AB19">
        <f>InterviewsRaw[[#This Row],[Pink Kept]]+InterviewsRaw[[#This Row],[Pink Released]]</f>
        <v>0</v>
      </c>
      <c r="AC19">
        <f>InterviewsRaw[[#This Row],[Chu Kept]]+InterviewsRaw[[#This Row],[Chu Released]]</f>
        <v>0</v>
      </c>
    </row>
    <row r="20" spans="1:29" x14ac:dyDescent="0.3">
      <c r="A20" s="7">
        <v>45962</v>
      </c>
      <c r="B20">
        <v>11</v>
      </c>
      <c r="C20" t="s">
        <v>250</v>
      </c>
      <c r="D20" t="s">
        <v>42</v>
      </c>
      <c r="E20">
        <v>19</v>
      </c>
      <c r="F20">
        <v>3</v>
      </c>
      <c r="G20">
        <v>6</v>
      </c>
      <c r="H20" t="s">
        <v>241</v>
      </c>
      <c r="I20">
        <v>1</v>
      </c>
      <c r="J20" s="10">
        <v>0.60416666666666663</v>
      </c>
      <c r="K20" s="10">
        <v>0.67569444444444449</v>
      </c>
      <c r="L20" s="10">
        <f t="shared" si="0"/>
        <v>7.1527777777777857E-2</v>
      </c>
      <c r="M20" s="12">
        <f t="shared" si="1"/>
        <v>1.7166666666666686</v>
      </c>
      <c r="N20" s="12">
        <f>InterviewsRaw[[#This Row],[Trip Hours]]*InterviewsRaw[[#This Row],['#Angler]]</f>
        <v>1.7166666666666686</v>
      </c>
      <c r="O20" t="s">
        <v>342</v>
      </c>
      <c r="Q20" t="s">
        <v>224</v>
      </c>
      <c r="R20" s="11">
        <v>0</v>
      </c>
      <c r="S20">
        <v>0</v>
      </c>
      <c r="T20">
        <v>0</v>
      </c>
      <c r="U20">
        <v>0</v>
      </c>
      <c r="V20" s="11">
        <v>0</v>
      </c>
      <c r="W20">
        <v>0</v>
      </c>
      <c r="X20">
        <v>0</v>
      </c>
      <c r="Y20">
        <v>0</v>
      </c>
      <c r="Z20" s="11">
        <f>InterviewsRaw[[#This Row],[Chi Kept]]+InterviewsRaw[[#This Row],[Chi Released]]</f>
        <v>0</v>
      </c>
      <c r="AA20">
        <f>InterviewsRaw[[#This Row],[Co Kept]]+InterviewsRaw[[#This Row],[Co Released ]]</f>
        <v>0</v>
      </c>
      <c r="AB20">
        <f>InterviewsRaw[[#This Row],[Pink Kept]]+InterviewsRaw[[#This Row],[Pink Released]]</f>
        <v>0</v>
      </c>
      <c r="AC20">
        <f>InterviewsRaw[[#This Row],[Chu Kept]]+InterviewsRaw[[#This Row],[Chu Released]]</f>
        <v>0</v>
      </c>
    </row>
    <row r="21" spans="1:29" x14ac:dyDescent="0.3">
      <c r="A21" s="7">
        <v>45962</v>
      </c>
      <c r="B21">
        <v>11</v>
      </c>
      <c r="C21" t="s">
        <v>250</v>
      </c>
      <c r="D21" t="s">
        <v>42</v>
      </c>
      <c r="E21">
        <v>20</v>
      </c>
      <c r="F21">
        <v>3</v>
      </c>
      <c r="G21">
        <v>6</v>
      </c>
      <c r="H21" t="s">
        <v>241</v>
      </c>
      <c r="I21">
        <v>2</v>
      </c>
      <c r="J21" s="10">
        <v>0.64583333333333337</v>
      </c>
      <c r="K21" s="10">
        <v>0.69097222222222221</v>
      </c>
      <c r="L21" s="10">
        <f t="shared" si="0"/>
        <v>4.513888888888884E-2</v>
      </c>
      <c r="M21" s="12">
        <f t="shared" si="1"/>
        <v>1.0833333333333321</v>
      </c>
      <c r="N21" s="12">
        <f>InterviewsRaw[[#This Row],[Trip Hours]]*InterviewsRaw[[#This Row],['#Angler]]</f>
        <v>2.1666666666666643</v>
      </c>
      <c r="O21" t="s">
        <v>342</v>
      </c>
      <c r="Q21" t="s">
        <v>247</v>
      </c>
      <c r="R21" s="11">
        <v>0</v>
      </c>
      <c r="S21">
        <v>0</v>
      </c>
      <c r="T21">
        <v>0</v>
      </c>
      <c r="U21">
        <v>0</v>
      </c>
      <c r="V21" s="11">
        <v>0</v>
      </c>
      <c r="W21">
        <v>0</v>
      </c>
      <c r="X21">
        <v>0</v>
      </c>
      <c r="Y21">
        <v>0</v>
      </c>
      <c r="Z21" s="11">
        <f>InterviewsRaw[[#This Row],[Chi Kept]]+InterviewsRaw[[#This Row],[Chi Released]]</f>
        <v>0</v>
      </c>
      <c r="AA21">
        <f>InterviewsRaw[[#This Row],[Co Kept]]+InterviewsRaw[[#This Row],[Co Released ]]</f>
        <v>0</v>
      </c>
      <c r="AB21">
        <f>InterviewsRaw[[#This Row],[Pink Kept]]+InterviewsRaw[[#This Row],[Pink Released]]</f>
        <v>0</v>
      </c>
      <c r="AC21">
        <f>InterviewsRaw[[#This Row],[Chu Kept]]+InterviewsRaw[[#This Row],[Chu Released]]</f>
        <v>0</v>
      </c>
    </row>
    <row r="22" spans="1:29" x14ac:dyDescent="0.3">
      <c r="A22" s="7">
        <v>45962</v>
      </c>
      <c r="B22">
        <v>11</v>
      </c>
      <c r="C22" t="s">
        <v>250</v>
      </c>
      <c r="D22" t="s">
        <v>42</v>
      </c>
      <c r="E22">
        <v>21</v>
      </c>
      <c r="F22">
        <v>3</v>
      </c>
      <c r="G22">
        <v>6</v>
      </c>
      <c r="H22" t="s">
        <v>241</v>
      </c>
      <c r="I22">
        <v>2</v>
      </c>
      <c r="J22" s="10">
        <v>0.29166666666666669</v>
      </c>
      <c r="K22" s="10">
        <v>0.69791666666666663</v>
      </c>
      <c r="L22" s="10">
        <f t="shared" si="0"/>
        <v>0.40624999999999994</v>
      </c>
      <c r="M22" s="12">
        <f t="shared" si="1"/>
        <v>9.7499999999999982</v>
      </c>
      <c r="N22" s="12">
        <f>InterviewsRaw[[#This Row],[Trip Hours]]*InterviewsRaw[[#This Row],['#Angler]]</f>
        <v>19.499999999999996</v>
      </c>
      <c r="O22" t="s">
        <v>342</v>
      </c>
      <c r="Q22" t="s">
        <v>238</v>
      </c>
      <c r="R22" s="11">
        <v>0</v>
      </c>
      <c r="S22">
        <v>0</v>
      </c>
      <c r="T22">
        <v>0</v>
      </c>
      <c r="U22">
        <v>4</v>
      </c>
      <c r="V22" s="11">
        <v>0</v>
      </c>
      <c r="W22">
        <v>0</v>
      </c>
      <c r="X22">
        <v>0</v>
      </c>
      <c r="Y22">
        <v>0</v>
      </c>
      <c r="Z22" s="11">
        <f>InterviewsRaw[[#This Row],[Chi Kept]]+InterviewsRaw[[#This Row],[Chi Released]]</f>
        <v>0</v>
      </c>
      <c r="AA22">
        <f>InterviewsRaw[[#This Row],[Co Kept]]+InterviewsRaw[[#This Row],[Co Released ]]</f>
        <v>0</v>
      </c>
      <c r="AB22">
        <f>InterviewsRaw[[#This Row],[Pink Kept]]+InterviewsRaw[[#This Row],[Pink Released]]</f>
        <v>0</v>
      </c>
      <c r="AC22">
        <f>InterviewsRaw[[#This Row],[Chu Kept]]+InterviewsRaw[[#This Row],[Chu Released]]</f>
        <v>4</v>
      </c>
    </row>
    <row r="23" spans="1:29" x14ac:dyDescent="0.3">
      <c r="A23" s="7">
        <v>45962</v>
      </c>
      <c r="B23">
        <v>11</v>
      </c>
      <c r="C23" t="s">
        <v>250</v>
      </c>
      <c r="D23" t="s">
        <v>42</v>
      </c>
      <c r="E23">
        <v>22</v>
      </c>
      <c r="F23">
        <v>3</v>
      </c>
      <c r="G23">
        <v>6</v>
      </c>
      <c r="H23" t="s">
        <v>241</v>
      </c>
      <c r="I23">
        <v>1</v>
      </c>
      <c r="J23" s="10">
        <v>0.5</v>
      </c>
      <c r="K23" s="10">
        <v>0.69791666666666663</v>
      </c>
      <c r="L23" s="10">
        <f t="shared" si="0"/>
        <v>0.19791666666666663</v>
      </c>
      <c r="M23" s="12">
        <f t="shared" si="1"/>
        <v>4.7499999999999991</v>
      </c>
      <c r="N23" s="12">
        <f>InterviewsRaw[[#This Row],[Trip Hours]]*InterviewsRaw[[#This Row],['#Angler]]</f>
        <v>4.7499999999999991</v>
      </c>
      <c r="O23" t="s">
        <v>349</v>
      </c>
      <c r="Q23" t="s">
        <v>247</v>
      </c>
      <c r="R23" s="11">
        <v>0</v>
      </c>
      <c r="S23">
        <v>0</v>
      </c>
      <c r="T23">
        <v>0</v>
      </c>
      <c r="U23">
        <v>0</v>
      </c>
      <c r="V23" s="11">
        <v>0</v>
      </c>
      <c r="W23">
        <v>0</v>
      </c>
      <c r="X23">
        <v>0</v>
      </c>
      <c r="Y23">
        <v>0</v>
      </c>
      <c r="Z23" s="11">
        <f>InterviewsRaw[[#This Row],[Chi Kept]]+InterviewsRaw[[#This Row],[Chi Released]]</f>
        <v>0</v>
      </c>
      <c r="AA23">
        <f>InterviewsRaw[[#This Row],[Co Kept]]+InterviewsRaw[[#This Row],[Co Released ]]</f>
        <v>0</v>
      </c>
      <c r="AB23">
        <f>InterviewsRaw[[#This Row],[Pink Kept]]+InterviewsRaw[[#This Row],[Pink Released]]</f>
        <v>0</v>
      </c>
      <c r="AC23">
        <f>InterviewsRaw[[#This Row],[Chu Kept]]+InterviewsRaw[[#This Row],[Chu Released]]</f>
        <v>0</v>
      </c>
    </row>
    <row r="24" spans="1:29" x14ac:dyDescent="0.3">
      <c r="A24" s="7">
        <v>45966</v>
      </c>
      <c r="B24">
        <v>12</v>
      </c>
      <c r="C24" t="s">
        <v>236</v>
      </c>
      <c r="D24" t="s">
        <v>26</v>
      </c>
      <c r="E24">
        <v>1</v>
      </c>
      <c r="F24">
        <v>3</v>
      </c>
      <c r="G24">
        <v>8</v>
      </c>
      <c r="H24" t="s">
        <v>241</v>
      </c>
      <c r="I24">
        <v>1</v>
      </c>
      <c r="J24" s="10">
        <v>0.36458333333333331</v>
      </c>
      <c r="K24" s="10">
        <v>0.38124999999999998</v>
      </c>
      <c r="L24" s="10">
        <f t="shared" si="0"/>
        <v>1.6666666666666663E-2</v>
      </c>
      <c r="M24" s="12">
        <f t="shared" si="1"/>
        <v>0.39999999999999991</v>
      </c>
      <c r="N24" s="12">
        <f>InterviewsRaw[[#This Row],[Trip Hours]]*InterviewsRaw[[#This Row],['#Angler]]</f>
        <v>0.39999999999999991</v>
      </c>
      <c r="O24" t="s">
        <v>349</v>
      </c>
      <c r="Q24" t="s">
        <v>224</v>
      </c>
      <c r="R24" s="11">
        <v>0</v>
      </c>
      <c r="S24">
        <v>0</v>
      </c>
      <c r="T24">
        <v>0</v>
      </c>
      <c r="U24">
        <v>1</v>
      </c>
      <c r="V24" s="11">
        <v>0</v>
      </c>
      <c r="W24">
        <v>0</v>
      </c>
      <c r="X24">
        <v>0</v>
      </c>
      <c r="Y24">
        <v>0</v>
      </c>
      <c r="Z24" s="11">
        <f>InterviewsRaw[[#This Row],[Chi Kept]]+InterviewsRaw[[#This Row],[Chi Released]]</f>
        <v>0</v>
      </c>
      <c r="AA24">
        <f>InterviewsRaw[[#This Row],[Co Kept]]+InterviewsRaw[[#This Row],[Co Released ]]</f>
        <v>0</v>
      </c>
      <c r="AB24">
        <f>InterviewsRaw[[#This Row],[Pink Kept]]+InterviewsRaw[[#This Row],[Pink Released]]</f>
        <v>0</v>
      </c>
      <c r="AC24">
        <f>InterviewsRaw[[#This Row],[Chu Kept]]+InterviewsRaw[[#This Row],[Chu Released]]</f>
        <v>1</v>
      </c>
    </row>
    <row r="25" spans="1:29" x14ac:dyDescent="0.3">
      <c r="A25" s="7">
        <v>45966</v>
      </c>
      <c r="B25">
        <v>12</v>
      </c>
      <c r="C25" t="s">
        <v>236</v>
      </c>
      <c r="D25" t="s">
        <v>26</v>
      </c>
      <c r="E25">
        <v>2</v>
      </c>
      <c r="F25">
        <v>4</v>
      </c>
      <c r="G25">
        <v>1</v>
      </c>
      <c r="H25" t="s">
        <v>241</v>
      </c>
      <c r="I25">
        <v>1</v>
      </c>
      <c r="J25" s="10">
        <v>0.34722222222222221</v>
      </c>
      <c r="K25" s="10">
        <v>0.3888888888888889</v>
      </c>
      <c r="L25" s="10">
        <f t="shared" si="0"/>
        <v>4.1666666666666685E-2</v>
      </c>
      <c r="M25" s="12">
        <f t="shared" si="1"/>
        <v>1.0000000000000004</v>
      </c>
      <c r="N25" s="12">
        <f>InterviewsRaw[[#This Row],[Trip Hours]]*InterviewsRaw[[#This Row],['#Angler]]</f>
        <v>1.0000000000000004</v>
      </c>
      <c r="O25" t="s">
        <v>342</v>
      </c>
      <c r="R25" s="11">
        <v>0</v>
      </c>
      <c r="S25">
        <v>0</v>
      </c>
      <c r="T25">
        <v>0</v>
      </c>
      <c r="U25">
        <v>0</v>
      </c>
      <c r="V25" s="11">
        <v>0</v>
      </c>
      <c r="W25">
        <v>0</v>
      </c>
      <c r="X25">
        <v>0</v>
      </c>
      <c r="Y25">
        <v>1</v>
      </c>
      <c r="Z25" s="11">
        <f>InterviewsRaw[[#This Row],[Chi Kept]]+InterviewsRaw[[#This Row],[Chi Released]]</f>
        <v>0</v>
      </c>
      <c r="AA25">
        <f>InterviewsRaw[[#This Row],[Co Kept]]+InterviewsRaw[[#This Row],[Co Released ]]</f>
        <v>0</v>
      </c>
      <c r="AB25">
        <f>InterviewsRaw[[#This Row],[Pink Kept]]+InterviewsRaw[[#This Row],[Pink Released]]</f>
        <v>0</v>
      </c>
      <c r="AC25">
        <f>InterviewsRaw[[#This Row],[Chu Kept]]+InterviewsRaw[[#This Row],[Chu Released]]</f>
        <v>1</v>
      </c>
    </row>
    <row r="26" spans="1:29" x14ac:dyDescent="0.3">
      <c r="A26" s="7">
        <v>45966</v>
      </c>
      <c r="B26">
        <v>12</v>
      </c>
      <c r="C26" t="s">
        <v>236</v>
      </c>
      <c r="D26" t="s">
        <v>26</v>
      </c>
      <c r="E26">
        <v>3</v>
      </c>
      <c r="F26">
        <v>4</v>
      </c>
      <c r="G26">
        <v>3</v>
      </c>
      <c r="H26" t="s">
        <v>241</v>
      </c>
      <c r="I26">
        <v>1</v>
      </c>
      <c r="J26" s="10">
        <v>0.29166666666666669</v>
      </c>
      <c r="K26" s="10">
        <v>0.40833333333333333</v>
      </c>
      <c r="L26" s="10">
        <f t="shared" si="0"/>
        <v>0.11666666666666664</v>
      </c>
      <c r="M26" s="12">
        <f t="shared" si="1"/>
        <v>2.7999999999999994</v>
      </c>
      <c r="N26" s="12">
        <f>InterviewsRaw[[#This Row],[Trip Hours]]*InterviewsRaw[[#This Row],['#Angler]]</f>
        <v>2.7999999999999994</v>
      </c>
      <c r="O26" t="s">
        <v>342</v>
      </c>
      <c r="P26" t="s">
        <v>359</v>
      </c>
      <c r="Q26" t="s">
        <v>224</v>
      </c>
      <c r="R26" s="11">
        <v>0</v>
      </c>
      <c r="S26">
        <v>0</v>
      </c>
      <c r="T26">
        <v>0</v>
      </c>
      <c r="U26">
        <v>0</v>
      </c>
      <c r="V26" s="11">
        <v>1</v>
      </c>
      <c r="W26">
        <v>0</v>
      </c>
      <c r="X26">
        <v>0</v>
      </c>
      <c r="Y26">
        <v>3</v>
      </c>
      <c r="Z26" s="11">
        <f>InterviewsRaw[[#This Row],[Chi Kept]]+InterviewsRaw[[#This Row],[Chi Released]]</f>
        <v>1</v>
      </c>
      <c r="AA26">
        <f>InterviewsRaw[[#This Row],[Co Kept]]+InterviewsRaw[[#This Row],[Co Released ]]</f>
        <v>0</v>
      </c>
      <c r="AB26">
        <f>InterviewsRaw[[#This Row],[Pink Kept]]+InterviewsRaw[[#This Row],[Pink Released]]</f>
        <v>0</v>
      </c>
      <c r="AC26">
        <f>InterviewsRaw[[#This Row],[Chu Kept]]+InterviewsRaw[[#This Row],[Chu Released]]</f>
        <v>3</v>
      </c>
    </row>
    <row r="27" spans="1:29" x14ac:dyDescent="0.3">
      <c r="A27" s="7">
        <v>45966</v>
      </c>
      <c r="B27">
        <v>12</v>
      </c>
      <c r="C27" t="s">
        <v>236</v>
      </c>
      <c r="D27" t="s">
        <v>26</v>
      </c>
      <c r="E27">
        <v>4</v>
      </c>
      <c r="F27">
        <v>4</v>
      </c>
      <c r="G27">
        <v>3</v>
      </c>
      <c r="H27" t="s">
        <v>241</v>
      </c>
      <c r="I27">
        <v>2</v>
      </c>
      <c r="J27" s="10">
        <v>0.29166666666666669</v>
      </c>
      <c r="K27" s="10">
        <v>0.40902777777777777</v>
      </c>
      <c r="L27" s="10">
        <f t="shared" si="0"/>
        <v>0.11736111111111108</v>
      </c>
      <c r="M27" s="12">
        <f t="shared" si="1"/>
        <v>2.816666666666666</v>
      </c>
      <c r="N27" s="12">
        <f>InterviewsRaw[[#This Row],[Trip Hours]]*InterviewsRaw[[#This Row],['#Angler]]</f>
        <v>5.633333333333332</v>
      </c>
      <c r="O27" t="s">
        <v>342</v>
      </c>
      <c r="Q27" t="s">
        <v>224</v>
      </c>
      <c r="R27" s="11">
        <v>0</v>
      </c>
      <c r="S27">
        <v>0</v>
      </c>
      <c r="T27">
        <v>0</v>
      </c>
      <c r="U27">
        <v>4</v>
      </c>
      <c r="V27" s="11">
        <v>0</v>
      </c>
      <c r="W27">
        <v>0</v>
      </c>
      <c r="X27">
        <v>0</v>
      </c>
      <c r="Y27">
        <v>1</v>
      </c>
      <c r="Z27" s="11">
        <f>InterviewsRaw[[#This Row],[Chi Kept]]+InterviewsRaw[[#This Row],[Chi Released]]</f>
        <v>0</v>
      </c>
      <c r="AA27">
        <f>InterviewsRaw[[#This Row],[Co Kept]]+InterviewsRaw[[#This Row],[Co Released ]]</f>
        <v>0</v>
      </c>
      <c r="AB27">
        <f>InterviewsRaw[[#This Row],[Pink Kept]]+InterviewsRaw[[#This Row],[Pink Released]]</f>
        <v>0</v>
      </c>
      <c r="AC27">
        <f>InterviewsRaw[[#This Row],[Chu Kept]]+InterviewsRaw[[#This Row],[Chu Released]]</f>
        <v>5</v>
      </c>
    </row>
    <row r="28" spans="1:29" x14ac:dyDescent="0.3">
      <c r="A28" s="7">
        <v>45966</v>
      </c>
      <c r="B28">
        <v>12</v>
      </c>
      <c r="C28" t="s">
        <v>236</v>
      </c>
      <c r="D28" t="s">
        <v>26</v>
      </c>
      <c r="E28">
        <v>5</v>
      </c>
      <c r="F28">
        <v>4</v>
      </c>
      <c r="G28">
        <v>3</v>
      </c>
      <c r="H28" t="s">
        <v>241</v>
      </c>
      <c r="I28">
        <v>3</v>
      </c>
      <c r="J28" s="10">
        <v>0.29166666666666669</v>
      </c>
      <c r="K28" s="10">
        <v>0.41319444444444442</v>
      </c>
      <c r="L28" s="10">
        <f t="shared" si="0"/>
        <v>0.12152777777777773</v>
      </c>
      <c r="M28" s="12">
        <f t="shared" si="1"/>
        <v>2.9166666666666656</v>
      </c>
      <c r="N28" s="12">
        <f>InterviewsRaw[[#This Row],[Trip Hours]]*InterviewsRaw[[#This Row],['#Angler]]</f>
        <v>8.7499999999999964</v>
      </c>
      <c r="O28" t="s">
        <v>342</v>
      </c>
      <c r="P28" t="s">
        <v>372</v>
      </c>
      <c r="Q28" t="s">
        <v>224</v>
      </c>
      <c r="R28" s="11">
        <v>0</v>
      </c>
      <c r="S28">
        <v>0</v>
      </c>
      <c r="T28">
        <v>0</v>
      </c>
      <c r="U28">
        <v>1</v>
      </c>
      <c r="V28" s="11">
        <v>0</v>
      </c>
      <c r="W28">
        <v>2</v>
      </c>
      <c r="X28">
        <v>0</v>
      </c>
      <c r="Y28">
        <v>10</v>
      </c>
      <c r="Z28" s="11">
        <f>InterviewsRaw[[#This Row],[Chi Kept]]+InterviewsRaw[[#This Row],[Chi Released]]</f>
        <v>0</v>
      </c>
      <c r="AA28">
        <f>InterviewsRaw[[#This Row],[Co Kept]]+InterviewsRaw[[#This Row],[Co Released ]]</f>
        <v>2</v>
      </c>
      <c r="AB28">
        <f>InterviewsRaw[[#This Row],[Pink Kept]]+InterviewsRaw[[#This Row],[Pink Released]]</f>
        <v>0</v>
      </c>
      <c r="AC28">
        <f>InterviewsRaw[[#This Row],[Chu Kept]]+InterviewsRaw[[#This Row],[Chu Released]]</f>
        <v>11</v>
      </c>
    </row>
    <row r="29" spans="1:29" x14ac:dyDescent="0.3">
      <c r="A29" s="7">
        <v>45966</v>
      </c>
      <c r="B29">
        <v>12</v>
      </c>
      <c r="C29" t="s">
        <v>236</v>
      </c>
      <c r="D29" t="s">
        <v>26</v>
      </c>
      <c r="E29">
        <v>6</v>
      </c>
      <c r="F29">
        <v>4</v>
      </c>
      <c r="G29">
        <v>5</v>
      </c>
      <c r="H29" t="s">
        <v>241</v>
      </c>
      <c r="I29">
        <v>1</v>
      </c>
      <c r="J29" s="10">
        <v>0.375</v>
      </c>
      <c r="K29" s="10">
        <v>0.43402777777777779</v>
      </c>
      <c r="L29" s="10">
        <f t="shared" si="0"/>
        <v>5.902777777777779E-2</v>
      </c>
      <c r="M29" s="12">
        <f t="shared" si="1"/>
        <v>1.416666666666667</v>
      </c>
      <c r="N29" s="12">
        <f>InterviewsRaw[[#This Row],[Trip Hours]]*InterviewsRaw[[#This Row],['#Angler]]</f>
        <v>1.416666666666667</v>
      </c>
      <c r="O29" t="s">
        <v>342</v>
      </c>
      <c r="Q29" t="s">
        <v>224</v>
      </c>
      <c r="R29" s="11">
        <v>0</v>
      </c>
      <c r="S29">
        <v>0</v>
      </c>
      <c r="T29">
        <v>0</v>
      </c>
      <c r="U29">
        <v>0</v>
      </c>
      <c r="V29" s="11">
        <v>0</v>
      </c>
      <c r="W29">
        <v>0</v>
      </c>
      <c r="X29">
        <v>0</v>
      </c>
      <c r="Y29">
        <v>0</v>
      </c>
      <c r="Z29" s="11">
        <f>InterviewsRaw[[#This Row],[Chi Kept]]+InterviewsRaw[[#This Row],[Chi Released]]</f>
        <v>0</v>
      </c>
      <c r="AA29">
        <f>InterviewsRaw[[#This Row],[Co Kept]]+InterviewsRaw[[#This Row],[Co Released ]]</f>
        <v>0</v>
      </c>
      <c r="AB29">
        <f>InterviewsRaw[[#This Row],[Pink Kept]]+InterviewsRaw[[#This Row],[Pink Released]]</f>
        <v>0</v>
      </c>
      <c r="AC29">
        <f>InterviewsRaw[[#This Row],[Chu Kept]]+InterviewsRaw[[#This Row],[Chu Released]]</f>
        <v>0</v>
      </c>
    </row>
    <row r="30" spans="1:29" x14ac:dyDescent="0.3">
      <c r="A30" s="7">
        <v>45966</v>
      </c>
      <c r="B30">
        <v>12</v>
      </c>
      <c r="C30" t="s">
        <v>236</v>
      </c>
      <c r="D30" t="s">
        <v>42</v>
      </c>
      <c r="E30">
        <v>7</v>
      </c>
      <c r="F30">
        <v>3</v>
      </c>
      <c r="G30">
        <v>5</v>
      </c>
      <c r="H30" t="s">
        <v>241</v>
      </c>
      <c r="I30">
        <v>3</v>
      </c>
      <c r="J30" s="10">
        <v>0.47916666666666669</v>
      </c>
      <c r="K30" s="10">
        <v>0.55000000000000004</v>
      </c>
      <c r="L30" s="10">
        <f t="shared" si="0"/>
        <v>7.0833333333333359E-2</v>
      </c>
      <c r="M30" s="12">
        <f t="shared" si="1"/>
        <v>1.7000000000000006</v>
      </c>
      <c r="N30" s="12">
        <f>InterviewsRaw[[#This Row],[Trip Hours]]*InterviewsRaw[[#This Row],['#Angler]]</f>
        <v>5.1000000000000014</v>
      </c>
      <c r="O30" t="s">
        <v>342</v>
      </c>
      <c r="Q30" t="s">
        <v>224</v>
      </c>
      <c r="R30" s="11">
        <v>0</v>
      </c>
      <c r="S30">
        <v>0</v>
      </c>
      <c r="T30">
        <v>0</v>
      </c>
      <c r="U30">
        <v>5</v>
      </c>
      <c r="V30" s="11">
        <v>0</v>
      </c>
      <c r="W30">
        <v>0</v>
      </c>
      <c r="X30">
        <v>0</v>
      </c>
      <c r="Y30">
        <v>0</v>
      </c>
      <c r="Z30" s="11">
        <f>InterviewsRaw[[#This Row],[Chi Kept]]+InterviewsRaw[[#This Row],[Chi Released]]</f>
        <v>0</v>
      </c>
      <c r="AA30">
        <f>InterviewsRaw[[#This Row],[Co Kept]]+InterviewsRaw[[#This Row],[Co Released ]]</f>
        <v>0</v>
      </c>
      <c r="AB30">
        <f>InterviewsRaw[[#This Row],[Pink Kept]]+InterviewsRaw[[#This Row],[Pink Released]]</f>
        <v>0</v>
      </c>
      <c r="AC30">
        <f>InterviewsRaw[[#This Row],[Chu Kept]]+InterviewsRaw[[#This Row],[Chu Released]]</f>
        <v>5</v>
      </c>
    </row>
    <row r="31" spans="1:29" x14ac:dyDescent="0.3">
      <c r="A31" s="7">
        <v>45966</v>
      </c>
      <c r="B31">
        <v>12</v>
      </c>
      <c r="C31" t="s">
        <v>236</v>
      </c>
      <c r="D31" t="s">
        <v>42</v>
      </c>
      <c r="E31">
        <v>8</v>
      </c>
      <c r="F31">
        <v>3</v>
      </c>
      <c r="G31">
        <v>6</v>
      </c>
      <c r="H31" t="s">
        <v>241</v>
      </c>
      <c r="I31">
        <v>1</v>
      </c>
      <c r="J31" s="10">
        <v>0.375</v>
      </c>
      <c r="K31" s="10">
        <v>0.55208333333333337</v>
      </c>
      <c r="L31" s="10">
        <f t="shared" si="0"/>
        <v>0.17708333333333337</v>
      </c>
      <c r="M31" s="12">
        <f t="shared" si="1"/>
        <v>4.2500000000000009</v>
      </c>
      <c r="N31" s="12">
        <f>InterviewsRaw[[#This Row],[Trip Hours]]*InterviewsRaw[[#This Row],['#Angler]]</f>
        <v>4.2500000000000009</v>
      </c>
      <c r="O31" t="s">
        <v>342</v>
      </c>
      <c r="Q31" t="s">
        <v>238</v>
      </c>
      <c r="R31" s="11">
        <v>0</v>
      </c>
      <c r="S31">
        <v>0</v>
      </c>
      <c r="T31">
        <v>0</v>
      </c>
      <c r="U31">
        <v>1</v>
      </c>
      <c r="V31" s="11">
        <v>0</v>
      </c>
      <c r="W31">
        <v>0</v>
      </c>
      <c r="X31">
        <v>0</v>
      </c>
      <c r="Y31">
        <v>0</v>
      </c>
      <c r="Z31" s="11">
        <f>InterviewsRaw[[#This Row],[Chi Kept]]+InterviewsRaw[[#This Row],[Chi Released]]</f>
        <v>0</v>
      </c>
      <c r="AA31">
        <f>InterviewsRaw[[#This Row],[Co Kept]]+InterviewsRaw[[#This Row],[Co Released ]]</f>
        <v>0</v>
      </c>
      <c r="AB31">
        <f>InterviewsRaw[[#This Row],[Pink Kept]]+InterviewsRaw[[#This Row],[Pink Released]]</f>
        <v>0</v>
      </c>
      <c r="AC31">
        <f>InterviewsRaw[[#This Row],[Chu Kept]]+InterviewsRaw[[#This Row],[Chu Released]]</f>
        <v>1</v>
      </c>
    </row>
    <row r="32" spans="1:29" x14ac:dyDescent="0.3">
      <c r="A32" s="7">
        <v>45966</v>
      </c>
      <c r="B32">
        <v>12</v>
      </c>
      <c r="C32" t="s">
        <v>236</v>
      </c>
      <c r="D32" t="s">
        <v>42</v>
      </c>
      <c r="E32">
        <v>9</v>
      </c>
      <c r="F32">
        <v>3</v>
      </c>
      <c r="G32">
        <v>6</v>
      </c>
      <c r="H32" t="s">
        <v>241</v>
      </c>
      <c r="I32">
        <v>1</v>
      </c>
      <c r="J32" s="10">
        <v>0.375</v>
      </c>
      <c r="K32" s="10">
        <v>0.55555555555555558</v>
      </c>
      <c r="L32" s="10">
        <f t="shared" si="0"/>
        <v>0.18055555555555558</v>
      </c>
      <c r="M32" s="12">
        <f t="shared" si="1"/>
        <v>4.3333333333333339</v>
      </c>
      <c r="N32" s="12">
        <f>InterviewsRaw[[#This Row],[Trip Hours]]*InterviewsRaw[[#This Row],['#Angler]]</f>
        <v>4.3333333333333339</v>
      </c>
      <c r="O32" t="s">
        <v>342</v>
      </c>
      <c r="P32" t="s">
        <v>372</v>
      </c>
      <c r="Q32" t="s">
        <v>224</v>
      </c>
      <c r="R32" s="11">
        <v>0</v>
      </c>
      <c r="S32">
        <v>0</v>
      </c>
      <c r="T32">
        <v>0</v>
      </c>
      <c r="U32">
        <v>1</v>
      </c>
      <c r="V32" s="11">
        <v>0</v>
      </c>
      <c r="W32">
        <v>0</v>
      </c>
      <c r="X32">
        <v>0</v>
      </c>
      <c r="Y32">
        <v>0</v>
      </c>
      <c r="Z32" s="11">
        <f>InterviewsRaw[[#This Row],[Chi Kept]]+InterviewsRaw[[#This Row],[Chi Released]]</f>
        <v>0</v>
      </c>
      <c r="AA32">
        <f>InterviewsRaw[[#This Row],[Co Kept]]+InterviewsRaw[[#This Row],[Co Released ]]</f>
        <v>0</v>
      </c>
      <c r="AB32">
        <f>InterviewsRaw[[#This Row],[Pink Kept]]+InterviewsRaw[[#This Row],[Pink Released]]</f>
        <v>0</v>
      </c>
      <c r="AC32">
        <f>InterviewsRaw[[#This Row],[Chu Kept]]+InterviewsRaw[[#This Row],[Chu Released]]</f>
        <v>1</v>
      </c>
    </row>
    <row r="33" spans="1:29" x14ac:dyDescent="0.3">
      <c r="A33" s="7">
        <v>45966</v>
      </c>
      <c r="B33">
        <v>12</v>
      </c>
      <c r="C33" t="s">
        <v>236</v>
      </c>
      <c r="D33" t="s">
        <v>42</v>
      </c>
      <c r="E33">
        <v>10</v>
      </c>
      <c r="F33">
        <v>3</v>
      </c>
      <c r="G33">
        <v>8</v>
      </c>
      <c r="H33" t="s">
        <v>241</v>
      </c>
      <c r="I33">
        <v>1</v>
      </c>
      <c r="J33" s="10">
        <v>0.40625</v>
      </c>
      <c r="K33" s="10">
        <v>0.59097222222222223</v>
      </c>
      <c r="L33" s="10">
        <f t="shared" si="0"/>
        <v>0.18472222222222223</v>
      </c>
      <c r="M33" s="12">
        <f t="shared" si="1"/>
        <v>4.4333333333333336</v>
      </c>
      <c r="N33" s="12">
        <f>InterviewsRaw[[#This Row],[Trip Hours]]*InterviewsRaw[[#This Row],['#Angler]]</f>
        <v>4.4333333333333336</v>
      </c>
      <c r="O33" t="s">
        <v>342</v>
      </c>
      <c r="Q33" t="s">
        <v>224</v>
      </c>
      <c r="R33" s="11">
        <v>0</v>
      </c>
      <c r="S33">
        <v>0</v>
      </c>
      <c r="T33">
        <v>0</v>
      </c>
      <c r="U33">
        <v>2</v>
      </c>
      <c r="V33" s="11">
        <v>0</v>
      </c>
      <c r="W33">
        <v>0</v>
      </c>
      <c r="X33">
        <v>0</v>
      </c>
      <c r="Y33">
        <v>8</v>
      </c>
      <c r="Z33" s="11">
        <f>InterviewsRaw[[#This Row],[Chi Kept]]+InterviewsRaw[[#This Row],[Chi Released]]</f>
        <v>0</v>
      </c>
      <c r="AA33">
        <f>InterviewsRaw[[#This Row],[Co Kept]]+InterviewsRaw[[#This Row],[Co Released ]]</f>
        <v>0</v>
      </c>
      <c r="AB33">
        <f>InterviewsRaw[[#This Row],[Pink Kept]]+InterviewsRaw[[#This Row],[Pink Released]]</f>
        <v>0</v>
      </c>
      <c r="AC33">
        <f>InterviewsRaw[[#This Row],[Chu Kept]]+InterviewsRaw[[#This Row],[Chu Released]]</f>
        <v>10</v>
      </c>
    </row>
    <row r="34" spans="1:29" x14ac:dyDescent="0.3">
      <c r="A34" s="7">
        <v>45966</v>
      </c>
      <c r="B34">
        <v>12</v>
      </c>
      <c r="C34" t="s">
        <v>236</v>
      </c>
      <c r="D34" t="s">
        <v>42</v>
      </c>
      <c r="E34">
        <v>11</v>
      </c>
      <c r="F34">
        <v>3</v>
      </c>
      <c r="G34">
        <v>8</v>
      </c>
      <c r="H34" t="s">
        <v>241</v>
      </c>
      <c r="I34">
        <v>2</v>
      </c>
      <c r="J34" s="10">
        <v>0.45833333333333331</v>
      </c>
      <c r="K34" s="10">
        <v>0.59305555555555556</v>
      </c>
      <c r="L34" s="10">
        <f t="shared" si="0"/>
        <v>0.13472222222222224</v>
      </c>
      <c r="M34" s="12">
        <f t="shared" si="1"/>
        <v>3.2333333333333338</v>
      </c>
      <c r="N34" s="12">
        <f>InterviewsRaw[[#This Row],[Trip Hours]]*InterviewsRaw[[#This Row],['#Angler]]</f>
        <v>6.4666666666666677</v>
      </c>
      <c r="O34" t="s">
        <v>342</v>
      </c>
      <c r="Q34" t="s">
        <v>224</v>
      </c>
      <c r="R34" s="11">
        <v>0</v>
      </c>
      <c r="S34">
        <v>0</v>
      </c>
      <c r="T34">
        <v>0</v>
      </c>
      <c r="U34">
        <v>4</v>
      </c>
      <c r="V34" s="11">
        <v>0</v>
      </c>
      <c r="W34">
        <v>0</v>
      </c>
      <c r="X34">
        <v>0</v>
      </c>
      <c r="Y34">
        <v>0</v>
      </c>
      <c r="Z34" s="11">
        <f>InterviewsRaw[[#This Row],[Chi Kept]]+InterviewsRaw[[#This Row],[Chi Released]]</f>
        <v>0</v>
      </c>
      <c r="AA34">
        <f>InterviewsRaw[[#This Row],[Co Kept]]+InterviewsRaw[[#This Row],[Co Released ]]</f>
        <v>0</v>
      </c>
      <c r="AB34">
        <f>InterviewsRaw[[#This Row],[Pink Kept]]+InterviewsRaw[[#This Row],[Pink Released]]</f>
        <v>0</v>
      </c>
      <c r="AC34">
        <f>InterviewsRaw[[#This Row],[Chu Kept]]+InterviewsRaw[[#This Row],[Chu Released]]</f>
        <v>4</v>
      </c>
    </row>
    <row r="35" spans="1:29" x14ac:dyDescent="0.3">
      <c r="A35" s="7">
        <v>45966</v>
      </c>
      <c r="B35">
        <v>12</v>
      </c>
      <c r="C35" t="s">
        <v>236</v>
      </c>
      <c r="D35" t="s">
        <v>42</v>
      </c>
      <c r="E35">
        <v>12</v>
      </c>
      <c r="F35">
        <v>4</v>
      </c>
      <c r="G35">
        <v>2</v>
      </c>
      <c r="H35" t="s">
        <v>241</v>
      </c>
      <c r="I35">
        <v>2</v>
      </c>
      <c r="J35" s="10">
        <v>0.5625</v>
      </c>
      <c r="K35" s="10">
        <v>0.61111111111111116</v>
      </c>
      <c r="L35" s="10">
        <f t="shared" si="0"/>
        <v>4.861111111111116E-2</v>
      </c>
      <c r="M35" s="12">
        <f t="shared" si="1"/>
        <v>1.1666666666666679</v>
      </c>
      <c r="N35" s="12">
        <f>InterviewsRaw[[#This Row],[Trip Hours]]*InterviewsRaw[[#This Row],['#Angler]]</f>
        <v>2.3333333333333357</v>
      </c>
      <c r="O35" t="s">
        <v>349</v>
      </c>
      <c r="P35" t="s">
        <v>372</v>
      </c>
      <c r="Q35" t="s">
        <v>364</v>
      </c>
      <c r="R35" s="11">
        <v>0</v>
      </c>
      <c r="S35">
        <v>0</v>
      </c>
      <c r="T35">
        <v>0</v>
      </c>
      <c r="U35">
        <v>0</v>
      </c>
      <c r="V35" s="11">
        <v>0</v>
      </c>
      <c r="W35">
        <v>0</v>
      </c>
      <c r="X35">
        <v>0</v>
      </c>
      <c r="Y35">
        <v>0</v>
      </c>
      <c r="Z35" s="11">
        <f>InterviewsRaw[[#This Row],[Chi Kept]]+InterviewsRaw[[#This Row],[Chi Released]]</f>
        <v>0</v>
      </c>
      <c r="AA35">
        <f>InterviewsRaw[[#This Row],[Co Kept]]+InterviewsRaw[[#This Row],[Co Released ]]</f>
        <v>0</v>
      </c>
      <c r="AB35">
        <f>InterviewsRaw[[#This Row],[Pink Kept]]+InterviewsRaw[[#This Row],[Pink Released]]</f>
        <v>0</v>
      </c>
      <c r="AC35">
        <f>InterviewsRaw[[#This Row],[Chu Kept]]+InterviewsRaw[[#This Row],[Chu Released]]</f>
        <v>0</v>
      </c>
    </row>
    <row r="36" spans="1:29" x14ac:dyDescent="0.3">
      <c r="A36" s="7">
        <v>45966</v>
      </c>
      <c r="B36">
        <v>12</v>
      </c>
      <c r="C36" t="s">
        <v>236</v>
      </c>
      <c r="D36" t="s">
        <v>42</v>
      </c>
      <c r="E36">
        <v>13</v>
      </c>
      <c r="F36">
        <v>4</v>
      </c>
      <c r="G36">
        <v>3</v>
      </c>
      <c r="H36" t="s">
        <v>241</v>
      </c>
      <c r="I36">
        <v>1</v>
      </c>
      <c r="J36" s="10">
        <v>0.375</v>
      </c>
      <c r="K36" s="10">
        <v>0.625</v>
      </c>
      <c r="L36" s="10">
        <f t="shared" si="0"/>
        <v>0.25</v>
      </c>
      <c r="M36" s="12">
        <f t="shared" si="1"/>
        <v>6</v>
      </c>
      <c r="N36" s="12">
        <f>InterviewsRaw[[#This Row],[Trip Hours]]*InterviewsRaw[[#This Row],['#Angler]]</f>
        <v>6</v>
      </c>
      <c r="O36" t="s">
        <v>342</v>
      </c>
      <c r="P36" t="s">
        <v>49</v>
      </c>
      <c r="Q36" t="s">
        <v>241</v>
      </c>
      <c r="R36" s="11">
        <v>0</v>
      </c>
      <c r="S36">
        <v>0</v>
      </c>
      <c r="T36">
        <v>0</v>
      </c>
      <c r="U36">
        <v>2</v>
      </c>
      <c r="V36" s="11">
        <v>0</v>
      </c>
      <c r="W36">
        <v>1</v>
      </c>
      <c r="X36">
        <v>0</v>
      </c>
      <c r="Y36">
        <v>20</v>
      </c>
      <c r="Z36" s="11">
        <f>InterviewsRaw[[#This Row],[Chi Kept]]+InterviewsRaw[[#This Row],[Chi Released]]</f>
        <v>0</v>
      </c>
      <c r="AA36">
        <f>InterviewsRaw[[#This Row],[Co Kept]]+InterviewsRaw[[#This Row],[Co Released ]]</f>
        <v>1</v>
      </c>
      <c r="AB36">
        <f>InterviewsRaw[[#This Row],[Pink Kept]]+InterviewsRaw[[#This Row],[Pink Released]]</f>
        <v>0</v>
      </c>
      <c r="AC36">
        <f>InterviewsRaw[[#This Row],[Chu Kept]]+InterviewsRaw[[#This Row],[Chu Released]]</f>
        <v>22</v>
      </c>
    </row>
    <row r="37" spans="1:29" x14ac:dyDescent="0.3">
      <c r="A37" s="7">
        <v>45966</v>
      </c>
      <c r="B37">
        <v>12</v>
      </c>
      <c r="C37" t="s">
        <v>236</v>
      </c>
      <c r="D37" t="s">
        <v>42</v>
      </c>
      <c r="E37">
        <v>14</v>
      </c>
      <c r="F37">
        <v>4</v>
      </c>
      <c r="G37">
        <v>3</v>
      </c>
      <c r="H37" t="s">
        <v>241</v>
      </c>
      <c r="I37">
        <v>1</v>
      </c>
      <c r="J37" s="10">
        <v>0.41666666666666669</v>
      </c>
      <c r="K37" s="10">
        <v>0.63055555555555554</v>
      </c>
      <c r="L37" s="10">
        <f t="shared" si="0"/>
        <v>0.21388888888888885</v>
      </c>
      <c r="M37" s="12">
        <f t="shared" si="1"/>
        <v>5.1333333333333329</v>
      </c>
      <c r="N37" s="12">
        <f>InterviewsRaw[[#This Row],[Trip Hours]]*InterviewsRaw[[#This Row],['#Angler]]</f>
        <v>5.1333333333333329</v>
      </c>
      <c r="O37" t="s">
        <v>342</v>
      </c>
      <c r="P37" t="s">
        <v>372</v>
      </c>
      <c r="Q37" t="s">
        <v>224</v>
      </c>
      <c r="R37" s="11">
        <v>0</v>
      </c>
      <c r="S37">
        <v>0</v>
      </c>
      <c r="T37">
        <v>0</v>
      </c>
      <c r="U37">
        <v>0</v>
      </c>
      <c r="V37" s="11">
        <v>0</v>
      </c>
      <c r="W37">
        <v>0</v>
      </c>
      <c r="X37">
        <v>0</v>
      </c>
      <c r="Y37">
        <v>25</v>
      </c>
      <c r="Z37" s="11">
        <f>InterviewsRaw[[#This Row],[Chi Kept]]+InterviewsRaw[[#This Row],[Chi Released]]</f>
        <v>0</v>
      </c>
      <c r="AA37">
        <f>InterviewsRaw[[#This Row],[Co Kept]]+InterviewsRaw[[#This Row],[Co Released ]]</f>
        <v>0</v>
      </c>
      <c r="AB37">
        <f>InterviewsRaw[[#This Row],[Pink Kept]]+InterviewsRaw[[#This Row],[Pink Released]]</f>
        <v>0</v>
      </c>
      <c r="AC37">
        <f>InterviewsRaw[[#This Row],[Chu Kept]]+InterviewsRaw[[#This Row],[Chu Released]]</f>
        <v>25</v>
      </c>
    </row>
    <row r="38" spans="1:29" x14ac:dyDescent="0.3">
      <c r="A38" s="7">
        <v>45966</v>
      </c>
      <c r="B38">
        <v>12</v>
      </c>
      <c r="C38" t="s">
        <v>236</v>
      </c>
      <c r="D38" t="s">
        <v>42</v>
      </c>
      <c r="E38">
        <v>15</v>
      </c>
      <c r="F38">
        <v>4</v>
      </c>
      <c r="G38">
        <v>3</v>
      </c>
      <c r="H38" t="s">
        <v>241</v>
      </c>
      <c r="I38">
        <v>1</v>
      </c>
      <c r="J38" s="10">
        <v>0.54166666666666663</v>
      </c>
      <c r="K38" s="10">
        <v>0.67152777777777772</v>
      </c>
      <c r="L38" s="10">
        <f t="shared" si="0"/>
        <v>0.12986111111111109</v>
      </c>
      <c r="M38" s="12">
        <f t="shared" si="1"/>
        <v>3.1166666666666663</v>
      </c>
      <c r="N38" s="12">
        <f>InterviewsRaw[[#This Row],[Trip Hours]]*InterviewsRaw[[#This Row],['#Angler]]</f>
        <v>3.1166666666666663</v>
      </c>
      <c r="O38" t="s">
        <v>342</v>
      </c>
      <c r="P38" t="s">
        <v>305</v>
      </c>
      <c r="Q38" t="s">
        <v>224</v>
      </c>
      <c r="R38" s="11">
        <v>0</v>
      </c>
      <c r="S38">
        <v>0</v>
      </c>
      <c r="T38">
        <v>0</v>
      </c>
      <c r="U38">
        <v>0</v>
      </c>
      <c r="V38" s="11">
        <v>0</v>
      </c>
      <c r="W38">
        <v>0</v>
      </c>
      <c r="X38">
        <v>0</v>
      </c>
      <c r="Y38">
        <v>1</v>
      </c>
      <c r="Z38" s="11">
        <f>InterviewsRaw[[#This Row],[Chi Kept]]+InterviewsRaw[[#This Row],[Chi Released]]</f>
        <v>0</v>
      </c>
      <c r="AA38">
        <f>InterviewsRaw[[#This Row],[Co Kept]]+InterviewsRaw[[#This Row],[Co Released ]]</f>
        <v>0</v>
      </c>
      <c r="AB38">
        <f>InterviewsRaw[[#This Row],[Pink Kept]]+InterviewsRaw[[#This Row],[Pink Released]]</f>
        <v>0</v>
      </c>
      <c r="AC38">
        <f>InterviewsRaw[[#This Row],[Chu Kept]]+InterviewsRaw[[#This Row],[Chu Released]]</f>
        <v>1</v>
      </c>
    </row>
    <row r="39" spans="1:29" x14ac:dyDescent="0.3">
      <c r="A39" s="7">
        <v>45966</v>
      </c>
      <c r="B39">
        <v>12</v>
      </c>
      <c r="C39" t="s">
        <v>236</v>
      </c>
      <c r="D39" t="s">
        <v>42</v>
      </c>
      <c r="E39">
        <v>16</v>
      </c>
      <c r="F39">
        <v>4</v>
      </c>
      <c r="G39">
        <v>3</v>
      </c>
      <c r="H39" t="s">
        <v>241</v>
      </c>
      <c r="I39">
        <v>1</v>
      </c>
      <c r="J39" s="10">
        <v>0.52083333333333337</v>
      </c>
      <c r="K39" s="10">
        <v>0.67222222222222228</v>
      </c>
      <c r="L39" s="10">
        <f t="shared" si="0"/>
        <v>0.15138888888888891</v>
      </c>
      <c r="M39" s="12">
        <f t="shared" si="1"/>
        <v>3.6333333333333337</v>
      </c>
      <c r="N39" s="12">
        <f>InterviewsRaw[[#This Row],[Trip Hours]]*InterviewsRaw[[#This Row],['#Angler]]</f>
        <v>3.6333333333333337</v>
      </c>
      <c r="O39" t="s">
        <v>342</v>
      </c>
      <c r="Q39" t="s">
        <v>241</v>
      </c>
      <c r="R39" s="11">
        <v>0</v>
      </c>
      <c r="S39">
        <v>0</v>
      </c>
      <c r="T39">
        <v>0</v>
      </c>
      <c r="U39">
        <v>1</v>
      </c>
      <c r="V39" s="11">
        <v>0</v>
      </c>
      <c r="W39">
        <v>1</v>
      </c>
      <c r="X39">
        <v>0</v>
      </c>
      <c r="Y39">
        <v>15</v>
      </c>
      <c r="Z39" s="11">
        <f>InterviewsRaw[[#This Row],[Chi Kept]]+InterviewsRaw[[#This Row],[Chi Released]]</f>
        <v>0</v>
      </c>
      <c r="AA39">
        <f>InterviewsRaw[[#This Row],[Co Kept]]+InterviewsRaw[[#This Row],[Co Released ]]</f>
        <v>1</v>
      </c>
      <c r="AB39">
        <f>InterviewsRaw[[#This Row],[Pink Kept]]+InterviewsRaw[[#This Row],[Pink Released]]</f>
        <v>0</v>
      </c>
      <c r="AC39">
        <f>InterviewsRaw[[#This Row],[Chu Kept]]+InterviewsRaw[[#This Row],[Chu Released]]</f>
        <v>16</v>
      </c>
    </row>
    <row r="40" spans="1:29" x14ac:dyDescent="0.3">
      <c r="A40" s="7">
        <v>45966</v>
      </c>
      <c r="B40">
        <v>12</v>
      </c>
      <c r="C40" t="s">
        <v>236</v>
      </c>
      <c r="D40" t="s">
        <v>42</v>
      </c>
      <c r="E40">
        <v>17</v>
      </c>
      <c r="F40">
        <v>4</v>
      </c>
      <c r="G40">
        <v>3</v>
      </c>
      <c r="H40" t="s">
        <v>241</v>
      </c>
      <c r="I40">
        <v>1</v>
      </c>
      <c r="J40" s="10">
        <v>0.45833333333333331</v>
      </c>
      <c r="K40" s="10">
        <v>0.67291666666666672</v>
      </c>
      <c r="L40" s="10">
        <f t="shared" si="0"/>
        <v>0.2145833333333334</v>
      </c>
      <c r="M40" s="12">
        <f t="shared" si="1"/>
        <v>5.1500000000000021</v>
      </c>
      <c r="N40" s="12">
        <f>InterviewsRaw[[#This Row],[Trip Hours]]*InterviewsRaw[[#This Row],['#Angler]]</f>
        <v>5.1500000000000021</v>
      </c>
      <c r="O40" t="s">
        <v>342</v>
      </c>
      <c r="Q40" t="s">
        <v>224</v>
      </c>
      <c r="R40" s="11">
        <v>0</v>
      </c>
      <c r="S40">
        <v>0</v>
      </c>
      <c r="T40">
        <v>0</v>
      </c>
      <c r="U40">
        <v>0</v>
      </c>
      <c r="V40" s="11">
        <v>0</v>
      </c>
      <c r="W40">
        <v>0</v>
      </c>
      <c r="X40">
        <v>0</v>
      </c>
      <c r="Y40">
        <v>20</v>
      </c>
      <c r="Z40" s="11">
        <f>InterviewsRaw[[#This Row],[Chi Kept]]+InterviewsRaw[[#This Row],[Chi Released]]</f>
        <v>0</v>
      </c>
      <c r="AA40">
        <f>InterviewsRaw[[#This Row],[Co Kept]]+InterviewsRaw[[#This Row],[Co Released ]]</f>
        <v>0</v>
      </c>
      <c r="AB40">
        <f>InterviewsRaw[[#This Row],[Pink Kept]]+InterviewsRaw[[#This Row],[Pink Released]]</f>
        <v>0</v>
      </c>
      <c r="AC40">
        <f>InterviewsRaw[[#This Row],[Chu Kept]]+InterviewsRaw[[#This Row],[Chu Released]]</f>
        <v>20</v>
      </c>
    </row>
    <row r="41" spans="1:29" x14ac:dyDescent="0.3">
      <c r="A41" s="7">
        <v>45966</v>
      </c>
      <c r="B41">
        <v>12</v>
      </c>
      <c r="C41" t="s">
        <v>236</v>
      </c>
      <c r="D41" t="s">
        <v>42</v>
      </c>
      <c r="E41">
        <v>18</v>
      </c>
      <c r="F41">
        <v>4</v>
      </c>
      <c r="G41">
        <v>3</v>
      </c>
      <c r="H41" t="s">
        <v>241</v>
      </c>
      <c r="I41">
        <v>1</v>
      </c>
      <c r="J41" s="10">
        <v>0.5625</v>
      </c>
      <c r="K41" s="10">
        <v>0.67500000000000004</v>
      </c>
      <c r="L41" s="10">
        <f t="shared" si="0"/>
        <v>0.11250000000000004</v>
      </c>
      <c r="M41" s="12">
        <f t="shared" si="1"/>
        <v>2.7000000000000011</v>
      </c>
      <c r="N41" s="12">
        <f>InterviewsRaw[[#This Row],[Trip Hours]]*InterviewsRaw[[#This Row],['#Angler]]</f>
        <v>2.7000000000000011</v>
      </c>
      <c r="O41" t="s">
        <v>342</v>
      </c>
      <c r="Q41" t="s">
        <v>224</v>
      </c>
      <c r="R41" s="11">
        <v>0</v>
      </c>
      <c r="S41">
        <v>0</v>
      </c>
      <c r="T41">
        <v>0</v>
      </c>
      <c r="U41">
        <v>3</v>
      </c>
      <c r="V41" s="11">
        <v>0</v>
      </c>
      <c r="W41">
        <v>0</v>
      </c>
      <c r="X41">
        <v>0</v>
      </c>
      <c r="Y41">
        <v>0</v>
      </c>
      <c r="Z41" s="11">
        <f>InterviewsRaw[[#This Row],[Chi Kept]]+InterviewsRaw[[#This Row],[Chi Released]]</f>
        <v>0</v>
      </c>
      <c r="AA41">
        <f>InterviewsRaw[[#This Row],[Co Kept]]+InterviewsRaw[[#This Row],[Co Released ]]</f>
        <v>0</v>
      </c>
      <c r="AB41">
        <f>InterviewsRaw[[#This Row],[Pink Kept]]+InterviewsRaw[[#This Row],[Pink Released]]</f>
        <v>0</v>
      </c>
      <c r="AC41">
        <f>InterviewsRaw[[#This Row],[Chu Kept]]+InterviewsRaw[[#This Row],[Chu Released]]</f>
        <v>3</v>
      </c>
    </row>
    <row r="42" spans="1:29" x14ac:dyDescent="0.3">
      <c r="A42" s="7">
        <v>45966</v>
      </c>
      <c r="B42">
        <v>12</v>
      </c>
      <c r="C42" t="s">
        <v>236</v>
      </c>
      <c r="D42" t="s">
        <v>42</v>
      </c>
      <c r="E42">
        <v>19</v>
      </c>
      <c r="F42">
        <v>4</v>
      </c>
      <c r="G42">
        <v>3</v>
      </c>
      <c r="H42" t="s">
        <v>241</v>
      </c>
      <c r="I42">
        <v>1</v>
      </c>
      <c r="J42" s="10">
        <v>0.58333333333333337</v>
      </c>
      <c r="K42" s="10">
        <v>0.68472222222222223</v>
      </c>
      <c r="L42" s="10">
        <f t="shared" si="0"/>
        <v>0.10138888888888886</v>
      </c>
      <c r="M42" s="12">
        <f t="shared" si="1"/>
        <v>2.4333333333333327</v>
      </c>
      <c r="N42" s="12">
        <f>InterviewsRaw[[#This Row],[Trip Hours]]*InterviewsRaw[[#This Row],['#Angler]]</f>
        <v>2.4333333333333327</v>
      </c>
      <c r="O42" t="s">
        <v>342</v>
      </c>
      <c r="Q42" t="s">
        <v>241</v>
      </c>
      <c r="R42" s="11">
        <v>0</v>
      </c>
      <c r="S42">
        <v>0</v>
      </c>
      <c r="T42">
        <v>0</v>
      </c>
      <c r="U42">
        <v>0</v>
      </c>
      <c r="V42" s="11">
        <v>0</v>
      </c>
      <c r="W42">
        <v>0</v>
      </c>
      <c r="X42">
        <v>0</v>
      </c>
      <c r="Y42">
        <v>6</v>
      </c>
      <c r="Z42" s="11">
        <f>InterviewsRaw[[#This Row],[Chi Kept]]+InterviewsRaw[[#This Row],[Chi Released]]</f>
        <v>0</v>
      </c>
      <c r="AA42">
        <f>InterviewsRaw[[#This Row],[Co Kept]]+InterviewsRaw[[#This Row],[Co Released ]]</f>
        <v>0</v>
      </c>
      <c r="AB42">
        <f>InterviewsRaw[[#This Row],[Pink Kept]]+InterviewsRaw[[#This Row],[Pink Released]]</f>
        <v>0</v>
      </c>
      <c r="AC42">
        <f>InterviewsRaw[[#This Row],[Chu Kept]]+InterviewsRaw[[#This Row],[Chu Released]]</f>
        <v>6</v>
      </c>
    </row>
    <row r="43" spans="1:29" x14ac:dyDescent="0.3">
      <c r="A43" s="7">
        <v>45967</v>
      </c>
      <c r="B43">
        <v>12</v>
      </c>
      <c r="C43" t="s">
        <v>236</v>
      </c>
      <c r="D43" t="s">
        <v>26</v>
      </c>
      <c r="E43">
        <v>1</v>
      </c>
      <c r="F43">
        <v>3</v>
      </c>
      <c r="G43">
        <v>6</v>
      </c>
      <c r="H43" t="s">
        <v>241</v>
      </c>
      <c r="I43">
        <v>1</v>
      </c>
      <c r="J43" s="10">
        <v>0.37152777777777779</v>
      </c>
      <c r="K43" s="10">
        <v>0.38194444444444442</v>
      </c>
      <c r="L43" s="10">
        <f t="shared" si="0"/>
        <v>1.041666666666663E-2</v>
      </c>
      <c r="M43" s="12">
        <f t="shared" si="1"/>
        <v>0.24999999999999911</v>
      </c>
      <c r="N43" s="12">
        <f>InterviewsRaw[[#This Row],[Trip Hours]]*InterviewsRaw[[#This Row],['#Angler]]</f>
        <v>0.24999999999999911</v>
      </c>
      <c r="O43" t="s">
        <v>342</v>
      </c>
      <c r="Q43" t="s">
        <v>224</v>
      </c>
      <c r="R43" s="11">
        <v>0</v>
      </c>
      <c r="S43">
        <v>0</v>
      </c>
      <c r="T43">
        <v>0</v>
      </c>
      <c r="U43">
        <v>0</v>
      </c>
      <c r="V43" s="11">
        <v>0</v>
      </c>
      <c r="W43">
        <v>0</v>
      </c>
      <c r="X43">
        <v>0</v>
      </c>
      <c r="Y43">
        <v>0</v>
      </c>
      <c r="Z43" s="11">
        <f>InterviewsRaw[[#This Row],[Chi Kept]]+InterviewsRaw[[#This Row],[Chi Released]]</f>
        <v>0</v>
      </c>
      <c r="AA43">
        <f>InterviewsRaw[[#This Row],[Co Kept]]+InterviewsRaw[[#This Row],[Co Released ]]</f>
        <v>0</v>
      </c>
      <c r="AB43">
        <f>InterviewsRaw[[#This Row],[Pink Kept]]+InterviewsRaw[[#This Row],[Pink Released]]</f>
        <v>0</v>
      </c>
      <c r="AC43">
        <f>InterviewsRaw[[#This Row],[Chu Kept]]+InterviewsRaw[[#This Row],[Chu Released]]</f>
        <v>0</v>
      </c>
    </row>
    <row r="44" spans="1:29" x14ac:dyDescent="0.3">
      <c r="A44" s="7">
        <v>45967</v>
      </c>
      <c r="B44">
        <v>12</v>
      </c>
      <c r="C44" t="s">
        <v>236</v>
      </c>
      <c r="D44" t="s">
        <v>26</v>
      </c>
      <c r="E44">
        <v>2</v>
      </c>
      <c r="F44">
        <v>3</v>
      </c>
      <c r="G44">
        <v>6</v>
      </c>
      <c r="H44" t="s">
        <v>241</v>
      </c>
      <c r="I44">
        <v>1</v>
      </c>
      <c r="J44" s="10">
        <v>0.29166666666666669</v>
      </c>
      <c r="K44" s="10">
        <v>0.39513888888888887</v>
      </c>
      <c r="L44" s="10">
        <f t="shared" si="0"/>
        <v>0.10347222222222219</v>
      </c>
      <c r="M44" s="12">
        <f t="shared" si="1"/>
        <v>2.4833333333333325</v>
      </c>
      <c r="N44" s="12">
        <f>InterviewsRaw[[#This Row],[Trip Hours]]*InterviewsRaw[[#This Row],['#Angler]]</f>
        <v>2.4833333333333325</v>
      </c>
      <c r="O44" t="s">
        <v>342</v>
      </c>
      <c r="Q44" t="s">
        <v>224</v>
      </c>
      <c r="R44" s="11">
        <v>0</v>
      </c>
      <c r="S44">
        <v>0</v>
      </c>
      <c r="T44">
        <v>0</v>
      </c>
      <c r="U44">
        <v>3</v>
      </c>
      <c r="V44" s="11">
        <v>0</v>
      </c>
      <c r="W44">
        <v>0</v>
      </c>
      <c r="X44">
        <v>0</v>
      </c>
      <c r="Y44">
        <v>0</v>
      </c>
      <c r="Z44" s="11">
        <f>InterviewsRaw[[#This Row],[Chi Kept]]+InterviewsRaw[[#This Row],[Chi Released]]</f>
        <v>0</v>
      </c>
      <c r="AA44">
        <f>InterviewsRaw[[#This Row],[Co Kept]]+InterviewsRaw[[#This Row],[Co Released ]]</f>
        <v>0</v>
      </c>
      <c r="AB44">
        <f>InterviewsRaw[[#This Row],[Pink Kept]]+InterviewsRaw[[#This Row],[Pink Released]]</f>
        <v>0</v>
      </c>
      <c r="AC44">
        <f>InterviewsRaw[[#This Row],[Chu Kept]]+InterviewsRaw[[#This Row],[Chu Released]]</f>
        <v>3</v>
      </c>
    </row>
    <row r="45" spans="1:29" x14ac:dyDescent="0.3">
      <c r="A45" s="7">
        <v>45967</v>
      </c>
      <c r="B45">
        <v>12</v>
      </c>
      <c r="C45" t="s">
        <v>236</v>
      </c>
      <c r="D45" t="s">
        <v>26</v>
      </c>
      <c r="E45">
        <v>3</v>
      </c>
      <c r="F45">
        <v>3</v>
      </c>
      <c r="G45">
        <v>6</v>
      </c>
      <c r="H45" t="s">
        <v>241</v>
      </c>
      <c r="I45">
        <v>1</v>
      </c>
      <c r="J45" s="10">
        <v>0.29166666666666669</v>
      </c>
      <c r="K45" s="10">
        <v>0.40277777777777779</v>
      </c>
      <c r="L45" s="10">
        <f t="shared" si="0"/>
        <v>0.1111111111111111</v>
      </c>
      <c r="M45" s="12">
        <f t="shared" si="1"/>
        <v>2.6666666666666665</v>
      </c>
      <c r="N45" s="12">
        <f>InterviewsRaw[[#This Row],[Trip Hours]]*InterviewsRaw[[#This Row],['#Angler]]</f>
        <v>2.6666666666666665</v>
      </c>
      <c r="O45" t="s">
        <v>342</v>
      </c>
      <c r="Q45" t="s">
        <v>224</v>
      </c>
      <c r="R45" s="11">
        <v>0</v>
      </c>
      <c r="S45">
        <v>0</v>
      </c>
      <c r="T45">
        <v>0</v>
      </c>
      <c r="U45">
        <v>3</v>
      </c>
      <c r="V45" s="11">
        <v>0</v>
      </c>
      <c r="W45">
        <v>0</v>
      </c>
      <c r="X45">
        <v>0</v>
      </c>
      <c r="Y45">
        <v>0</v>
      </c>
      <c r="Z45" s="11">
        <f>InterviewsRaw[[#This Row],[Chi Kept]]+InterviewsRaw[[#This Row],[Chi Released]]</f>
        <v>0</v>
      </c>
      <c r="AA45">
        <f>InterviewsRaw[[#This Row],[Co Kept]]+InterviewsRaw[[#This Row],[Co Released ]]</f>
        <v>0</v>
      </c>
      <c r="AB45">
        <f>InterviewsRaw[[#This Row],[Pink Kept]]+InterviewsRaw[[#This Row],[Pink Released]]</f>
        <v>0</v>
      </c>
      <c r="AC45">
        <f>InterviewsRaw[[#This Row],[Chu Kept]]+InterviewsRaw[[#This Row],[Chu Released]]</f>
        <v>3</v>
      </c>
    </row>
    <row r="46" spans="1:29" x14ac:dyDescent="0.3">
      <c r="A46" s="7">
        <v>45967</v>
      </c>
      <c r="B46">
        <v>12</v>
      </c>
      <c r="C46" t="s">
        <v>236</v>
      </c>
      <c r="D46" t="s">
        <v>26</v>
      </c>
      <c r="E46">
        <v>4</v>
      </c>
      <c r="F46">
        <v>3</v>
      </c>
      <c r="G46">
        <v>6</v>
      </c>
      <c r="H46" t="s">
        <v>241</v>
      </c>
      <c r="I46">
        <v>1</v>
      </c>
      <c r="J46" s="10">
        <v>0.29166666666666669</v>
      </c>
      <c r="K46" s="10">
        <v>0.40347222222222223</v>
      </c>
      <c r="L46" s="10">
        <f t="shared" si="0"/>
        <v>0.11180555555555555</v>
      </c>
      <c r="M46" s="12">
        <f t="shared" si="1"/>
        <v>2.6833333333333331</v>
      </c>
      <c r="N46" s="12">
        <f>InterviewsRaw[[#This Row],[Trip Hours]]*InterviewsRaw[[#This Row],['#Angler]]</f>
        <v>2.6833333333333331</v>
      </c>
      <c r="O46" t="s">
        <v>342</v>
      </c>
      <c r="Q46" t="s">
        <v>224</v>
      </c>
      <c r="R46" s="11">
        <v>0</v>
      </c>
      <c r="S46">
        <v>0</v>
      </c>
      <c r="T46">
        <v>0</v>
      </c>
      <c r="U46">
        <v>3</v>
      </c>
      <c r="V46" s="11">
        <v>0</v>
      </c>
      <c r="W46">
        <v>0</v>
      </c>
      <c r="X46">
        <v>0</v>
      </c>
      <c r="Y46">
        <v>0</v>
      </c>
      <c r="Z46" s="11">
        <f>InterviewsRaw[[#This Row],[Chi Kept]]+InterviewsRaw[[#This Row],[Chi Released]]</f>
        <v>0</v>
      </c>
      <c r="AA46">
        <f>InterviewsRaw[[#This Row],[Co Kept]]+InterviewsRaw[[#This Row],[Co Released ]]</f>
        <v>0</v>
      </c>
      <c r="AB46">
        <f>InterviewsRaw[[#This Row],[Pink Kept]]+InterviewsRaw[[#This Row],[Pink Released]]</f>
        <v>0</v>
      </c>
      <c r="AC46">
        <f>InterviewsRaw[[#This Row],[Chu Kept]]+InterviewsRaw[[#This Row],[Chu Released]]</f>
        <v>3</v>
      </c>
    </row>
    <row r="47" spans="1:29" x14ac:dyDescent="0.3">
      <c r="A47" s="7">
        <v>45967</v>
      </c>
      <c r="B47">
        <v>12</v>
      </c>
      <c r="C47" t="s">
        <v>236</v>
      </c>
      <c r="D47" t="s">
        <v>42</v>
      </c>
      <c r="E47">
        <v>5</v>
      </c>
      <c r="F47">
        <v>4</v>
      </c>
      <c r="G47">
        <v>3</v>
      </c>
      <c r="H47" t="s">
        <v>241</v>
      </c>
      <c r="I47">
        <v>1</v>
      </c>
      <c r="J47" s="10">
        <v>0.45833333333333331</v>
      </c>
      <c r="K47" s="10">
        <v>0.57291666666666663</v>
      </c>
      <c r="L47" s="10">
        <f t="shared" si="0"/>
        <v>0.11458333333333331</v>
      </c>
      <c r="M47" s="12">
        <f t="shared" si="1"/>
        <v>2.7499999999999996</v>
      </c>
      <c r="N47" s="12">
        <f>InterviewsRaw[[#This Row],[Trip Hours]]*InterviewsRaw[[#This Row],['#Angler]]</f>
        <v>2.7499999999999996</v>
      </c>
      <c r="O47" t="s">
        <v>342</v>
      </c>
      <c r="Q47" t="s">
        <v>224</v>
      </c>
      <c r="R47" s="11">
        <v>0</v>
      </c>
      <c r="S47">
        <v>0</v>
      </c>
      <c r="T47">
        <v>0</v>
      </c>
      <c r="U47">
        <v>3</v>
      </c>
      <c r="V47" s="11">
        <v>0</v>
      </c>
      <c r="W47">
        <v>0</v>
      </c>
      <c r="X47">
        <v>0</v>
      </c>
      <c r="Y47">
        <v>2</v>
      </c>
      <c r="Z47" s="11">
        <f>InterviewsRaw[[#This Row],[Chi Kept]]+InterviewsRaw[[#This Row],[Chi Released]]</f>
        <v>0</v>
      </c>
      <c r="AA47">
        <f>InterviewsRaw[[#This Row],[Co Kept]]+InterviewsRaw[[#This Row],[Co Released ]]</f>
        <v>0</v>
      </c>
      <c r="AB47">
        <f>InterviewsRaw[[#This Row],[Pink Kept]]+InterviewsRaw[[#This Row],[Pink Released]]</f>
        <v>0</v>
      </c>
      <c r="AC47">
        <f>InterviewsRaw[[#This Row],[Chu Kept]]+InterviewsRaw[[#This Row],[Chu Released]]</f>
        <v>5</v>
      </c>
    </row>
    <row r="48" spans="1:29" x14ac:dyDescent="0.3">
      <c r="A48" s="7">
        <v>45967</v>
      </c>
      <c r="B48">
        <v>12</v>
      </c>
      <c r="C48" t="s">
        <v>236</v>
      </c>
      <c r="D48" t="s">
        <v>42</v>
      </c>
      <c r="E48">
        <v>6</v>
      </c>
      <c r="F48">
        <v>4</v>
      </c>
      <c r="G48">
        <v>3</v>
      </c>
      <c r="H48" t="s">
        <v>241</v>
      </c>
      <c r="I48">
        <v>1</v>
      </c>
      <c r="J48" s="10">
        <v>0.45833333333333331</v>
      </c>
      <c r="K48" s="10">
        <v>0.58888888888888891</v>
      </c>
      <c r="L48" s="10">
        <f t="shared" si="0"/>
        <v>0.13055555555555559</v>
      </c>
      <c r="M48" s="12">
        <f t="shared" si="1"/>
        <v>3.1333333333333342</v>
      </c>
      <c r="N48" s="12">
        <f>InterviewsRaw[[#This Row],[Trip Hours]]*InterviewsRaw[[#This Row],['#Angler]]</f>
        <v>3.1333333333333342</v>
      </c>
      <c r="O48" t="s">
        <v>342</v>
      </c>
      <c r="P48" t="s">
        <v>29</v>
      </c>
      <c r="Q48" t="s">
        <v>224</v>
      </c>
      <c r="R48" s="11">
        <v>0</v>
      </c>
      <c r="S48">
        <v>0</v>
      </c>
      <c r="T48">
        <v>0</v>
      </c>
      <c r="U48">
        <v>0</v>
      </c>
      <c r="V48" s="11">
        <v>0</v>
      </c>
      <c r="W48">
        <v>0</v>
      </c>
      <c r="X48">
        <v>0</v>
      </c>
      <c r="Y48">
        <v>3</v>
      </c>
      <c r="Z48" s="11">
        <f>InterviewsRaw[[#This Row],[Chi Kept]]+InterviewsRaw[[#This Row],[Chi Released]]</f>
        <v>0</v>
      </c>
      <c r="AA48">
        <f>InterviewsRaw[[#This Row],[Co Kept]]+InterviewsRaw[[#This Row],[Co Released ]]</f>
        <v>0</v>
      </c>
      <c r="AB48">
        <f>InterviewsRaw[[#This Row],[Pink Kept]]+InterviewsRaw[[#This Row],[Pink Released]]</f>
        <v>0</v>
      </c>
      <c r="AC48">
        <f>InterviewsRaw[[#This Row],[Chu Kept]]+InterviewsRaw[[#This Row],[Chu Released]]</f>
        <v>3</v>
      </c>
    </row>
    <row r="49" spans="1:29" x14ac:dyDescent="0.3">
      <c r="A49" s="7">
        <v>45967</v>
      </c>
      <c r="B49">
        <v>12</v>
      </c>
      <c r="C49" t="s">
        <v>236</v>
      </c>
      <c r="D49" t="s">
        <v>42</v>
      </c>
      <c r="E49">
        <v>7</v>
      </c>
      <c r="F49">
        <v>4</v>
      </c>
      <c r="G49">
        <v>1</v>
      </c>
      <c r="H49" t="s">
        <v>241</v>
      </c>
      <c r="I49">
        <v>1</v>
      </c>
      <c r="J49" s="10">
        <v>0.5</v>
      </c>
      <c r="K49" s="10">
        <v>0.61111111111111116</v>
      </c>
      <c r="L49" s="10">
        <f t="shared" si="0"/>
        <v>0.11111111111111116</v>
      </c>
      <c r="M49" s="12">
        <f t="shared" si="1"/>
        <v>2.6666666666666679</v>
      </c>
      <c r="N49" s="12">
        <f>InterviewsRaw[[#This Row],[Trip Hours]]*InterviewsRaw[[#This Row],['#Angler]]</f>
        <v>2.6666666666666679</v>
      </c>
      <c r="O49" t="s">
        <v>342</v>
      </c>
      <c r="Q49" t="s">
        <v>224</v>
      </c>
      <c r="R49" s="11">
        <v>0</v>
      </c>
      <c r="S49">
        <v>0</v>
      </c>
      <c r="T49">
        <v>0</v>
      </c>
      <c r="U49">
        <v>0</v>
      </c>
      <c r="V49" s="11">
        <v>0</v>
      </c>
      <c r="W49">
        <v>0</v>
      </c>
      <c r="X49">
        <v>0</v>
      </c>
      <c r="Y49">
        <v>2</v>
      </c>
      <c r="Z49" s="11">
        <f>InterviewsRaw[[#This Row],[Chi Kept]]+InterviewsRaw[[#This Row],[Chi Released]]</f>
        <v>0</v>
      </c>
      <c r="AA49">
        <f>InterviewsRaw[[#This Row],[Co Kept]]+InterviewsRaw[[#This Row],[Co Released ]]</f>
        <v>0</v>
      </c>
      <c r="AB49">
        <f>InterviewsRaw[[#This Row],[Pink Kept]]+InterviewsRaw[[#This Row],[Pink Released]]</f>
        <v>0</v>
      </c>
      <c r="AC49">
        <f>InterviewsRaw[[#This Row],[Chu Kept]]+InterviewsRaw[[#This Row],[Chu Released]]</f>
        <v>2</v>
      </c>
    </row>
    <row r="50" spans="1:29" x14ac:dyDescent="0.3">
      <c r="A50" s="7">
        <v>45967</v>
      </c>
      <c r="B50">
        <v>12</v>
      </c>
      <c r="C50" t="s">
        <v>236</v>
      </c>
      <c r="D50" t="s">
        <v>42</v>
      </c>
      <c r="E50">
        <v>8</v>
      </c>
      <c r="F50">
        <v>3</v>
      </c>
      <c r="G50">
        <v>8</v>
      </c>
      <c r="H50" t="s">
        <v>241</v>
      </c>
      <c r="I50">
        <v>1</v>
      </c>
      <c r="J50" s="10">
        <v>0.57638888888888884</v>
      </c>
      <c r="K50" s="10">
        <v>0.61805555555555558</v>
      </c>
      <c r="L50" s="10">
        <f t="shared" si="0"/>
        <v>4.1666666666666741E-2</v>
      </c>
      <c r="M50" s="12">
        <f t="shared" si="1"/>
        <v>1.0000000000000018</v>
      </c>
      <c r="N50" s="12">
        <f>InterviewsRaw[[#This Row],[Trip Hours]]*InterviewsRaw[[#This Row],['#Angler]]</f>
        <v>1.0000000000000018</v>
      </c>
      <c r="O50" t="s">
        <v>342</v>
      </c>
      <c r="R50" s="11">
        <v>0</v>
      </c>
      <c r="S50">
        <v>0</v>
      </c>
      <c r="T50">
        <v>0</v>
      </c>
      <c r="U50">
        <v>0</v>
      </c>
      <c r="V50" s="11">
        <v>0</v>
      </c>
      <c r="W50">
        <v>0</v>
      </c>
      <c r="X50">
        <v>0</v>
      </c>
      <c r="Y50">
        <v>0</v>
      </c>
      <c r="Z50" s="11">
        <f>InterviewsRaw[[#This Row],[Chi Kept]]+InterviewsRaw[[#This Row],[Chi Released]]</f>
        <v>0</v>
      </c>
      <c r="AA50">
        <f>InterviewsRaw[[#This Row],[Co Kept]]+InterviewsRaw[[#This Row],[Co Released ]]</f>
        <v>0</v>
      </c>
      <c r="AB50">
        <f>InterviewsRaw[[#This Row],[Pink Kept]]+InterviewsRaw[[#This Row],[Pink Released]]</f>
        <v>0</v>
      </c>
      <c r="AC50">
        <f>InterviewsRaw[[#This Row],[Chu Kept]]+InterviewsRaw[[#This Row],[Chu Released]]</f>
        <v>0</v>
      </c>
    </row>
    <row r="51" spans="1:29" x14ac:dyDescent="0.3">
      <c r="A51" s="7">
        <v>45967</v>
      </c>
      <c r="B51">
        <v>12</v>
      </c>
      <c r="C51" t="s">
        <v>236</v>
      </c>
      <c r="D51" t="s">
        <v>42</v>
      </c>
      <c r="E51">
        <v>9</v>
      </c>
      <c r="F51">
        <v>3</v>
      </c>
      <c r="G51">
        <v>8</v>
      </c>
      <c r="H51" t="s">
        <v>241</v>
      </c>
      <c r="I51">
        <v>2</v>
      </c>
      <c r="J51" s="10">
        <v>0.58333333333333337</v>
      </c>
      <c r="K51" s="10">
        <v>0.62152777777777779</v>
      </c>
      <c r="L51" s="10">
        <f t="shared" si="0"/>
        <v>3.819444444444442E-2</v>
      </c>
      <c r="M51" s="12">
        <f t="shared" si="1"/>
        <v>0.91666666666666607</v>
      </c>
      <c r="N51" s="12">
        <f>InterviewsRaw[[#This Row],[Trip Hours]]*InterviewsRaw[[#This Row],['#Angler]]</f>
        <v>1.8333333333333321</v>
      </c>
      <c r="O51" t="s">
        <v>349</v>
      </c>
      <c r="Q51" t="s">
        <v>224</v>
      </c>
      <c r="R51" s="11">
        <v>0</v>
      </c>
      <c r="S51">
        <v>0</v>
      </c>
      <c r="T51">
        <v>0</v>
      </c>
      <c r="U51">
        <v>4</v>
      </c>
      <c r="V51" s="11">
        <v>0</v>
      </c>
      <c r="W51">
        <v>0</v>
      </c>
      <c r="X51">
        <v>0</v>
      </c>
      <c r="Y51">
        <v>0</v>
      </c>
      <c r="Z51" s="11">
        <f>InterviewsRaw[[#This Row],[Chi Kept]]+InterviewsRaw[[#This Row],[Chi Released]]</f>
        <v>0</v>
      </c>
      <c r="AA51">
        <f>InterviewsRaw[[#This Row],[Co Kept]]+InterviewsRaw[[#This Row],[Co Released ]]</f>
        <v>0</v>
      </c>
      <c r="AB51">
        <f>InterviewsRaw[[#This Row],[Pink Kept]]+InterviewsRaw[[#This Row],[Pink Released]]</f>
        <v>0</v>
      </c>
      <c r="AC51">
        <f>InterviewsRaw[[#This Row],[Chu Kept]]+InterviewsRaw[[#This Row],[Chu Released]]</f>
        <v>4</v>
      </c>
    </row>
    <row r="52" spans="1:29" x14ac:dyDescent="0.3">
      <c r="A52" s="7">
        <v>45968</v>
      </c>
      <c r="B52">
        <v>12</v>
      </c>
      <c r="C52" t="s">
        <v>236</v>
      </c>
      <c r="D52" t="s">
        <v>26</v>
      </c>
      <c r="E52">
        <v>1</v>
      </c>
      <c r="F52">
        <v>4</v>
      </c>
      <c r="G52">
        <v>3</v>
      </c>
      <c r="H52" t="s">
        <v>241</v>
      </c>
      <c r="I52">
        <v>1</v>
      </c>
      <c r="J52" s="10">
        <v>0.33333333333333331</v>
      </c>
      <c r="K52" s="10">
        <v>0.39513888888888887</v>
      </c>
      <c r="L52" s="10">
        <f t="shared" si="0"/>
        <v>6.1805555555555558E-2</v>
      </c>
      <c r="M52" s="12">
        <f t="shared" si="1"/>
        <v>1.4833333333333334</v>
      </c>
      <c r="N52" s="12">
        <f>InterviewsRaw[[#This Row],[Trip Hours]]*InterviewsRaw[[#This Row],['#Angler]]</f>
        <v>1.4833333333333334</v>
      </c>
      <c r="O52" t="s">
        <v>342</v>
      </c>
      <c r="P52" t="s">
        <v>29</v>
      </c>
      <c r="Q52" t="s">
        <v>224</v>
      </c>
      <c r="R52" s="11">
        <v>0</v>
      </c>
      <c r="S52">
        <v>0</v>
      </c>
      <c r="T52">
        <v>0</v>
      </c>
      <c r="U52">
        <v>0</v>
      </c>
      <c r="V52" s="11">
        <v>0</v>
      </c>
      <c r="W52">
        <v>0</v>
      </c>
      <c r="X52">
        <v>0</v>
      </c>
      <c r="Y52">
        <v>1</v>
      </c>
      <c r="Z52" s="11">
        <f>InterviewsRaw[[#This Row],[Chi Kept]]+InterviewsRaw[[#This Row],[Chi Released]]</f>
        <v>0</v>
      </c>
      <c r="AA52">
        <f>InterviewsRaw[[#This Row],[Co Kept]]+InterviewsRaw[[#This Row],[Co Released ]]</f>
        <v>0</v>
      </c>
      <c r="AB52">
        <f>InterviewsRaw[[#This Row],[Pink Kept]]+InterviewsRaw[[#This Row],[Pink Released]]</f>
        <v>0</v>
      </c>
      <c r="AC52">
        <f>InterviewsRaw[[#This Row],[Chu Kept]]+InterviewsRaw[[#This Row],[Chu Released]]</f>
        <v>1</v>
      </c>
    </row>
    <row r="53" spans="1:29" x14ac:dyDescent="0.3">
      <c r="A53" s="7">
        <v>45968</v>
      </c>
      <c r="B53">
        <v>12</v>
      </c>
      <c r="C53" t="s">
        <v>236</v>
      </c>
      <c r="D53" t="s">
        <v>26</v>
      </c>
      <c r="E53">
        <v>2</v>
      </c>
      <c r="F53">
        <v>4</v>
      </c>
      <c r="G53">
        <v>3</v>
      </c>
      <c r="H53" t="s">
        <v>241</v>
      </c>
      <c r="I53">
        <v>2</v>
      </c>
      <c r="J53" s="10">
        <v>0.3125</v>
      </c>
      <c r="K53" s="10">
        <v>0.39513888888888887</v>
      </c>
      <c r="L53" s="10">
        <f t="shared" si="0"/>
        <v>8.2638888888888873E-2</v>
      </c>
      <c r="M53" s="12">
        <f t="shared" si="1"/>
        <v>1.9833333333333329</v>
      </c>
      <c r="N53" s="12">
        <f>InterviewsRaw[[#This Row],[Trip Hours]]*InterviewsRaw[[#This Row],['#Angler]]</f>
        <v>3.9666666666666659</v>
      </c>
      <c r="O53" t="s">
        <v>342</v>
      </c>
      <c r="Q53" t="s">
        <v>224</v>
      </c>
      <c r="R53" s="11">
        <v>0</v>
      </c>
      <c r="S53">
        <v>0</v>
      </c>
      <c r="T53">
        <v>0</v>
      </c>
      <c r="U53">
        <v>0</v>
      </c>
      <c r="V53" s="11">
        <v>0</v>
      </c>
      <c r="W53">
        <v>0</v>
      </c>
      <c r="X53">
        <v>0</v>
      </c>
      <c r="Y53">
        <v>0</v>
      </c>
      <c r="Z53" s="11">
        <f>InterviewsRaw[[#This Row],[Chi Kept]]+InterviewsRaw[[#This Row],[Chi Released]]</f>
        <v>0</v>
      </c>
      <c r="AA53">
        <f>InterviewsRaw[[#This Row],[Co Kept]]+InterviewsRaw[[#This Row],[Co Released ]]</f>
        <v>0</v>
      </c>
      <c r="AB53">
        <f>InterviewsRaw[[#This Row],[Pink Kept]]+InterviewsRaw[[#This Row],[Pink Released]]</f>
        <v>0</v>
      </c>
      <c r="AC53">
        <f>InterviewsRaw[[#This Row],[Chu Kept]]+InterviewsRaw[[#This Row],[Chu Released]]</f>
        <v>0</v>
      </c>
    </row>
    <row r="54" spans="1:29" x14ac:dyDescent="0.3">
      <c r="A54" s="7">
        <v>45968</v>
      </c>
      <c r="B54">
        <v>12</v>
      </c>
      <c r="C54" t="s">
        <v>236</v>
      </c>
      <c r="D54" t="s">
        <v>26</v>
      </c>
      <c r="E54">
        <v>3</v>
      </c>
      <c r="F54">
        <v>4</v>
      </c>
      <c r="G54">
        <v>3</v>
      </c>
      <c r="H54" t="s">
        <v>241</v>
      </c>
      <c r="I54">
        <v>3</v>
      </c>
      <c r="J54" s="10">
        <v>0.2638888888888889</v>
      </c>
      <c r="K54" s="10">
        <v>0.39791666666666664</v>
      </c>
      <c r="L54" s="10">
        <f t="shared" si="0"/>
        <v>0.13402777777777775</v>
      </c>
      <c r="M54" s="12">
        <f t="shared" si="1"/>
        <v>3.2166666666666659</v>
      </c>
      <c r="N54" s="12">
        <f>InterviewsRaw[[#This Row],[Trip Hours]]*InterviewsRaw[[#This Row],['#Angler]]</f>
        <v>9.6499999999999986</v>
      </c>
      <c r="O54" t="s">
        <v>342</v>
      </c>
      <c r="P54" t="s">
        <v>29</v>
      </c>
      <c r="Q54" t="s">
        <v>224</v>
      </c>
      <c r="R54" s="11">
        <v>0</v>
      </c>
      <c r="S54">
        <v>0</v>
      </c>
      <c r="T54">
        <v>0</v>
      </c>
      <c r="U54">
        <v>0</v>
      </c>
      <c r="V54" s="11">
        <v>0</v>
      </c>
      <c r="W54">
        <v>0</v>
      </c>
      <c r="X54">
        <v>0</v>
      </c>
      <c r="Y54">
        <v>0</v>
      </c>
      <c r="Z54" s="11">
        <f>InterviewsRaw[[#This Row],[Chi Kept]]+InterviewsRaw[[#This Row],[Chi Released]]</f>
        <v>0</v>
      </c>
      <c r="AA54">
        <f>InterviewsRaw[[#This Row],[Co Kept]]+InterviewsRaw[[#This Row],[Co Released ]]</f>
        <v>0</v>
      </c>
      <c r="AB54">
        <f>InterviewsRaw[[#This Row],[Pink Kept]]+InterviewsRaw[[#This Row],[Pink Released]]</f>
        <v>0</v>
      </c>
      <c r="AC54">
        <f>InterviewsRaw[[#This Row],[Chu Kept]]+InterviewsRaw[[#This Row],[Chu Released]]</f>
        <v>0</v>
      </c>
    </row>
    <row r="55" spans="1:29" x14ac:dyDescent="0.3">
      <c r="A55" s="7">
        <v>45968</v>
      </c>
      <c r="B55">
        <v>12</v>
      </c>
      <c r="C55" t="s">
        <v>236</v>
      </c>
      <c r="D55" t="s">
        <v>26</v>
      </c>
      <c r="E55">
        <v>4</v>
      </c>
      <c r="F55">
        <v>4</v>
      </c>
      <c r="G55">
        <v>3</v>
      </c>
      <c r="H55" t="s">
        <v>241</v>
      </c>
      <c r="I55">
        <v>1</v>
      </c>
      <c r="J55" s="10">
        <v>0.32291666666666669</v>
      </c>
      <c r="K55" s="10">
        <v>0.39930555555555558</v>
      </c>
      <c r="L55" s="10">
        <f t="shared" si="0"/>
        <v>7.6388888888888895E-2</v>
      </c>
      <c r="M55" s="12">
        <f t="shared" si="1"/>
        <v>1.8333333333333335</v>
      </c>
      <c r="N55" s="12">
        <f>InterviewsRaw[[#This Row],[Trip Hours]]*InterviewsRaw[[#This Row],['#Angler]]</f>
        <v>1.8333333333333335</v>
      </c>
      <c r="O55" t="s">
        <v>342</v>
      </c>
      <c r="P55" t="s">
        <v>29</v>
      </c>
      <c r="Q55" t="s">
        <v>224</v>
      </c>
      <c r="R55" s="11">
        <v>0</v>
      </c>
      <c r="S55">
        <v>0</v>
      </c>
      <c r="T55">
        <v>0</v>
      </c>
      <c r="U55">
        <v>0</v>
      </c>
      <c r="V55" s="11">
        <v>0</v>
      </c>
      <c r="W55">
        <v>0</v>
      </c>
      <c r="X55">
        <v>0</v>
      </c>
      <c r="Y55">
        <v>0</v>
      </c>
      <c r="Z55" s="11">
        <f>InterviewsRaw[[#This Row],[Chi Kept]]+InterviewsRaw[[#This Row],[Chi Released]]</f>
        <v>0</v>
      </c>
      <c r="AA55">
        <f>InterviewsRaw[[#This Row],[Co Kept]]+InterviewsRaw[[#This Row],[Co Released ]]</f>
        <v>0</v>
      </c>
      <c r="AB55">
        <f>InterviewsRaw[[#This Row],[Pink Kept]]+InterviewsRaw[[#This Row],[Pink Released]]</f>
        <v>0</v>
      </c>
      <c r="AC55">
        <f>InterviewsRaw[[#This Row],[Chu Kept]]+InterviewsRaw[[#This Row],[Chu Released]]</f>
        <v>0</v>
      </c>
    </row>
    <row r="56" spans="1:29" x14ac:dyDescent="0.3">
      <c r="A56" s="7">
        <v>45968</v>
      </c>
      <c r="B56">
        <v>12</v>
      </c>
      <c r="C56" t="s">
        <v>236</v>
      </c>
      <c r="D56" t="s">
        <v>26</v>
      </c>
      <c r="E56">
        <v>5</v>
      </c>
      <c r="F56">
        <v>3</v>
      </c>
      <c r="G56">
        <v>8</v>
      </c>
      <c r="H56" t="s">
        <v>241</v>
      </c>
      <c r="I56">
        <v>2</v>
      </c>
      <c r="J56" s="10">
        <v>0.35416666666666669</v>
      </c>
      <c r="K56" s="10">
        <v>0.44444444444444442</v>
      </c>
      <c r="L56" s="10">
        <f t="shared" si="0"/>
        <v>9.0277777777777735E-2</v>
      </c>
      <c r="M56" s="12">
        <f t="shared" si="1"/>
        <v>2.1666666666666656</v>
      </c>
      <c r="N56" s="12">
        <f>InterviewsRaw[[#This Row],[Trip Hours]]*InterviewsRaw[[#This Row],['#Angler]]</f>
        <v>4.3333333333333313</v>
      </c>
      <c r="O56" t="s">
        <v>342</v>
      </c>
      <c r="Q56" t="s">
        <v>238</v>
      </c>
      <c r="R56" s="11">
        <v>0</v>
      </c>
      <c r="S56">
        <v>0</v>
      </c>
      <c r="T56">
        <v>0</v>
      </c>
      <c r="U56">
        <v>2</v>
      </c>
      <c r="V56" s="11">
        <v>0</v>
      </c>
      <c r="W56">
        <v>0</v>
      </c>
      <c r="X56">
        <v>0</v>
      </c>
      <c r="Y56">
        <v>0</v>
      </c>
      <c r="Z56" s="11">
        <f>InterviewsRaw[[#This Row],[Chi Kept]]+InterviewsRaw[[#This Row],[Chi Released]]</f>
        <v>0</v>
      </c>
      <c r="AA56">
        <f>InterviewsRaw[[#This Row],[Co Kept]]+InterviewsRaw[[#This Row],[Co Released ]]</f>
        <v>0</v>
      </c>
      <c r="AB56">
        <f>InterviewsRaw[[#This Row],[Pink Kept]]+InterviewsRaw[[#This Row],[Pink Released]]</f>
        <v>0</v>
      </c>
      <c r="AC56">
        <f>InterviewsRaw[[#This Row],[Chu Kept]]+InterviewsRaw[[#This Row],[Chu Released]]</f>
        <v>2</v>
      </c>
    </row>
    <row r="57" spans="1:29" x14ac:dyDescent="0.3">
      <c r="A57" s="7">
        <v>45968</v>
      </c>
      <c r="B57">
        <v>12</v>
      </c>
      <c r="C57" t="s">
        <v>236</v>
      </c>
      <c r="D57" t="s">
        <v>26</v>
      </c>
      <c r="E57">
        <v>6</v>
      </c>
      <c r="F57">
        <v>3</v>
      </c>
      <c r="G57">
        <v>8</v>
      </c>
      <c r="H57" t="s">
        <v>241</v>
      </c>
      <c r="I57">
        <v>1</v>
      </c>
      <c r="J57" s="10">
        <v>0.375</v>
      </c>
      <c r="K57" s="10">
        <v>0.44791666666666669</v>
      </c>
      <c r="L57" s="10">
        <f t="shared" si="0"/>
        <v>7.2916666666666685E-2</v>
      </c>
      <c r="M57" s="12">
        <f t="shared" si="1"/>
        <v>1.7500000000000004</v>
      </c>
      <c r="N57" s="12">
        <f>InterviewsRaw[[#This Row],[Trip Hours]]*InterviewsRaw[[#This Row],['#Angler]]</f>
        <v>1.7500000000000004</v>
      </c>
      <c r="O57" t="s">
        <v>342</v>
      </c>
      <c r="P57" t="s">
        <v>29</v>
      </c>
      <c r="Q57" t="s">
        <v>224</v>
      </c>
      <c r="R57" s="11">
        <v>0</v>
      </c>
      <c r="S57">
        <v>0</v>
      </c>
      <c r="T57">
        <v>0</v>
      </c>
      <c r="U57">
        <v>1</v>
      </c>
      <c r="V57" s="11">
        <v>0</v>
      </c>
      <c r="W57">
        <v>0</v>
      </c>
      <c r="X57">
        <v>0</v>
      </c>
      <c r="Y57">
        <v>0</v>
      </c>
      <c r="Z57" s="11">
        <f>InterviewsRaw[[#This Row],[Chi Kept]]+InterviewsRaw[[#This Row],[Chi Released]]</f>
        <v>0</v>
      </c>
      <c r="AA57">
        <f>InterviewsRaw[[#This Row],[Co Kept]]+InterviewsRaw[[#This Row],[Co Released ]]</f>
        <v>0</v>
      </c>
      <c r="AB57">
        <f>InterviewsRaw[[#This Row],[Pink Kept]]+InterviewsRaw[[#This Row],[Pink Released]]</f>
        <v>0</v>
      </c>
      <c r="AC57">
        <f>InterviewsRaw[[#This Row],[Chu Kept]]+InterviewsRaw[[#This Row],[Chu Released]]</f>
        <v>1</v>
      </c>
    </row>
    <row r="58" spans="1:29" x14ac:dyDescent="0.3">
      <c r="A58" s="7">
        <v>45968</v>
      </c>
      <c r="B58">
        <v>12</v>
      </c>
      <c r="C58" t="s">
        <v>236</v>
      </c>
      <c r="D58" t="s">
        <v>26</v>
      </c>
      <c r="E58">
        <v>7</v>
      </c>
      <c r="F58">
        <v>3</v>
      </c>
      <c r="G58">
        <v>8</v>
      </c>
      <c r="H58" t="s">
        <v>241</v>
      </c>
      <c r="I58">
        <v>1</v>
      </c>
      <c r="J58" s="10">
        <v>0.40625</v>
      </c>
      <c r="K58" s="10">
        <v>0.45</v>
      </c>
      <c r="L58" s="10">
        <f t="shared" si="0"/>
        <v>4.3750000000000011E-2</v>
      </c>
      <c r="M58" s="12">
        <f t="shared" si="1"/>
        <v>1.0500000000000003</v>
      </c>
      <c r="N58" s="12">
        <f>InterviewsRaw[[#This Row],[Trip Hours]]*InterviewsRaw[[#This Row],['#Angler]]</f>
        <v>1.0500000000000003</v>
      </c>
      <c r="O58" t="s">
        <v>342</v>
      </c>
      <c r="Q58" t="s">
        <v>224</v>
      </c>
      <c r="R58" s="11">
        <v>0</v>
      </c>
      <c r="S58">
        <v>0</v>
      </c>
      <c r="T58">
        <v>0</v>
      </c>
      <c r="U58">
        <v>3</v>
      </c>
      <c r="V58" s="11">
        <v>0</v>
      </c>
      <c r="W58">
        <v>0</v>
      </c>
      <c r="X58">
        <v>0</v>
      </c>
      <c r="Y58">
        <v>0</v>
      </c>
      <c r="Z58" s="11">
        <f>InterviewsRaw[[#This Row],[Chi Kept]]+InterviewsRaw[[#This Row],[Chi Released]]</f>
        <v>0</v>
      </c>
      <c r="AA58">
        <f>InterviewsRaw[[#This Row],[Co Kept]]+InterviewsRaw[[#This Row],[Co Released ]]</f>
        <v>0</v>
      </c>
      <c r="AB58">
        <f>InterviewsRaw[[#This Row],[Pink Kept]]+InterviewsRaw[[#This Row],[Pink Released]]</f>
        <v>0</v>
      </c>
      <c r="AC58">
        <f>InterviewsRaw[[#This Row],[Chu Kept]]+InterviewsRaw[[#This Row],[Chu Released]]</f>
        <v>3</v>
      </c>
    </row>
    <row r="59" spans="1:29" x14ac:dyDescent="0.3">
      <c r="A59" s="7">
        <v>45968</v>
      </c>
      <c r="B59">
        <v>12</v>
      </c>
      <c r="C59" t="s">
        <v>236</v>
      </c>
      <c r="D59" t="s">
        <v>42</v>
      </c>
      <c r="E59">
        <v>8</v>
      </c>
      <c r="F59">
        <v>3</v>
      </c>
      <c r="G59">
        <v>8</v>
      </c>
      <c r="H59" t="s">
        <v>241</v>
      </c>
      <c r="I59">
        <v>3</v>
      </c>
      <c r="J59" s="10">
        <v>0.4375</v>
      </c>
      <c r="K59" s="10">
        <v>0.58333333333333337</v>
      </c>
      <c r="L59" s="10">
        <f t="shared" si="0"/>
        <v>0.14583333333333337</v>
      </c>
      <c r="M59" s="12">
        <f t="shared" si="1"/>
        <v>3.5000000000000009</v>
      </c>
      <c r="N59" s="12">
        <f>InterviewsRaw[[#This Row],[Trip Hours]]*InterviewsRaw[[#This Row],['#Angler]]</f>
        <v>10.500000000000004</v>
      </c>
      <c r="O59" t="s">
        <v>342</v>
      </c>
      <c r="Q59" t="s">
        <v>224</v>
      </c>
      <c r="R59" s="11">
        <v>0</v>
      </c>
      <c r="S59">
        <v>0</v>
      </c>
      <c r="T59">
        <v>0</v>
      </c>
      <c r="U59">
        <v>9</v>
      </c>
      <c r="V59" s="11">
        <v>0</v>
      </c>
      <c r="W59">
        <v>0</v>
      </c>
      <c r="X59">
        <v>0</v>
      </c>
      <c r="Y59">
        <v>14</v>
      </c>
      <c r="Z59" s="11">
        <f>InterviewsRaw[[#This Row],[Chi Kept]]+InterviewsRaw[[#This Row],[Chi Released]]</f>
        <v>0</v>
      </c>
      <c r="AA59">
        <f>InterviewsRaw[[#This Row],[Co Kept]]+InterviewsRaw[[#This Row],[Co Released ]]</f>
        <v>0</v>
      </c>
      <c r="AB59">
        <f>InterviewsRaw[[#This Row],[Pink Kept]]+InterviewsRaw[[#This Row],[Pink Released]]</f>
        <v>0</v>
      </c>
      <c r="AC59">
        <f>InterviewsRaw[[#This Row],[Chu Kept]]+InterviewsRaw[[#This Row],[Chu Released]]</f>
        <v>23</v>
      </c>
    </row>
    <row r="60" spans="1:29" x14ac:dyDescent="0.3">
      <c r="A60" s="7">
        <v>45968</v>
      </c>
      <c r="B60">
        <v>12</v>
      </c>
      <c r="C60" t="s">
        <v>236</v>
      </c>
      <c r="D60" t="s">
        <v>42</v>
      </c>
      <c r="E60">
        <v>9</v>
      </c>
      <c r="F60">
        <v>4</v>
      </c>
      <c r="G60">
        <v>3</v>
      </c>
      <c r="H60" t="s">
        <v>241</v>
      </c>
      <c r="I60">
        <v>1</v>
      </c>
      <c r="J60" s="10">
        <v>0.5625</v>
      </c>
      <c r="K60" s="10">
        <v>0.63749999999999996</v>
      </c>
      <c r="L60" s="10">
        <f t="shared" si="0"/>
        <v>7.4999999999999956E-2</v>
      </c>
      <c r="M60" s="12">
        <f t="shared" si="1"/>
        <v>1.7999999999999989</v>
      </c>
      <c r="N60" s="12">
        <f>InterviewsRaw[[#This Row],[Trip Hours]]*InterviewsRaw[[#This Row],['#Angler]]</f>
        <v>1.7999999999999989</v>
      </c>
      <c r="O60" t="s">
        <v>342</v>
      </c>
      <c r="Q60" t="s">
        <v>224</v>
      </c>
      <c r="R60" s="11">
        <v>0</v>
      </c>
      <c r="S60">
        <v>0</v>
      </c>
      <c r="T60">
        <v>0</v>
      </c>
      <c r="U60">
        <v>3</v>
      </c>
      <c r="V60" s="11">
        <v>0</v>
      </c>
      <c r="W60">
        <v>1</v>
      </c>
      <c r="X60">
        <v>0</v>
      </c>
      <c r="Y60">
        <v>0</v>
      </c>
      <c r="Z60" s="11">
        <f>InterviewsRaw[[#This Row],[Chi Kept]]+InterviewsRaw[[#This Row],[Chi Released]]</f>
        <v>0</v>
      </c>
      <c r="AA60">
        <f>InterviewsRaw[[#This Row],[Co Kept]]+InterviewsRaw[[#This Row],[Co Released ]]</f>
        <v>1</v>
      </c>
      <c r="AB60">
        <f>InterviewsRaw[[#This Row],[Pink Kept]]+InterviewsRaw[[#This Row],[Pink Released]]</f>
        <v>0</v>
      </c>
      <c r="AC60">
        <f>InterviewsRaw[[#This Row],[Chu Kept]]+InterviewsRaw[[#This Row],[Chu Released]]</f>
        <v>3</v>
      </c>
    </row>
    <row r="61" spans="1:29" x14ac:dyDescent="0.3">
      <c r="A61" s="7">
        <v>45968</v>
      </c>
      <c r="B61">
        <v>12</v>
      </c>
      <c r="C61" t="s">
        <v>236</v>
      </c>
      <c r="D61" t="s">
        <v>42</v>
      </c>
      <c r="E61">
        <v>10</v>
      </c>
      <c r="F61">
        <v>4</v>
      </c>
      <c r="G61">
        <v>3</v>
      </c>
      <c r="H61" t="s">
        <v>241</v>
      </c>
      <c r="I61">
        <v>2</v>
      </c>
      <c r="J61" s="10">
        <v>0.5625</v>
      </c>
      <c r="K61" s="10">
        <v>0.64652777777777781</v>
      </c>
      <c r="L61" s="10">
        <f t="shared" si="0"/>
        <v>8.4027777777777812E-2</v>
      </c>
      <c r="M61" s="12">
        <f t="shared" si="1"/>
        <v>2.0166666666666675</v>
      </c>
      <c r="N61" s="12">
        <f>InterviewsRaw[[#This Row],[Trip Hours]]*InterviewsRaw[[#This Row],['#Angler]]</f>
        <v>4.033333333333335</v>
      </c>
      <c r="O61" t="s">
        <v>342</v>
      </c>
      <c r="Q61" t="s">
        <v>224</v>
      </c>
      <c r="R61" s="11">
        <v>0</v>
      </c>
      <c r="S61">
        <v>0</v>
      </c>
      <c r="T61">
        <v>0</v>
      </c>
      <c r="U61">
        <v>6</v>
      </c>
      <c r="V61" s="11">
        <v>0</v>
      </c>
      <c r="W61">
        <v>1</v>
      </c>
      <c r="X61">
        <v>0</v>
      </c>
      <c r="Y61">
        <v>0</v>
      </c>
      <c r="Z61" s="11">
        <f>InterviewsRaw[[#This Row],[Chi Kept]]+InterviewsRaw[[#This Row],[Chi Released]]</f>
        <v>0</v>
      </c>
      <c r="AA61">
        <f>InterviewsRaw[[#This Row],[Co Kept]]+InterviewsRaw[[#This Row],[Co Released ]]</f>
        <v>1</v>
      </c>
      <c r="AB61">
        <f>InterviewsRaw[[#This Row],[Pink Kept]]+InterviewsRaw[[#This Row],[Pink Released]]</f>
        <v>0</v>
      </c>
      <c r="AC61">
        <f>InterviewsRaw[[#This Row],[Chu Kept]]+InterviewsRaw[[#This Row],[Chu Released]]</f>
        <v>6</v>
      </c>
    </row>
    <row r="62" spans="1:29" x14ac:dyDescent="0.3">
      <c r="A62" s="7">
        <v>45968</v>
      </c>
      <c r="B62">
        <v>12</v>
      </c>
      <c r="C62" t="s">
        <v>236</v>
      </c>
      <c r="D62" t="s">
        <v>42</v>
      </c>
      <c r="E62">
        <v>11</v>
      </c>
      <c r="F62">
        <v>4</v>
      </c>
      <c r="G62">
        <v>3</v>
      </c>
      <c r="H62" t="s">
        <v>241</v>
      </c>
      <c r="I62">
        <v>1</v>
      </c>
      <c r="J62" s="10">
        <v>0.60416666666666663</v>
      </c>
      <c r="K62" s="10">
        <v>0.64930555555555558</v>
      </c>
      <c r="L62" s="10">
        <f t="shared" si="0"/>
        <v>4.5138888888888951E-2</v>
      </c>
      <c r="M62" s="12">
        <f t="shared" si="1"/>
        <v>1.0833333333333348</v>
      </c>
      <c r="N62" s="12">
        <f>InterviewsRaw[[#This Row],[Trip Hours]]*InterviewsRaw[[#This Row],['#Angler]]</f>
        <v>1.0833333333333348</v>
      </c>
      <c r="O62" t="s">
        <v>342</v>
      </c>
      <c r="P62" t="s">
        <v>29</v>
      </c>
      <c r="Q62" t="s">
        <v>364</v>
      </c>
      <c r="R62" s="11">
        <v>0</v>
      </c>
      <c r="S62">
        <v>0</v>
      </c>
      <c r="T62">
        <v>0</v>
      </c>
      <c r="U62">
        <v>1</v>
      </c>
      <c r="V62" s="11">
        <v>0</v>
      </c>
      <c r="W62">
        <v>0</v>
      </c>
      <c r="X62">
        <v>0</v>
      </c>
      <c r="Y62">
        <v>2</v>
      </c>
      <c r="Z62" s="11">
        <f>InterviewsRaw[[#This Row],[Chi Kept]]+InterviewsRaw[[#This Row],[Chi Released]]</f>
        <v>0</v>
      </c>
      <c r="AA62">
        <f>InterviewsRaw[[#This Row],[Co Kept]]+InterviewsRaw[[#This Row],[Co Released ]]</f>
        <v>0</v>
      </c>
      <c r="AB62">
        <f>InterviewsRaw[[#This Row],[Pink Kept]]+InterviewsRaw[[#This Row],[Pink Released]]</f>
        <v>0</v>
      </c>
      <c r="AC62">
        <f>InterviewsRaw[[#This Row],[Chu Kept]]+InterviewsRaw[[#This Row],[Chu Released]]</f>
        <v>3</v>
      </c>
    </row>
    <row r="63" spans="1:29" x14ac:dyDescent="0.3">
      <c r="A63" s="7">
        <v>45968</v>
      </c>
      <c r="B63">
        <v>12</v>
      </c>
      <c r="C63" t="s">
        <v>236</v>
      </c>
      <c r="D63" t="s">
        <v>42</v>
      </c>
      <c r="E63">
        <v>12</v>
      </c>
      <c r="F63">
        <v>4</v>
      </c>
      <c r="G63">
        <v>3</v>
      </c>
      <c r="H63" t="s">
        <v>241</v>
      </c>
      <c r="I63">
        <v>1</v>
      </c>
      <c r="J63" s="10">
        <v>0.52083333333333337</v>
      </c>
      <c r="K63" s="10">
        <v>0.65138888888888891</v>
      </c>
      <c r="L63" s="10">
        <f t="shared" si="0"/>
        <v>0.13055555555555554</v>
      </c>
      <c r="M63" s="12">
        <f t="shared" si="1"/>
        <v>3.1333333333333329</v>
      </c>
      <c r="N63" s="12">
        <f>InterviewsRaw[[#This Row],[Trip Hours]]*InterviewsRaw[[#This Row],['#Angler]]</f>
        <v>3.1333333333333329</v>
      </c>
      <c r="O63" t="s">
        <v>342</v>
      </c>
      <c r="Q63" t="s">
        <v>224</v>
      </c>
      <c r="R63" s="11">
        <v>0</v>
      </c>
      <c r="S63">
        <v>0</v>
      </c>
      <c r="T63">
        <v>0</v>
      </c>
      <c r="U63">
        <v>0</v>
      </c>
      <c r="V63" s="11">
        <v>0</v>
      </c>
      <c r="W63">
        <v>1</v>
      </c>
      <c r="X63">
        <v>0</v>
      </c>
      <c r="Y63">
        <v>4</v>
      </c>
      <c r="Z63" s="11">
        <f>InterviewsRaw[[#This Row],[Chi Kept]]+InterviewsRaw[[#This Row],[Chi Released]]</f>
        <v>0</v>
      </c>
      <c r="AA63">
        <f>InterviewsRaw[[#This Row],[Co Kept]]+InterviewsRaw[[#This Row],[Co Released ]]</f>
        <v>1</v>
      </c>
      <c r="AB63">
        <f>InterviewsRaw[[#This Row],[Pink Kept]]+InterviewsRaw[[#This Row],[Pink Released]]</f>
        <v>0</v>
      </c>
      <c r="AC63">
        <f>InterviewsRaw[[#This Row],[Chu Kept]]+InterviewsRaw[[#This Row],[Chu Released]]</f>
        <v>4</v>
      </c>
    </row>
    <row r="64" spans="1:29" x14ac:dyDescent="0.3">
      <c r="A64" s="7">
        <v>45968</v>
      </c>
      <c r="B64">
        <v>12</v>
      </c>
      <c r="C64" t="s">
        <v>236</v>
      </c>
      <c r="D64" t="s">
        <v>42</v>
      </c>
      <c r="E64">
        <v>13</v>
      </c>
      <c r="F64">
        <v>4</v>
      </c>
      <c r="G64">
        <v>3</v>
      </c>
      <c r="H64" t="s">
        <v>241</v>
      </c>
      <c r="I64">
        <v>2</v>
      </c>
      <c r="J64" s="10">
        <v>0.41666666666666669</v>
      </c>
      <c r="K64" s="10">
        <v>0.65763888888888888</v>
      </c>
      <c r="L64" s="10">
        <f t="shared" si="0"/>
        <v>0.2409722222222222</v>
      </c>
      <c r="M64" s="12">
        <f t="shared" si="1"/>
        <v>5.7833333333333332</v>
      </c>
      <c r="N64" s="12">
        <f>InterviewsRaw[[#This Row],[Trip Hours]]*InterviewsRaw[[#This Row],['#Angler]]</f>
        <v>11.566666666666666</v>
      </c>
      <c r="O64" t="s">
        <v>342</v>
      </c>
      <c r="Q64" t="s">
        <v>224</v>
      </c>
      <c r="R64" s="11">
        <v>0</v>
      </c>
      <c r="S64">
        <v>0</v>
      </c>
      <c r="T64">
        <v>0</v>
      </c>
      <c r="U64">
        <v>2</v>
      </c>
      <c r="V64" s="11">
        <v>0</v>
      </c>
      <c r="W64">
        <v>0</v>
      </c>
      <c r="X64">
        <v>0</v>
      </c>
      <c r="Y64">
        <v>0</v>
      </c>
      <c r="Z64" s="11">
        <f>InterviewsRaw[[#This Row],[Chi Kept]]+InterviewsRaw[[#This Row],[Chi Released]]</f>
        <v>0</v>
      </c>
      <c r="AA64">
        <f>InterviewsRaw[[#This Row],[Co Kept]]+InterviewsRaw[[#This Row],[Co Released ]]</f>
        <v>0</v>
      </c>
      <c r="AB64">
        <f>InterviewsRaw[[#This Row],[Pink Kept]]+InterviewsRaw[[#This Row],[Pink Released]]</f>
        <v>0</v>
      </c>
      <c r="AC64">
        <f>InterviewsRaw[[#This Row],[Chu Kept]]+InterviewsRaw[[#This Row],[Chu Released]]</f>
        <v>2</v>
      </c>
    </row>
    <row r="65" spans="1:29" x14ac:dyDescent="0.3">
      <c r="A65" s="7">
        <v>45968</v>
      </c>
      <c r="B65">
        <v>12</v>
      </c>
      <c r="C65" t="s">
        <v>236</v>
      </c>
      <c r="D65" t="s">
        <v>42</v>
      </c>
      <c r="E65">
        <v>14</v>
      </c>
      <c r="F65">
        <v>4</v>
      </c>
      <c r="G65">
        <v>3</v>
      </c>
      <c r="H65" t="s">
        <v>241</v>
      </c>
      <c r="I65">
        <v>2</v>
      </c>
      <c r="J65" s="10">
        <v>0.41666666666666669</v>
      </c>
      <c r="K65" s="10">
        <v>0.65833333333333333</v>
      </c>
      <c r="L65" s="10">
        <f t="shared" si="0"/>
        <v>0.24166666666666664</v>
      </c>
      <c r="M65" s="12">
        <f t="shared" si="1"/>
        <v>5.7999999999999989</v>
      </c>
      <c r="N65" s="12">
        <f>InterviewsRaw[[#This Row],[Trip Hours]]*InterviewsRaw[[#This Row],['#Angler]]</f>
        <v>11.599999999999998</v>
      </c>
      <c r="O65" t="s">
        <v>342</v>
      </c>
      <c r="P65" t="s">
        <v>29</v>
      </c>
      <c r="Q65" t="s">
        <v>224</v>
      </c>
      <c r="R65" s="11">
        <v>0</v>
      </c>
      <c r="S65">
        <v>0</v>
      </c>
      <c r="T65">
        <v>0</v>
      </c>
      <c r="U65">
        <v>5</v>
      </c>
      <c r="V65" s="11">
        <v>0</v>
      </c>
      <c r="W65">
        <v>1</v>
      </c>
      <c r="X65">
        <v>0</v>
      </c>
      <c r="Y65">
        <v>10</v>
      </c>
      <c r="Z65" s="11">
        <f>InterviewsRaw[[#This Row],[Chi Kept]]+InterviewsRaw[[#This Row],[Chi Released]]</f>
        <v>0</v>
      </c>
      <c r="AA65">
        <f>InterviewsRaw[[#This Row],[Co Kept]]+InterviewsRaw[[#This Row],[Co Released ]]</f>
        <v>1</v>
      </c>
      <c r="AB65">
        <f>InterviewsRaw[[#This Row],[Pink Kept]]+InterviewsRaw[[#This Row],[Pink Released]]</f>
        <v>0</v>
      </c>
      <c r="AC65">
        <f>InterviewsRaw[[#This Row],[Chu Kept]]+InterviewsRaw[[#This Row],[Chu Released]]</f>
        <v>15</v>
      </c>
    </row>
    <row r="66" spans="1:29" x14ac:dyDescent="0.3">
      <c r="A66" s="7">
        <v>45968</v>
      </c>
      <c r="B66">
        <v>12</v>
      </c>
      <c r="C66" t="s">
        <v>236</v>
      </c>
      <c r="D66" t="s">
        <v>42</v>
      </c>
      <c r="E66">
        <v>15</v>
      </c>
      <c r="F66">
        <v>4</v>
      </c>
      <c r="G66">
        <v>3</v>
      </c>
      <c r="H66" t="s">
        <v>241</v>
      </c>
      <c r="I66">
        <v>1</v>
      </c>
      <c r="J66" s="10">
        <v>0.41666666666666669</v>
      </c>
      <c r="K66" s="10">
        <v>0.65902777777777777</v>
      </c>
      <c r="L66" s="10">
        <f t="shared" si="0"/>
        <v>0.24236111111111108</v>
      </c>
      <c r="M66" s="12">
        <f t="shared" si="1"/>
        <v>5.8166666666666664</v>
      </c>
      <c r="N66" s="12">
        <f>InterviewsRaw[[#This Row],[Trip Hours]]*InterviewsRaw[[#This Row],['#Angler]]</f>
        <v>5.8166666666666664</v>
      </c>
      <c r="O66" t="s">
        <v>342</v>
      </c>
      <c r="Q66" t="s">
        <v>238</v>
      </c>
      <c r="R66" s="11">
        <v>0</v>
      </c>
      <c r="S66">
        <v>0</v>
      </c>
      <c r="T66">
        <v>0</v>
      </c>
      <c r="U66">
        <v>0</v>
      </c>
      <c r="V66" s="11">
        <v>0</v>
      </c>
      <c r="W66">
        <v>0</v>
      </c>
      <c r="X66">
        <v>0</v>
      </c>
      <c r="Y66">
        <v>4</v>
      </c>
      <c r="Z66" s="11">
        <f>InterviewsRaw[[#This Row],[Chi Kept]]+InterviewsRaw[[#This Row],[Chi Released]]</f>
        <v>0</v>
      </c>
      <c r="AA66">
        <f>InterviewsRaw[[#This Row],[Co Kept]]+InterviewsRaw[[#This Row],[Co Released ]]</f>
        <v>0</v>
      </c>
      <c r="AB66">
        <f>InterviewsRaw[[#This Row],[Pink Kept]]+InterviewsRaw[[#This Row],[Pink Released]]</f>
        <v>0</v>
      </c>
      <c r="AC66">
        <f>InterviewsRaw[[#This Row],[Chu Kept]]+InterviewsRaw[[#This Row],[Chu Released]]</f>
        <v>4</v>
      </c>
    </row>
    <row r="67" spans="1:29" x14ac:dyDescent="0.3">
      <c r="A67" s="7">
        <v>45969</v>
      </c>
      <c r="B67">
        <v>12</v>
      </c>
      <c r="C67" t="s">
        <v>250</v>
      </c>
      <c r="D67" t="s">
        <v>26</v>
      </c>
      <c r="E67">
        <v>1</v>
      </c>
      <c r="F67">
        <v>3</v>
      </c>
      <c r="G67">
        <v>8</v>
      </c>
      <c r="H67" t="s">
        <v>241</v>
      </c>
      <c r="I67">
        <v>1</v>
      </c>
      <c r="J67" s="10">
        <v>0.29166666666666669</v>
      </c>
      <c r="K67" s="10">
        <v>0.38333333333333336</v>
      </c>
      <c r="L67" s="10">
        <f t="shared" si="0"/>
        <v>9.1666666666666674E-2</v>
      </c>
      <c r="M67" s="12">
        <f t="shared" si="1"/>
        <v>2.2000000000000002</v>
      </c>
      <c r="N67" s="12">
        <f>InterviewsRaw[[#This Row],[Trip Hours]]*InterviewsRaw[[#This Row],['#Angler]]</f>
        <v>2.2000000000000002</v>
      </c>
      <c r="O67" t="s">
        <v>342</v>
      </c>
      <c r="Q67" t="s">
        <v>247</v>
      </c>
      <c r="R67" s="11">
        <v>0</v>
      </c>
      <c r="S67">
        <v>0</v>
      </c>
      <c r="T67">
        <v>0</v>
      </c>
      <c r="U67">
        <v>2</v>
      </c>
      <c r="V67" s="11">
        <v>0</v>
      </c>
      <c r="W67">
        <v>0</v>
      </c>
      <c r="X67">
        <v>0</v>
      </c>
      <c r="Y67">
        <v>0</v>
      </c>
      <c r="Z67" s="11">
        <f>InterviewsRaw[[#This Row],[Chi Kept]]+InterviewsRaw[[#This Row],[Chi Released]]</f>
        <v>0</v>
      </c>
      <c r="AA67">
        <f>InterviewsRaw[[#This Row],[Co Kept]]+InterviewsRaw[[#This Row],[Co Released ]]</f>
        <v>0</v>
      </c>
      <c r="AB67">
        <f>InterviewsRaw[[#This Row],[Pink Kept]]+InterviewsRaw[[#This Row],[Pink Released]]</f>
        <v>0</v>
      </c>
      <c r="AC67">
        <f>InterviewsRaw[[#This Row],[Chu Kept]]+InterviewsRaw[[#This Row],[Chu Released]]</f>
        <v>2</v>
      </c>
    </row>
    <row r="68" spans="1:29" x14ac:dyDescent="0.3">
      <c r="A68" s="7">
        <v>45968</v>
      </c>
      <c r="B68">
        <v>12</v>
      </c>
      <c r="C68" t="s">
        <v>236</v>
      </c>
      <c r="D68" t="s">
        <v>42</v>
      </c>
      <c r="E68">
        <v>2</v>
      </c>
      <c r="F68">
        <v>3</v>
      </c>
      <c r="G68">
        <v>8</v>
      </c>
      <c r="H68" t="s">
        <v>241</v>
      </c>
      <c r="I68">
        <v>1</v>
      </c>
      <c r="J68" s="10">
        <v>0.58333333333333337</v>
      </c>
      <c r="K68" s="10">
        <v>0.66666666666666663</v>
      </c>
      <c r="L68" s="10">
        <f t="shared" si="0"/>
        <v>8.3333333333333259E-2</v>
      </c>
      <c r="M68" s="12">
        <f t="shared" si="1"/>
        <v>1.9999999999999982</v>
      </c>
      <c r="N68" s="12">
        <f>InterviewsRaw[[#This Row],[Trip Hours]]*InterviewsRaw[[#This Row],['#Angler]]</f>
        <v>1.9999999999999982</v>
      </c>
      <c r="O68" t="s">
        <v>342</v>
      </c>
      <c r="Q68" t="s">
        <v>247</v>
      </c>
      <c r="R68" s="11">
        <v>0</v>
      </c>
      <c r="S68">
        <v>3</v>
      </c>
      <c r="T68">
        <v>0</v>
      </c>
      <c r="U68">
        <v>0</v>
      </c>
      <c r="V68" s="11">
        <v>0</v>
      </c>
      <c r="W68">
        <v>0</v>
      </c>
      <c r="X68">
        <v>0</v>
      </c>
      <c r="Y68">
        <v>0</v>
      </c>
      <c r="Z68" s="11">
        <f>InterviewsRaw[[#This Row],[Chi Kept]]+InterviewsRaw[[#This Row],[Chi Released]]</f>
        <v>0</v>
      </c>
      <c r="AA68">
        <f>InterviewsRaw[[#This Row],[Co Kept]]+InterviewsRaw[[#This Row],[Co Released ]]</f>
        <v>3</v>
      </c>
      <c r="AB68">
        <f>InterviewsRaw[[#This Row],[Pink Kept]]+InterviewsRaw[[#This Row],[Pink Released]]</f>
        <v>0</v>
      </c>
      <c r="AC68">
        <f>InterviewsRaw[[#This Row],[Chu Kept]]+InterviewsRaw[[#This Row],[Chu Released]]</f>
        <v>0</v>
      </c>
    </row>
    <row r="69" spans="1:29" x14ac:dyDescent="0.3">
      <c r="A69" s="7">
        <v>45969</v>
      </c>
      <c r="B69">
        <v>12</v>
      </c>
      <c r="C69" t="s">
        <v>250</v>
      </c>
      <c r="D69" t="s">
        <v>26</v>
      </c>
      <c r="E69">
        <v>3</v>
      </c>
      <c r="F69">
        <v>3</v>
      </c>
      <c r="G69">
        <v>8</v>
      </c>
      <c r="H69" t="s">
        <v>241</v>
      </c>
      <c r="I69">
        <v>3</v>
      </c>
      <c r="J69" s="10">
        <v>0.35416666666666669</v>
      </c>
      <c r="K69" s="10">
        <v>0.3840277777777778</v>
      </c>
      <c r="L69" s="10">
        <f t="shared" si="0"/>
        <v>2.9861111111111116E-2</v>
      </c>
      <c r="M69" s="12">
        <f t="shared" si="1"/>
        <v>0.71666666666666679</v>
      </c>
      <c r="N69" s="12">
        <f>InterviewsRaw[[#This Row],[Trip Hours]]*InterviewsRaw[[#This Row],['#Angler]]</f>
        <v>2.1500000000000004</v>
      </c>
      <c r="O69" t="s">
        <v>342</v>
      </c>
      <c r="P69" t="s">
        <v>29</v>
      </c>
      <c r="R69" s="11">
        <v>0</v>
      </c>
      <c r="S69">
        <v>0</v>
      </c>
      <c r="T69">
        <v>0</v>
      </c>
      <c r="U69">
        <v>0</v>
      </c>
      <c r="V69" s="11">
        <v>0</v>
      </c>
      <c r="W69">
        <v>0</v>
      </c>
      <c r="X69">
        <v>0</v>
      </c>
      <c r="Y69">
        <v>0</v>
      </c>
      <c r="Z69" s="11">
        <f>InterviewsRaw[[#This Row],[Chi Kept]]+InterviewsRaw[[#This Row],[Chi Released]]</f>
        <v>0</v>
      </c>
      <c r="AA69">
        <f>InterviewsRaw[[#This Row],[Co Kept]]+InterviewsRaw[[#This Row],[Co Released ]]</f>
        <v>0</v>
      </c>
      <c r="AB69">
        <f>InterviewsRaw[[#This Row],[Pink Kept]]+InterviewsRaw[[#This Row],[Pink Released]]</f>
        <v>0</v>
      </c>
      <c r="AC69">
        <f>InterviewsRaw[[#This Row],[Chu Kept]]+InterviewsRaw[[#This Row],[Chu Released]]</f>
        <v>0</v>
      </c>
    </row>
    <row r="70" spans="1:29" x14ac:dyDescent="0.3">
      <c r="A70" s="7">
        <v>45969</v>
      </c>
      <c r="B70">
        <v>12</v>
      </c>
      <c r="C70" t="s">
        <v>250</v>
      </c>
      <c r="D70" t="s">
        <v>26</v>
      </c>
      <c r="E70">
        <v>4</v>
      </c>
      <c r="F70">
        <v>4</v>
      </c>
      <c r="G70">
        <v>1</v>
      </c>
      <c r="H70" t="s">
        <v>241</v>
      </c>
      <c r="I70">
        <v>3</v>
      </c>
      <c r="J70" s="10">
        <v>0.3125</v>
      </c>
      <c r="K70" s="10">
        <v>0.39652777777777776</v>
      </c>
      <c r="L70" s="10">
        <f t="shared" si="0"/>
        <v>8.4027777777777757E-2</v>
      </c>
      <c r="M70" s="12">
        <f t="shared" si="1"/>
        <v>2.0166666666666662</v>
      </c>
      <c r="N70" s="12">
        <f>InterviewsRaw[[#This Row],[Trip Hours]]*InterviewsRaw[[#This Row],['#Angler]]</f>
        <v>6.0499999999999989</v>
      </c>
      <c r="O70" t="s">
        <v>342</v>
      </c>
      <c r="P70" t="s">
        <v>29</v>
      </c>
      <c r="Q70" t="s">
        <v>224</v>
      </c>
      <c r="R70" s="11">
        <v>0</v>
      </c>
      <c r="S70">
        <v>0</v>
      </c>
      <c r="T70">
        <v>0</v>
      </c>
      <c r="U70">
        <v>0</v>
      </c>
      <c r="V70" s="11">
        <v>0</v>
      </c>
      <c r="W70">
        <v>0</v>
      </c>
      <c r="X70">
        <v>0</v>
      </c>
      <c r="Y70">
        <v>0</v>
      </c>
      <c r="Z70" s="11">
        <f>InterviewsRaw[[#This Row],[Chi Kept]]+InterviewsRaw[[#This Row],[Chi Released]]</f>
        <v>0</v>
      </c>
      <c r="AA70">
        <f>InterviewsRaw[[#This Row],[Co Kept]]+InterviewsRaw[[#This Row],[Co Released ]]</f>
        <v>0</v>
      </c>
      <c r="AB70">
        <f>InterviewsRaw[[#This Row],[Pink Kept]]+InterviewsRaw[[#This Row],[Pink Released]]</f>
        <v>0</v>
      </c>
      <c r="AC70">
        <f>InterviewsRaw[[#This Row],[Chu Kept]]+InterviewsRaw[[#This Row],[Chu Released]]</f>
        <v>0</v>
      </c>
    </row>
    <row r="71" spans="1:29" x14ac:dyDescent="0.3">
      <c r="A71" s="7">
        <v>45969</v>
      </c>
      <c r="B71">
        <v>12</v>
      </c>
      <c r="C71" t="s">
        <v>250</v>
      </c>
      <c r="D71" t="s">
        <v>26</v>
      </c>
      <c r="E71">
        <v>5</v>
      </c>
      <c r="F71">
        <v>4</v>
      </c>
      <c r="G71">
        <v>2</v>
      </c>
      <c r="H71" t="s">
        <v>241</v>
      </c>
      <c r="I71">
        <v>1</v>
      </c>
      <c r="J71" s="10">
        <v>0.33333333333333331</v>
      </c>
      <c r="K71" s="10">
        <v>0.41666666666666669</v>
      </c>
      <c r="L71" s="10">
        <f t="shared" si="0"/>
        <v>8.333333333333337E-2</v>
      </c>
      <c r="M71" s="12">
        <f t="shared" si="1"/>
        <v>2.0000000000000009</v>
      </c>
      <c r="N71" s="12">
        <f>InterviewsRaw[[#This Row],[Trip Hours]]*InterviewsRaw[[#This Row],['#Angler]]</f>
        <v>2.0000000000000009</v>
      </c>
      <c r="O71" t="s">
        <v>349</v>
      </c>
      <c r="Q71" t="s">
        <v>224</v>
      </c>
      <c r="R71" s="11">
        <v>0</v>
      </c>
      <c r="S71">
        <v>0</v>
      </c>
      <c r="T71">
        <v>0</v>
      </c>
      <c r="U71">
        <v>0</v>
      </c>
      <c r="V71" s="11">
        <v>0</v>
      </c>
      <c r="W71">
        <v>0</v>
      </c>
      <c r="X71">
        <v>0</v>
      </c>
      <c r="Y71">
        <v>0</v>
      </c>
      <c r="Z71" s="11">
        <f>InterviewsRaw[[#This Row],[Chi Kept]]+InterviewsRaw[[#This Row],[Chi Released]]</f>
        <v>0</v>
      </c>
      <c r="AA71">
        <f>InterviewsRaw[[#This Row],[Co Kept]]+InterviewsRaw[[#This Row],[Co Released ]]</f>
        <v>0</v>
      </c>
      <c r="AB71">
        <f>InterviewsRaw[[#This Row],[Pink Kept]]+InterviewsRaw[[#This Row],[Pink Released]]</f>
        <v>0</v>
      </c>
      <c r="AC71">
        <f>InterviewsRaw[[#This Row],[Chu Kept]]+InterviewsRaw[[#This Row],[Chu Released]]</f>
        <v>0</v>
      </c>
    </row>
    <row r="72" spans="1:29" x14ac:dyDescent="0.3">
      <c r="A72" s="7">
        <v>45969</v>
      </c>
      <c r="B72">
        <v>12</v>
      </c>
      <c r="C72" t="s">
        <v>250</v>
      </c>
      <c r="D72" t="s">
        <v>26</v>
      </c>
      <c r="E72">
        <v>6</v>
      </c>
      <c r="F72">
        <v>4</v>
      </c>
      <c r="G72">
        <v>3</v>
      </c>
      <c r="H72" t="s">
        <v>241</v>
      </c>
      <c r="I72">
        <v>4</v>
      </c>
      <c r="J72" s="10">
        <v>0.29166666666666669</v>
      </c>
      <c r="K72" s="10">
        <v>0.4201388888888889</v>
      </c>
      <c r="L72" s="10">
        <f t="shared" si="0"/>
        <v>0.12847222222222221</v>
      </c>
      <c r="M72" s="12">
        <f t="shared" si="1"/>
        <v>3.083333333333333</v>
      </c>
      <c r="N72" s="12">
        <f>InterviewsRaw[[#This Row],[Trip Hours]]*InterviewsRaw[[#This Row],['#Angler]]</f>
        <v>12.333333333333332</v>
      </c>
      <c r="O72" t="s">
        <v>342</v>
      </c>
      <c r="P72" t="s">
        <v>217</v>
      </c>
      <c r="Q72" t="s">
        <v>224</v>
      </c>
      <c r="R72" s="11">
        <v>0</v>
      </c>
      <c r="S72">
        <v>0</v>
      </c>
      <c r="T72">
        <v>0</v>
      </c>
      <c r="U72">
        <v>0</v>
      </c>
      <c r="V72" s="11">
        <v>0</v>
      </c>
      <c r="W72">
        <v>0</v>
      </c>
      <c r="X72">
        <v>0</v>
      </c>
      <c r="Y72">
        <v>1</v>
      </c>
      <c r="Z72" s="11">
        <f>InterviewsRaw[[#This Row],[Chi Kept]]+InterviewsRaw[[#This Row],[Chi Released]]</f>
        <v>0</v>
      </c>
      <c r="AA72">
        <f>InterviewsRaw[[#This Row],[Co Kept]]+InterviewsRaw[[#This Row],[Co Released ]]</f>
        <v>0</v>
      </c>
      <c r="AB72">
        <f>InterviewsRaw[[#This Row],[Pink Kept]]+InterviewsRaw[[#This Row],[Pink Released]]</f>
        <v>0</v>
      </c>
      <c r="AC72">
        <f>InterviewsRaw[[#This Row],[Chu Kept]]+InterviewsRaw[[#This Row],[Chu Released]]</f>
        <v>1</v>
      </c>
    </row>
    <row r="73" spans="1:29" x14ac:dyDescent="0.3">
      <c r="A73" s="7">
        <v>45969</v>
      </c>
      <c r="B73">
        <v>12</v>
      </c>
      <c r="C73" t="s">
        <v>250</v>
      </c>
      <c r="D73" t="s">
        <v>42</v>
      </c>
      <c r="E73">
        <v>7</v>
      </c>
      <c r="F73">
        <v>4</v>
      </c>
      <c r="G73">
        <v>3</v>
      </c>
      <c r="H73" t="s">
        <v>241</v>
      </c>
      <c r="I73">
        <v>2</v>
      </c>
      <c r="J73" s="10">
        <v>0.33333333333333331</v>
      </c>
      <c r="K73" s="10">
        <v>0.53888888888888886</v>
      </c>
      <c r="L73" s="10">
        <f t="shared" si="0"/>
        <v>0.20555555555555555</v>
      </c>
      <c r="M73" s="12">
        <f t="shared" si="1"/>
        <v>4.9333333333333336</v>
      </c>
      <c r="N73" s="12">
        <f>InterviewsRaw[[#This Row],[Trip Hours]]*InterviewsRaw[[#This Row],['#Angler]]</f>
        <v>9.8666666666666671</v>
      </c>
      <c r="O73" t="s">
        <v>342</v>
      </c>
      <c r="P73" t="s">
        <v>29</v>
      </c>
      <c r="Q73" t="s">
        <v>224</v>
      </c>
      <c r="R73" s="11">
        <v>0</v>
      </c>
      <c r="S73">
        <v>0</v>
      </c>
      <c r="T73">
        <v>0</v>
      </c>
      <c r="U73">
        <v>3</v>
      </c>
      <c r="V73" s="11">
        <v>0</v>
      </c>
      <c r="W73">
        <v>0</v>
      </c>
      <c r="X73">
        <v>0</v>
      </c>
      <c r="Y73">
        <v>0</v>
      </c>
      <c r="Z73" s="11">
        <f>InterviewsRaw[[#This Row],[Chi Kept]]+InterviewsRaw[[#This Row],[Chi Released]]</f>
        <v>0</v>
      </c>
      <c r="AA73">
        <f>InterviewsRaw[[#This Row],[Co Kept]]+InterviewsRaw[[#This Row],[Co Released ]]</f>
        <v>0</v>
      </c>
      <c r="AB73">
        <f>InterviewsRaw[[#This Row],[Pink Kept]]+InterviewsRaw[[#This Row],[Pink Released]]</f>
        <v>0</v>
      </c>
      <c r="AC73">
        <f>InterviewsRaw[[#This Row],[Chu Kept]]+InterviewsRaw[[#This Row],[Chu Released]]</f>
        <v>3</v>
      </c>
    </row>
    <row r="74" spans="1:29" x14ac:dyDescent="0.3">
      <c r="A74" s="7">
        <v>45969</v>
      </c>
      <c r="B74">
        <v>12</v>
      </c>
      <c r="C74" t="s">
        <v>250</v>
      </c>
      <c r="D74" t="s">
        <v>42</v>
      </c>
      <c r="E74">
        <v>8</v>
      </c>
      <c r="F74">
        <v>4</v>
      </c>
      <c r="G74">
        <v>3</v>
      </c>
      <c r="H74" t="s">
        <v>241</v>
      </c>
      <c r="I74">
        <v>1</v>
      </c>
      <c r="J74" s="10">
        <v>0.45833333333333331</v>
      </c>
      <c r="K74" s="10">
        <v>0.5395833333333333</v>
      </c>
      <c r="L74" s="10">
        <f t="shared" si="0"/>
        <v>8.1249999999999989E-2</v>
      </c>
      <c r="M74" s="12">
        <f t="shared" si="1"/>
        <v>1.9499999999999997</v>
      </c>
      <c r="N74" s="12">
        <f>InterviewsRaw[[#This Row],[Trip Hours]]*InterviewsRaw[[#This Row],['#Angler]]</f>
        <v>1.9499999999999997</v>
      </c>
      <c r="O74" t="s">
        <v>342</v>
      </c>
      <c r="P74" t="s">
        <v>186</v>
      </c>
      <c r="Q74" t="s">
        <v>224</v>
      </c>
      <c r="R74" s="11">
        <v>0</v>
      </c>
      <c r="S74">
        <v>0</v>
      </c>
      <c r="T74">
        <v>0</v>
      </c>
      <c r="U74">
        <v>0</v>
      </c>
      <c r="V74" s="11">
        <v>0</v>
      </c>
      <c r="W74">
        <v>0</v>
      </c>
      <c r="X74">
        <v>0</v>
      </c>
      <c r="Y74">
        <v>4</v>
      </c>
      <c r="Z74" s="11">
        <f>InterviewsRaw[[#This Row],[Chi Kept]]+InterviewsRaw[[#This Row],[Chi Released]]</f>
        <v>0</v>
      </c>
      <c r="AA74">
        <f>InterviewsRaw[[#This Row],[Co Kept]]+InterviewsRaw[[#This Row],[Co Released ]]</f>
        <v>0</v>
      </c>
      <c r="AB74">
        <f>InterviewsRaw[[#This Row],[Pink Kept]]+InterviewsRaw[[#This Row],[Pink Released]]</f>
        <v>0</v>
      </c>
      <c r="AC74">
        <f>InterviewsRaw[[#This Row],[Chu Kept]]+InterviewsRaw[[#This Row],[Chu Released]]</f>
        <v>4</v>
      </c>
    </row>
    <row r="75" spans="1:29" x14ac:dyDescent="0.3">
      <c r="A75" s="7">
        <v>45969</v>
      </c>
      <c r="B75">
        <v>12</v>
      </c>
      <c r="C75" t="s">
        <v>250</v>
      </c>
      <c r="D75" t="s">
        <v>42</v>
      </c>
      <c r="E75">
        <v>9</v>
      </c>
      <c r="F75">
        <v>4</v>
      </c>
      <c r="G75">
        <v>3</v>
      </c>
      <c r="H75" t="s">
        <v>241</v>
      </c>
      <c r="I75">
        <v>2</v>
      </c>
      <c r="J75" s="10">
        <v>0.45833333333333331</v>
      </c>
      <c r="K75" s="10">
        <v>0.54374999999999996</v>
      </c>
      <c r="L75" s="10">
        <f t="shared" si="0"/>
        <v>8.5416666666666641E-2</v>
      </c>
      <c r="M75" s="12">
        <f t="shared" si="1"/>
        <v>2.0499999999999994</v>
      </c>
      <c r="N75" s="12">
        <f>InterviewsRaw[[#This Row],[Trip Hours]]*InterviewsRaw[[#This Row],['#Angler]]</f>
        <v>4.0999999999999988</v>
      </c>
      <c r="O75" t="s">
        <v>342</v>
      </c>
      <c r="P75" t="s">
        <v>217</v>
      </c>
      <c r="Q75" t="s">
        <v>224</v>
      </c>
      <c r="R75" s="11">
        <v>0</v>
      </c>
      <c r="S75">
        <v>0</v>
      </c>
      <c r="T75">
        <v>0</v>
      </c>
      <c r="U75">
        <v>2</v>
      </c>
      <c r="V75" s="11">
        <v>0</v>
      </c>
      <c r="W75">
        <v>0</v>
      </c>
      <c r="X75">
        <v>0</v>
      </c>
      <c r="Y75">
        <v>0</v>
      </c>
      <c r="Z75" s="11">
        <f>InterviewsRaw[[#This Row],[Chi Kept]]+InterviewsRaw[[#This Row],[Chi Released]]</f>
        <v>0</v>
      </c>
      <c r="AA75">
        <f>InterviewsRaw[[#This Row],[Co Kept]]+InterviewsRaw[[#This Row],[Co Released ]]</f>
        <v>0</v>
      </c>
      <c r="AB75">
        <f>InterviewsRaw[[#This Row],[Pink Kept]]+InterviewsRaw[[#This Row],[Pink Released]]</f>
        <v>0</v>
      </c>
      <c r="AC75">
        <f>InterviewsRaw[[#This Row],[Chu Kept]]+InterviewsRaw[[#This Row],[Chu Released]]</f>
        <v>2</v>
      </c>
    </row>
    <row r="76" spans="1:29" x14ac:dyDescent="0.3">
      <c r="A76" s="7">
        <v>45969</v>
      </c>
      <c r="B76">
        <v>12</v>
      </c>
      <c r="C76" t="s">
        <v>250</v>
      </c>
      <c r="D76" t="s">
        <v>42</v>
      </c>
      <c r="E76">
        <v>10</v>
      </c>
      <c r="F76">
        <v>4</v>
      </c>
      <c r="G76">
        <v>3</v>
      </c>
      <c r="H76" t="s">
        <v>241</v>
      </c>
      <c r="I76">
        <v>2</v>
      </c>
      <c r="J76" s="10">
        <v>0.29166666666666669</v>
      </c>
      <c r="K76" s="10">
        <v>0.50277777777777777</v>
      </c>
      <c r="L76" s="10">
        <f t="shared" si="0"/>
        <v>0.21111111111111108</v>
      </c>
      <c r="M76" s="12">
        <f t="shared" si="1"/>
        <v>5.0666666666666664</v>
      </c>
      <c r="N76" s="12">
        <f>InterviewsRaw[[#This Row],[Trip Hours]]*InterviewsRaw[[#This Row],['#Angler]]</f>
        <v>10.133333333333333</v>
      </c>
      <c r="O76" t="s">
        <v>342</v>
      </c>
      <c r="P76" t="s">
        <v>29</v>
      </c>
      <c r="Q76" t="s">
        <v>224</v>
      </c>
      <c r="R76" s="11">
        <v>0</v>
      </c>
      <c r="S76">
        <v>0</v>
      </c>
      <c r="T76">
        <v>0</v>
      </c>
      <c r="U76">
        <v>0</v>
      </c>
      <c r="V76" s="11">
        <v>0</v>
      </c>
      <c r="W76">
        <v>0</v>
      </c>
      <c r="X76">
        <v>0</v>
      </c>
      <c r="Y76">
        <v>6</v>
      </c>
      <c r="Z76" s="11">
        <f>InterviewsRaw[[#This Row],[Chi Kept]]+InterviewsRaw[[#This Row],[Chi Released]]</f>
        <v>0</v>
      </c>
      <c r="AA76">
        <f>InterviewsRaw[[#This Row],[Co Kept]]+InterviewsRaw[[#This Row],[Co Released ]]</f>
        <v>0</v>
      </c>
      <c r="AB76">
        <f>InterviewsRaw[[#This Row],[Pink Kept]]+InterviewsRaw[[#This Row],[Pink Released]]</f>
        <v>0</v>
      </c>
      <c r="AC76">
        <f>InterviewsRaw[[#This Row],[Chu Kept]]+InterviewsRaw[[#This Row],[Chu Released]]</f>
        <v>6</v>
      </c>
    </row>
    <row r="77" spans="1:29" x14ac:dyDescent="0.3">
      <c r="A77" s="7">
        <v>45969</v>
      </c>
      <c r="B77">
        <v>12</v>
      </c>
      <c r="C77" t="s">
        <v>250</v>
      </c>
      <c r="D77" t="s">
        <v>42</v>
      </c>
      <c r="E77">
        <v>11</v>
      </c>
      <c r="F77">
        <v>4</v>
      </c>
      <c r="G77">
        <v>3</v>
      </c>
      <c r="H77" t="s">
        <v>241</v>
      </c>
      <c r="I77">
        <v>5</v>
      </c>
      <c r="J77" s="10">
        <v>0.29166666666666669</v>
      </c>
      <c r="K77" s="10">
        <v>0.54583333333333328</v>
      </c>
      <c r="L77" s="10">
        <f t="shared" si="0"/>
        <v>0.2541666666666666</v>
      </c>
      <c r="M77" s="12">
        <f t="shared" si="1"/>
        <v>6.0999999999999979</v>
      </c>
      <c r="N77" s="12">
        <f>InterviewsRaw[[#This Row],[Trip Hours]]*InterviewsRaw[[#This Row],['#Angler]]</f>
        <v>30.499999999999989</v>
      </c>
      <c r="O77" t="s">
        <v>342</v>
      </c>
      <c r="P77" t="s">
        <v>29</v>
      </c>
      <c r="Q77" t="s">
        <v>224</v>
      </c>
      <c r="R77" s="11">
        <v>0</v>
      </c>
      <c r="S77">
        <v>0</v>
      </c>
      <c r="T77">
        <v>0</v>
      </c>
      <c r="U77">
        <v>15</v>
      </c>
      <c r="V77" s="11">
        <v>0</v>
      </c>
      <c r="W77">
        <v>2</v>
      </c>
      <c r="X77">
        <v>0</v>
      </c>
      <c r="Y77">
        <v>3</v>
      </c>
      <c r="Z77" s="11">
        <f>InterviewsRaw[[#This Row],[Chi Kept]]+InterviewsRaw[[#This Row],[Chi Released]]</f>
        <v>0</v>
      </c>
      <c r="AA77">
        <f>InterviewsRaw[[#This Row],[Co Kept]]+InterviewsRaw[[#This Row],[Co Released ]]</f>
        <v>2</v>
      </c>
      <c r="AB77">
        <f>InterviewsRaw[[#This Row],[Pink Kept]]+InterviewsRaw[[#This Row],[Pink Released]]</f>
        <v>0</v>
      </c>
      <c r="AC77">
        <f>InterviewsRaw[[#This Row],[Chu Kept]]+InterviewsRaw[[#This Row],[Chu Released]]</f>
        <v>18</v>
      </c>
    </row>
    <row r="78" spans="1:29" x14ac:dyDescent="0.3">
      <c r="A78" s="7">
        <v>45969</v>
      </c>
      <c r="B78">
        <v>12</v>
      </c>
      <c r="C78" t="s">
        <v>250</v>
      </c>
      <c r="D78" t="s">
        <v>42</v>
      </c>
      <c r="E78">
        <v>12</v>
      </c>
      <c r="F78">
        <v>4</v>
      </c>
      <c r="G78">
        <v>3</v>
      </c>
      <c r="H78" t="s">
        <v>241</v>
      </c>
      <c r="I78">
        <v>1</v>
      </c>
      <c r="J78" s="10">
        <v>0.45833333333333331</v>
      </c>
      <c r="K78" s="10">
        <v>0.54722222222222228</v>
      </c>
      <c r="L78" s="10">
        <f t="shared" si="0"/>
        <v>8.8888888888888962E-2</v>
      </c>
      <c r="M78" s="12">
        <f t="shared" si="1"/>
        <v>2.1333333333333351</v>
      </c>
      <c r="N78" s="12">
        <f>InterviewsRaw[[#This Row],[Trip Hours]]*InterviewsRaw[[#This Row],['#Angler]]</f>
        <v>2.1333333333333351</v>
      </c>
      <c r="O78" t="s">
        <v>342</v>
      </c>
      <c r="P78" t="s">
        <v>186</v>
      </c>
      <c r="Q78" t="s">
        <v>224</v>
      </c>
      <c r="R78" s="11">
        <v>0</v>
      </c>
      <c r="S78">
        <v>0</v>
      </c>
      <c r="T78">
        <v>0</v>
      </c>
      <c r="U78">
        <v>0</v>
      </c>
      <c r="V78" s="11">
        <v>0</v>
      </c>
      <c r="W78">
        <v>0</v>
      </c>
      <c r="X78">
        <v>0</v>
      </c>
      <c r="Y78">
        <v>1</v>
      </c>
      <c r="Z78" s="11">
        <f>InterviewsRaw[[#This Row],[Chi Kept]]+InterviewsRaw[[#This Row],[Chi Released]]</f>
        <v>0</v>
      </c>
      <c r="AA78">
        <f>InterviewsRaw[[#This Row],[Co Kept]]+InterviewsRaw[[#This Row],[Co Released ]]</f>
        <v>0</v>
      </c>
      <c r="AB78">
        <f>InterviewsRaw[[#This Row],[Pink Kept]]+InterviewsRaw[[#This Row],[Pink Released]]</f>
        <v>0</v>
      </c>
      <c r="AC78">
        <f>InterviewsRaw[[#This Row],[Chu Kept]]+InterviewsRaw[[#This Row],[Chu Released]]</f>
        <v>1</v>
      </c>
    </row>
    <row r="79" spans="1:29" x14ac:dyDescent="0.3">
      <c r="A79" s="7">
        <v>45969</v>
      </c>
      <c r="B79">
        <v>12</v>
      </c>
      <c r="C79" t="s">
        <v>250</v>
      </c>
      <c r="D79" t="s">
        <v>42</v>
      </c>
      <c r="E79">
        <v>13</v>
      </c>
      <c r="F79">
        <v>4</v>
      </c>
      <c r="G79">
        <v>2</v>
      </c>
      <c r="H79" t="s">
        <v>241</v>
      </c>
      <c r="I79">
        <v>2</v>
      </c>
      <c r="J79" s="10">
        <v>0.29166666666666669</v>
      </c>
      <c r="K79" s="10">
        <v>0.57152777777777775</v>
      </c>
      <c r="L79" s="10">
        <f t="shared" si="0"/>
        <v>0.27986111111111106</v>
      </c>
      <c r="M79" s="12">
        <f t="shared" si="1"/>
        <v>6.716666666666665</v>
      </c>
      <c r="N79" s="12">
        <f>InterviewsRaw[[#This Row],[Trip Hours]]*InterviewsRaw[[#This Row],['#Angler]]</f>
        <v>13.43333333333333</v>
      </c>
      <c r="O79" t="s">
        <v>342</v>
      </c>
      <c r="P79" t="s">
        <v>186</v>
      </c>
      <c r="Q79" t="s">
        <v>224</v>
      </c>
      <c r="R79" s="11">
        <v>0</v>
      </c>
      <c r="S79">
        <v>0</v>
      </c>
      <c r="T79">
        <v>0</v>
      </c>
      <c r="U79">
        <v>2</v>
      </c>
      <c r="V79" s="11">
        <v>0</v>
      </c>
      <c r="W79">
        <v>0</v>
      </c>
      <c r="X79">
        <v>0</v>
      </c>
      <c r="Y79">
        <v>7</v>
      </c>
      <c r="Z79" s="11">
        <f>InterviewsRaw[[#This Row],[Chi Kept]]+InterviewsRaw[[#This Row],[Chi Released]]</f>
        <v>0</v>
      </c>
      <c r="AA79">
        <f>InterviewsRaw[[#This Row],[Co Kept]]+InterviewsRaw[[#This Row],[Co Released ]]</f>
        <v>0</v>
      </c>
      <c r="AB79">
        <f>InterviewsRaw[[#This Row],[Pink Kept]]+InterviewsRaw[[#This Row],[Pink Released]]</f>
        <v>0</v>
      </c>
      <c r="AC79">
        <f>InterviewsRaw[[#This Row],[Chu Kept]]+InterviewsRaw[[#This Row],[Chu Released]]</f>
        <v>9</v>
      </c>
    </row>
    <row r="80" spans="1:29" x14ac:dyDescent="0.3">
      <c r="A80" s="7">
        <v>45969</v>
      </c>
      <c r="B80">
        <v>12</v>
      </c>
      <c r="C80" t="s">
        <v>250</v>
      </c>
      <c r="D80" t="s">
        <v>42</v>
      </c>
      <c r="E80">
        <v>14</v>
      </c>
      <c r="F80">
        <v>3</v>
      </c>
      <c r="G80">
        <v>8</v>
      </c>
      <c r="H80" t="s">
        <v>241</v>
      </c>
      <c r="I80">
        <v>1</v>
      </c>
      <c r="J80" s="10">
        <v>0.5</v>
      </c>
      <c r="K80" s="10">
        <v>0.59166666666666667</v>
      </c>
      <c r="L80" s="10">
        <f t="shared" si="0"/>
        <v>9.1666666666666674E-2</v>
      </c>
      <c r="M80" s="12">
        <f t="shared" si="1"/>
        <v>2.2000000000000002</v>
      </c>
      <c r="N80" s="12">
        <f>InterviewsRaw[[#This Row],[Trip Hours]]*InterviewsRaw[[#This Row],['#Angler]]</f>
        <v>2.2000000000000002</v>
      </c>
      <c r="O80" t="s">
        <v>342</v>
      </c>
      <c r="Q80" t="s">
        <v>224</v>
      </c>
      <c r="R80" s="11">
        <v>0</v>
      </c>
      <c r="S80">
        <v>0</v>
      </c>
      <c r="T80">
        <v>0</v>
      </c>
      <c r="U80">
        <v>1</v>
      </c>
      <c r="V80" s="11">
        <v>0</v>
      </c>
      <c r="W80">
        <v>0</v>
      </c>
      <c r="X80">
        <v>0</v>
      </c>
      <c r="Y80">
        <v>0</v>
      </c>
      <c r="Z80" s="11">
        <f>InterviewsRaw[[#This Row],[Chi Kept]]+InterviewsRaw[[#This Row],[Chi Released]]</f>
        <v>0</v>
      </c>
      <c r="AA80">
        <f>InterviewsRaw[[#This Row],[Co Kept]]+InterviewsRaw[[#This Row],[Co Released ]]</f>
        <v>0</v>
      </c>
      <c r="AB80">
        <f>InterviewsRaw[[#This Row],[Pink Kept]]+InterviewsRaw[[#This Row],[Pink Released]]</f>
        <v>0</v>
      </c>
      <c r="AC80">
        <f>InterviewsRaw[[#This Row],[Chu Kept]]+InterviewsRaw[[#This Row],[Chu Released]]</f>
        <v>1</v>
      </c>
    </row>
    <row r="81" spans="1:29" x14ac:dyDescent="0.3">
      <c r="A81" s="7">
        <v>45969</v>
      </c>
      <c r="B81">
        <v>12</v>
      </c>
      <c r="C81" t="s">
        <v>250</v>
      </c>
      <c r="D81" t="s">
        <v>42</v>
      </c>
      <c r="E81">
        <v>15</v>
      </c>
      <c r="F81">
        <v>3</v>
      </c>
      <c r="G81">
        <v>8</v>
      </c>
      <c r="H81" t="s">
        <v>241</v>
      </c>
      <c r="I81">
        <v>3</v>
      </c>
      <c r="J81" s="10">
        <v>0.41666666666666669</v>
      </c>
      <c r="K81" s="10">
        <v>0.61805555555555558</v>
      </c>
      <c r="L81" s="10">
        <f t="shared" si="0"/>
        <v>0.2013888888888889</v>
      </c>
      <c r="M81" s="12">
        <f t="shared" si="1"/>
        <v>4.8333333333333339</v>
      </c>
      <c r="N81" s="12">
        <f>InterviewsRaw[[#This Row],[Trip Hours]]*InterviewsRaw[[#This Row],['#Angler]]</f>
        <v>14.500000000000002</v>
      </c>
      <c r="O81" t="s">
        <v>342</v>
      </c>
      <c r="R81" s="11">
        <v>0</v>
      </c>
      <c r="S81">
        <v>0</v>
      </c>
      <c r="T81">
        <v>0</v>
      </c>
      <c r="U81">
        <v>3</v>
      </c>
      <c r="V81" s="11">
        <v>0</v>
      </c>
      <c r="W81">
        <v>0</v>
      </c>
      <c r="X81">
        <v>0</v>
      </c>
      <c r="Y81">
        <v>0</v>
      </c>
      <c r="Z81" s="11">
        <f>InterviewsRaw[[#This Row],[Chi Kept]]+InterviewsRaw[[#This Row],[Chi Released]]</f>
        <v>0</v>
      </c>
      <c r="AA81">
        <f>InterviewsRaw[[#This Row],[Co Kept]]+InterviewsRaw[[#This Row],[Co Released ]]</f>
        <v>0</v>
      </c>
      <c r="AB81">
        <f>InterviewsRaw[[#This Row],[Pink Kept]]+InterviewsRaw[[#This Row],[Pink Released]]</f>
        <v>0</v>
      </c>
      <c r="AC81">
        <f>InterviewsRaw[[#This Row],[Chu Kept]]+InterviewsRaw[[#This Row],[Chu Released]]</f>
        <v>3</v>
      </c>
    </row>
    <row r="82" spans="1:29" x14ac:dyDescent="0.3">
      <c r="A82" s="7">
        <v>45969</v>
      </c>
      <c r="B82">
        <v>12</v>
      </c>
      <c r="C82" t="s">
        <v>250</v>
      </c>
      <c r="D82" t="s">
        <v>42</v>
      </c>
      <c r="E82">
        <v>16</v>
      </c>
      <c r="F82">
        <v>3</v>
      </c>
      <c r="G82">
        <v>8</v>
      </c>
      <c r="H82" t="s">
        <v>241</v>
      </c>
      <c r="I82">
        <v>1</v>
      </c>
      <c r="J82" s="10">
        <v>0.41666666666666669</v>
      </c>
      <c r="K82" s="10">
        <v>0.62083333333333335</v>
      </c>
      <c r="L82" s="10">
        <f t="shared" si="0"/>
        <v>0.20416666666666666</v>
      </c>
      <c r="M82" s="12">
        <f t="shared" si="1"/>
        <v>4.9000000000000004</v>
      </c>
      <c r="N82" s="12">
        <f>InterviewsRaw[[#This Row],[Trip Hours]]*InterviewsRaw[[#This Row],['#Angler]]</f>
        <v>4.9000000000000004</v>
      </c>
      <c r="O82" t="s">
        <v>342</v>
      </c>
      <c r="P82" t="s">
        <v>373</v>
      </c>
      <c r="R82" s="11">
        <v>0</v>
      </c>
      <c r="S82">
        <v>0</v>
      </c>
      <c r="T82">
        <v>0</v>
      </c>
      <c r="U82">
        <v>3</v>
      </c>
      <c r="V82" s="11">
        <v>0</v>
      </c>
      <c r="W82">
        <v>0</v>
      </c>
      <c r="X82">
        <v>0</v>
      </c>
      <c r="Y82">
        <v>0</v>
      </c>
      <c r="Z82" s="11">
        <f>InterviewsRaw[[#This Row],[Chi Kept]]+InterviewsRaw[[#This Row],[Chi Released]]</f>
        <v>0</v>
      </c>
      <c r="AA82">
        <f>InterviewsRaw[[#This Row],[Co Kept]]+InterviewsRaw[[#This Row],[Co Released ]]</f>
        <v>0</v>
      </c>
      <c r="AB82">
        <f>InterviewsRaw[[#This Row],[Pink Kept]]+InterviewsRaw[[#This Row],[Pink Released]]</f>
        <v>0</v>
      </c>
      <c r="AC82">
        <f>InterviewsRaw[[#This Row],[Chu Kept]]+InterviewsRaw[[#This Row],[Chu Released]]</f>
        <v>3</v>
      </c>
    </row>
    <row r="83" spans="1:29" x14ac:dyDescent="0.3">
      <c r="A83" s="7">
        <v>45969</v>
      </c>
      <c r="B83">
        <v>12</v>
      </c>
      <c r="C83" t="s">
        <v>250</v>
      </c>
      <c r="D83" t="s">
        <v>42</v>
      </c>
      <c r="E83">
        <v>17</v>
      </c>
      <c r="F83">
        <v>3</v>
      </c>
      <c r="G83">
        <v>8</v>
      </c>
      <c r="H83" t="s">
        <v>241</v>
      </c>
      <c r="I83">
        <v>1</v>
      </c>
      <c r="J83" s="10">
        <v>0.45833333333333331</v>
      </c>
      <c r="K83" s="10">
        <v>0.62222222222222223</v>
      </c>
      <c r="L83" s="10">
        <f t="shared" si="0"/>
        <v>0.16388888888888892</v>
      </c>
      <c r="M83" s="12">
        <f t="shared" si="1"/>
        <v>3.933333333333334</v>
      </c>
      <c r="N83" s="12">
        <f>InterviewsRaw[[#This Row],[Trip Hours]]*InterviewsRaw[[#This Row],['#Angler]]</f>
        <v>3.933333333333334</v>
      </c>
      <c r="O83" t="s">
        <v>342</v>
      </c>
      <c r="R83" s="11">
        <v>0</v>
      </c>
      <c r="S83">
        <v>0</v>
      </c>
      <c r="T83">
        <v>0</v>
      </c>
      <c r="U83">
        <v>1</v>
      </c>
      <c r="V83" s="11">
        <v>0</v>
      </c>
      <c r="W83">
        <v>0</v>
      </c>
      <c r="X83">
        <v>0</v>
      </c>
      <c r="Y83">
        <v>0</v>
      </c>
      <c r="Z83" s="11">
        <f>InterviewsRaw[[#This Row],[Chi Kept]]+InterviewsRaw[[#This Row],[Chi Released]]</f>
        <v>0</v>
      </c>
      <c r="AA83">
        <f>InterviewsRaw[[#This Row],[Co Kept]]+InterviewsRaw[[#This Row],[Co Released ]]</f>
        <v>0</v>
      </c>
      <c r="AB83">
        <f>InterviewsRaw[[#This Row],[Pink Kept]]+InterviewsRaw[[#This Row],[Pink Released]]</f>
        <v>0</v>
      </c>
      <c r="AC83">
        <f>InterviewsRaw[[#This Row],[Chu Kept]]+InterviewsRaw[[#This Row],[Chu Released]]</f>
        <v>1</v>
      </c>
    </row>
    <row r="84" spans="1:29" x14ac:dyDescent="0.3">
      <c r="A84" s="7">
        <v>45969</v>
      </c>
      <c r="B84">
        <v>12</v>
      </c>
      <c r="C84" t="s">
        <v>250</v>
      </c>
      <c r="D84" t="s">
        <v>42</v>
      </c>
      <c r="E84">
        <v>18</v>
      </c>
      <c r="F84">
        <v>3</v>
      </c>
      <c r="G84">
        <v>8</v>
      </c>
      <c r="H84" t="s">
        <v>241</v>
      </c>
      <c r="I84">
        <v>1</v>
      </c>
      <c r="J84" s="10">
        <v>0.5</v>
      </c>
      <c r="K84" s="10">
        <v>0.62291666666666667</v>
      </c>
      <c r="L84" s="10">
        <f t="shared" si="0"/>
        <v>0.12291666666666667</v>
      </c>
      <c r="M84" s="12">
        <f t="shared" si="1"/>
        <v>2.95</v>
      </c>
      <c r="N84" s="12">
        <f>InterviewsRaw[[#This Row],[Trip Hours]]*InterviewsRaw[[#This Row],['#Angler]]</f>
        <v>2.95</v>
      </c>
      <c r="O84" t="s">
        <v>342</v>
      </c>
      <c r="Q84" t="s">
        <v>238</v>
      </c>
      <c r="R84" s="11">
        <v>0</v>
      </c>
      <c r="S84">
        <v>0</v>
      </c>
      <c r="T84">
        <v>0</v>
      </c>
      <c r="U84">
        <v>1</v>
      </c>
      <c r="V84" s="11">
        <v>0</v>
      </c>
      <c r="W84">
        <v>0</v>
      </c>
      <c r="X84">
        <v>0</v>
      </c>
      <c r="Y84">
        <v>0</v>
      </c>
      <c r="Z84" s="11">
        <f>InterviewsRaw[[#This Row],[Chi Kept]]+InterviewsRaw[[#This Row],[Chi Released]]</f>
        <v>0</v>
      </c>
      <c r="AA84">
        <f>InterviewsRaw[[#This Row],[Co Kept]]+InterviewsRaw[[#This Row],[Co Released ]]</f>
        <v>0</v>
      </c>
      <c r="AB84">
        <f>InterviewsRaw[[#This Row],[Pink Kept]]+InterviewsRaw[[#This Row],[Pink Released]]</f>
        <v>0</v>
      </c>
      <c r="AC84">
        <f>InterviewsRaw[[#This Row],[Chu Kept]]+InterviewsRaw[[#This Row],[Chu Released]]</f>
        <v>1</v>
      </c>
    </row>
    <row r="85" spans="1:29" x14ac:dyDescent="0.3">
      <c r="A85" s="7">
        <v>45969</v>
      </c>
      <c r="B85">
        <v>12</v>
      </c>
      <c r="C85" t="s">
        <v>250</v>
      </c>
      <c r="D85" t="s">
        <v>42</v>
      </c>
      <c r="E85">
        <v>19</v>
      </c>
      <c r="F85">
        <v>3</v>
      </c>
      <c r="G85">
        <v>8</v>
      </c>
      <c r="H85" t="s">
        <v>241</v>
      </c>
      <c r="I85">
        <v>3</v>
      </c>
      <c r="J85" s="10">
        <v>0.35416666666666669</v>
      </c>
      <c r="K85" s="10">
        <v>0.62638888888888888</v>
      </c>
      <c r="L85" s="10">
        <f t="shared" si="0"/>
        <v>0.2722222222222222</v>
      </c>
      <c r="M85" s="12">
        <f t="shared" si="1"/>
        <v>6.5333333333333332</v>
      </c>
      <c r="N85" s="12">
        <f>InterviewsRaw[[#This Row],[Trip Hours]]*InterviewsRaw[[#This Row],['#Angler]]</f>
        <v>19.600000000000001</v>
      </c>
      <c r="O85" t="s">
        <v>342</v>
      </c>
      <c r="P85" t="s">
        <v>372</v>
      </c>
      <c r="Q85" t="s">
        <v>224</v>
      </c>
      <c r="R85" s="11">
        <v>0</v>
      </c>
      <c r="S85">
        <v>0</v>
      </c>
      <c r="T85">
        <v>0</v>
      </c>
      <c r="U85">
        <v>3</v>
      </c>
      <c r="V85" s="11">
        <v>0</v>
      </c>
      <c r="W85">
        <v>0</v>
      </c>
      <c r="X85">
        <v>0</v>
      </c>
      <c r="Y85">
        <v>0</v>
      </c>
      <c r="Z85" s="11">
        <f>InterviewsRaw[[#This Row],[Chi Kept]]+InterviewsRaw[[#This Row],[Chi Released]]</f>
        <v>0</v>
      </c>
      <c r="AA85">
        <f>InterviewsRaw[[#This Row],[Co Kept]]+InterviewsRaw[[#This Row],[Co Released ]]</f>
        <v>0</v>
      </c>
      <c r="AB85">
        <f>InterviewsRaw[[#This Row],[Pink Kept]]+InterviewsRaw[[#This Row],[Pink Released]]</f>
        <v>0</v>
      </c>
      <c r="AC85">
        <f>InterviewsRaw[[#This Row],[Chu Kept]]+InterviewsRaw[[#This Row],[Chu Released]]</f>
        <v>3</v>
      </c>
    </row>
    <row r="86" spans="1:29" x14ac:dyDescent="0.3">
      <c r="A86" s="7">
        <v>45969</v>
      </c>
      <c r="B86">
        <v>12</v>
      </c>
      <c r="C86" t="s">
        <v>250</v>
      </c>
      <c r="D86" t="s">
        <v>42</v>
      </c>
      <c r="E86">
        <v>20</v>
      </c>
      <c r="F86">
        <v>3</v>
      </c>
      <c r="G86">
        <v>8</v>
      </c>
      <c r="H86" t="s">
        <v>241</v>
      </c>
      <c r="I86">
        <v>1</v>
      </c>
      <c r="J86" s="10">
        <v>0.33333333333333331</v>
      </c>
      <c r="K86" s="10">
        <v>0.62847222222222221</v>
      </c>
      <c r="L86" s="10">
        <f t="shared" si="0"/>
        <v>0.2951388888888889</v>
      </c>
      <c r="M86" s="12">
        <f t="shared" si="1"/>
        <v>7.0833333333333339</v>
      </c>
      <c r="N86" s="12">
        <f>InterviewsRaw[[#This Row],[Trip Hours]]*InterviewsRaw[[#This Row],['#Angler]]</f>
        <v>7.0833333333333339</v>
      </c>
      <c r="O86" t="s">
        <v>342</v>
      </c>
      <c r="Q86" t="s">
        <v>224</v>
      </c>
      <c r="R86" s="11">
        <v>0</v>
      </c>
      <c r="S86">
        <v>0</v>
      </c>
      <c r="T86">
        <v>0</v>
      </c>
      <c r="U86">
        <v>1</v>
      </c>
      <c r="V86" s="11">
        <v>0</v>
      </c>
      <c r="W86">
        <v>0</v>
      </c>
      <c r="X86">
        <v>0</v>
      </c>
      <c r="Y86">
        <v>2</v>
      </c>
      <c r="Z86" s="11">
        <f>InterviewsRaw[[#This Row],[Chi Kept]]+InterviewsRaw[[#This Row],[Chi Released]]</f>
        <v>0</v>
      </c>
      <c r="AA86">
        <f>InterviewsRaw[[#This Row],[Co Kept]]+InterviewsRaw[[#This Row],[Co Released ]]</f>
        <v>0</v>
      </c>
      <c r="AB86">
        <f>InterviewsRaw[[#This Row],[Pink Kept]]+InterviewsRaw[[#This Row],[Pink Released]]</f>
        <v>0</v>
      </c>
      <c r="AC86">
        <f>InterviewsRaw[[#This Row],[Chu Kept]]+InterviewsRaw[[#This Row],[Chu Released]]</f>
        <v>3</v>
      </c>
    </row>
    <row r="87" spans="1:29" x14ac:dyDescent="0.3">
      <c r="A87" s="7">
        <v>45969</v>
      </c>
      <c r="B87">
        <v>12</v>
      </c>
      <c r="C87" t="s">
        <v>250</v>
      </c>
      <c r="D87" t="s">
        <v>42</v>
      </c>
      <c r="E87">
        <v>21</v>
      </c>
      <c r="F87">
        <v>3</v>
      </c>
      <c r="G87">
        <v>8</v>
      </c>
      <c r="H87" t="s">
        <v>241</v>
      </c>
      <c r="I87">
        <v>1</v>
      </c>
      <c r="J87" s="10">
        <v>0.5</v>
      </c>
      <c r="K87" s="10">
        <v>0.62847222222222221</v>
      </c>
      <c r="L87" s="10">
        <f t="shared" si="0"/>
        <v>0.12847222222222221</v>
      </c>
      <c r="M87" s="12">
        <f t="shared" si="1"/>
        <v>3.083333333333333</v>
      </c>
      <c r="N87" s="12">
        <f>InterviewsRaw[[#This Row],[Trip Hours]]*InterviewsRaw[[#This Row],['#Angler]]</f>
        <v>3.083333333333333</v>
      </c>
      <c r="O87" t="s">
        <v>342</v>
      </c>
      <c r="P87" t="s">
        <v>29</v>
      </c>
      <c r="Q87" t="s">
        <v>224</v>
      </c>
      <c r="R87" s="11">
        <v>0</v>
      </c>
      <c r="S87">
        <v>0</v>
      </c>
      <c r="T87">
        <v>0</v>
      </c>
      <c r="U87">
        <v>0</v>
      </c>
      <c r="V87" s="11">
        <v>0</v>
      </c>
      <c r="W87">
        <v>0</v>
      </c>
      <c r="X87">
        <v>0</v>
      </c>
      <c r="Y87">
        <v>0</v>
      </c>
      <c r="Z87" s="11">
        <f>InterviewsRaw[[#This Row],[Chi Kept]]+InterviewsRaw[[#This Row],[Chi Released]]</f>
        <v>0</v>
      </c>
      <c r="AA87">
        <f>InterviewsRaw[[#This Row],[Co Kept]]+InterviewsRaw[[#This Row],[Co Released ]]</f>
        <v>0</v>
      </c>
      <c r="AB87">
        <f>InterviewsRaw[[#This Row],[Pink Kept]]+InterviewsRaw[[#This Row],[Pink Released]]</f>
        <v>0</v>
      </c>
      <c r="AC87">
        <f>InterviewsRaw[[#This Row],[Chu Kept]]+InterviewsRaw[[#This Row],[Chu Released]]</f>
        <v>0</v>
      </c>
    </row>
    <row r="88" spans="1:29" x14ac:dyDescent="0.3">
      <c r="A88" s="7">
        <v>45969</v>
      </c>
      <c r="B88">
        <v>12</v>
      </c>
      <c r="C88" t="s">
        <v>250</v>
      </c>
      <c r="D88" t="s">
        <v>42</v>
      </c>
      <c r="E88">
        <v>22</v>
      </c>
      <c r="F88">
        <v>3</v>
      </c>
      <c r="G88">
        <v>8</v>
      </c>
      <c r="H88" t="s">
        <v>241</v>
      </c>
      <c r="I88">
        <v>1</v>
      </c>
      <c r="J88" s="10">
        <v>0.39583333333333331</v>
      </c>
      <c r="K88" s="10">
        <v>0.62847222222222221</v>
      </c>
      <c r="L88" s="10">
        <f t="shared" si="0"/>
        <v>0.2326388888888889</v>
      </c>
      <c r="M88" s="12">
        <f t="shared" si="1"/>
        <v>5.5833333333333339</v>
      </c>
      <c r="N88" s="12">
        <f>InterviewsRaw[[#This Row],[Trip Hours]]*InterviewsRaw[[#This Row],['#Angler]]</f>
        <v>5.5833333333333339</v>
      </c>
      <c r="O88" t="s">
        <v>342</v>
      </c>
      <c r="Q88" t="s">
        <v>224</v>
      </c>
      <c r="R88" s="11">
        <v>0</v>
      </c>
      <c r="S88">
        <v>0</v>
      </c>
      <c r="T88">
        <v>0</v>
      </c>
      <c r="U88">
        <v>1</v>
      </c>
      <c r="V88" s="11">
        <v>0</v>
      </c>
      <c r="W88">
        <v>0</v>
      </c>
      <c r="X88">
        <v>0</v>
      </c>
      <c r="Y88">
        <v>2</v>
      </c>
      <c r="Z88" s="11">
        <f>InterviewsRaw[[#This Row],[Chi Kept]]+InterviewsRaw[[#This Row],[Chi Released]]</f>
        <v>0</v>
      </c>
      <c r="AA88">
        <f>InterviewsRaw[[#This Row],[Co Kept]]+InterviewsRaw[[#This Row],[Co Released ]]</f>
        <v>0</v>
      </c>
      <c r="AB88">
        <f>InterviewsRaw[[#This Row],[Pink Kept]]+InterviewsRaw[[#This Row],[Pink Released]]</f>
        <v>0</v>
      </c>
      <c r="AC88">
        <f>InterviewsRaw[[#This Row],[Chu Kept]]+InterviewsRaw[[#This Row],[Chu Released]]</f>
        <v>3</v>
      </c>
    </row>
    <row r="89" spans="1:29" x14ac:dyDescent="0.3">
      <c r="A89" s="7">
        <v>45969</v>
      </c>
      <c r="B89">
        <v>12</v>
      </c>
      <c r="C89" t="s">
        <v>250</v>
      </c>
      <c r="D89" t="s">
        <v>42</v>
      </c>
      <c r="E89">
        <v>23</v>
      </c>
      <c r="F89">
        <v>3</v>
      </c>
      <c r="G89">
        <v>8</v>
      </c>
      <c r="H89" t="s">
        <v>241</v>
      </c>
      <c r="I89">
        <v>1</v>
      </c>
      <c r="J89" s="10">
        <v>0.47916666666666669</v>
      </c>
      <c r="K89" s="10">
        <v>0.63124999999999998</v>
      </c>
      <c r="L89" s="10">
        <f t="shared" si="0"/>
        <v>0.15208333333333329</v>
      </c>
      <c r="M89" s="12">
        <f t="shared" si="1"/>
        <v>3.649999999999999</v>
      </c>
      <c r="N89" s="12">
        <f>InterviewsRaw[[#This Row],[Trip Hours]]*InterviewsRaw[[#This Row],['#Angler]]</f>
        <v>3.649999999999999</v>
      </c>
      <c r="O89" t="s">
        <v>342</v>
      </c>
      <c r="Q89" t="s">
        <v>224</v>
      </c>
      <c r="R89" s="11">
        <v>0</v>
      </c>
      <c r="S89">
        <v>0</v>
      </c>
      <c r="T89">
        <v>0</v>
      </c>
      <c r="U89">
        <v>2</v>
      </c>
      <c r="V89" s="11">
        <v>0</v>
      </c>
      <c r="W89">
        <v>0</v>
      </c>
      <c r="X89">
        <v>0</v>
      </c>
      <c r="Y89">
        <v>0</v>
      </c>
      <c r="Z89" s="11">
        <f>InterviewsRaw[[#This Row],[Chi Kept]]+InterviewsRaw[[#This Row],[Chi Released]]</f>
        <v>0</v>
      </c>
      <c r="AA89">
        <f>InterviewsRaw[[#This Row],[Co Kept]]+InterviewsRaw[[#This Row],[Co Released ]]</f>
        <v>0</v>
      </c>
      <c r="AB89">
        <f>InterviewsRaw[[#This Row],[Pink Kept]]+InterviewsRaw[[#This Row],[Pink Released]]</f>
        <v>0</v>
      </c>
      <c r="AC89">
        <f>InterviewsRaw[[#This Row],[Chu Kept]]+InterviewsRaw[[#This Row],[Chu Released]]</f>
        <v>2</v>
      </c>
    </row>
    <row r="90" spans="1:29" x14ac:dyDescent="0.3">
      <c r="A90" s="7">
        <v>45969</v>
      </c>
      <c r="B90">
        <v>12</v>
      </c>
      <c r="C90" t="s">
        <v>250</v>
      </c>
      <c r="D90" t="s">
        <v>42</v>
      </c>
      <c r="E90">
        <v>24</v>
      </c>
      <c r="F90">
        <v>3</v>
      </c>
      <c r="G90">
        <v>6</v>
      </c>
      <c r="H90" t="s">
        <v>241</v>
      </c>
      <c r="I90">
        <v>1</v>
      </c>
      <c r="J90" s="10">
        <v>0.29166666666666669</v>
      </c>
      <c r="K90" s="10">
        <v>0.375</v>
      </c>
      <c r="L90" s="10">
        <f t="shared" si="0"/>
        <v>8.3333333333333315E-2</v>
      </c>
      <c r="M90" s="12">
        <f t="shared" si="1"/>
        <v>1.9999999999999996</v>
      </c>
      <c r="N90" s="12">
        <f>InterviewsRaw[[#This Row],[Trip Hours]]*InterviewsRaw[[#This Row],['#Angler]]</f>
        <v>1.9999999999999996</v>
      </c>
      <c r="O90" t="s">
        <v>349</v>
      </c>
      <c r="Q90" t="s">
        <v>238</v>
      </c>
      <c r="R90" s="11">
        <v>0</v>
      </c>
      <c r="S90">
        <v>0</v>
      </c>
      <c r="T90">
        <v>0</v>
      </c>
      <c r="U90">
        <v>1</v>
      </c>
      <c r="V90" s="11">
        <v>0</v>
      </c>
      <c r="W90">
        <v>0</v>
      </c>
      <c r="X90">
        <v>0</v>
      </c>
      <c r="Y90">
        <v>0</v>
      </c>
      <c r="Z90" s="11">
        <f>InterviewsRaw[[#This Row],[Chi Kept]]+InterviewsRaw[[#This Row],[Chi Released]]</f>
        <v>0</v>
      </c>
      <c r="AA90">
        <f>InterviewsRaw[[#This Row],[Co Kept]]+InterviewsRaw[[#This Row],[Co Released ]]</f>
        <v>0</v>
      </c>
      <c r="AB90">
        <f>InterviewsRaw[[#This Row],[Pink Kept]]+InterviewsRaw[[#This Row],[Pink Released]]</f>
        <v>0</v>
      </c>
      <c r="AC90">
        <f>InterviewsRaw[[#This Row],[Chu Kept]]+InterviewsRaw[[#This Row],[Chu Released]]</f>
        <v>1</v>
      </c>
    </row>
    <row r="91" spans="1:29" x14ac:dyDescent="0.3">
      <c r="A91" s="7">
        <v>45969</v>
      </c>
      <c r="B91">
        <v>12</v>
      </c>
      <c r="C91" t="s">
        <v>250</v>
      </c>
      <c r="D91" t="s">
        <v>42</v>
      </c>
      <c r="E91">
        <v>25</v>
      </c>
      <c r="F91">
        <v>4</v>
      </c>
      <c r="G91">
        <v>5</v>
      </c>
      <c r="H91" t="s">
        <v>241</v>
      </c>
      <c r="I91">
        <v>4</v>
      </c>
      <c r="J91" s="10">
        <v>0.39583333333333331</v>
      </c>
      <c r="K91" s="10">
        <v>0.45833333333333331</v>
      </c>
      <c r="L91" s="10">
        <f t="shared" si="0"/>
        <v>6.25E-2</v>
      </c>
      <c r="M91" s="12">
        <f t="shared" si="1"/>
        <v>1.5</v>
      </c>
      <c r="N91" s="12">
        <f>InterviewsRaw[[#This Row],[Trip Hours]]*InterviewsRaw[[#This Row],['#Angler]]</f>
        <v>6</v>
      </c>
      <c r="O91" t="s">
        <v>349</v>
      </c>
      <c r="Q91" t="s">
        <v>241</v>
      </c>
      <c r="R91" s="11">
        <v>0</v>
      </c>
      <c r="S91">
        <v>0</v>
      </c>
      <c r="T91">
        <v>0</v>
      </c>
      <c r="U91">
        <v>0</v>
      </c>
      <c r="V91" s="11">
        <v>0</v>
      </c>
      <c r="W91">
        <v>0</v>
      </c>
      <c r="X91">
        <v>0</v>
      </c>
      <c r="Y91">
        <v>0</v>
      </c>
      <c r="Z91" s="11">
        <f>InterviewsRaw[[#This Row],[Chi Kept]]+InterviewsRaw[[#This Row],[Chi Released]]</f>
        <v>0</v>
      </c>
      <c r="AA91">
        <f>InterviewsRaw[[#This Row],[Co Kept]]+InterviewsRaw[[#This Row],[Co Released ]]</f>
        <v>0</v>
      </c>
      <c r="AB91">
        <f>InterviewsRaw[[#This Row],[Pink Kept]]+InterviewsRaw[[#This Row],[Pink Released]]</f>
        <v>0</v>
      </c>
      <c r="AC91">
        <f>InterviewsRaw[[#This Row],[Chu Kept]]+InterviewsRaw[[#This Row],[Chu Released]]</f>
        <v>0</v>
      </c>
    </row>
    <row r="92" spans="1:29" x14ac:dyDescent="0.3">
      <c r="A92" s="7">
        <v>45969</v>
      </c>
      <c r="B92">
        <v>12</v>
      </c>
      <c r="C92" t="s">
        <v>250</v>
      </c>
      <c r="D92" t="s">
        <v>42</v>
      </c>
      <c r="E92">
        <v>26</v>
      </c>
      <c r="F92">
        <v>3</v>
      </c>
      <c r="G92">
        <v>5</v>
      </c>
      <c r="H92" t="s">
        <v>241</v>
      </c>
      <c r="I92">
        <v>4</v>
      </c>
      <c r="J92" s="10">
        <v>0.52083333333333337</v>
      </c>
      <c r="K92" s="10">
        <v>0.67013888888888884</v>
      </c>
      <c r="L92" s="10">
        <f t="shared" si="0"/>
        <v>0.14930555555555547</v>
      </c>
      <c r="M92" s="12">
        <f t="shared" si="1"/>
        <v>3.5833333333333313</v>
      </c>
      <c r="N92" s="12">
        <f>InterviewsRaw[[#This Row],[Trip Hours]]*InterviewsRaw[[#This Row],['#Angler]]</f>
        <v>14.333333333333325</v>
      </c>
      <c r="O92" t="s">
        <v>342</v>
      </c>
      <c r="Q92" t="s">
        <v>241</v>
      </c>
      <c r="R92" s="11">
        <v>0</v>
      </c>
      <c r="S92">
        <v>0</v>
      </c>
      <c r="T92">
        <v>0</v>
      </c>
      <c r="U92">
        <v>0</v>
      </c>
      <c r="V92" s="11">
        <v>0</v>
      </c>
      <c r="W92">
        <v>0</v>
      </c>
      <c r="X92">
        <v>0</v>
      </c>
      <c r="Y92">
        <v>0</v>
      </c>
      <c r="Z92" s="11">
        <f>InterviewsRaw[[#This Row],[Chi Kept]]+InterviewsRaw[[#This Row],[Chi Released]]</f>
        <v>0</v>
      </c>
      <c r="AA92">
        <f>InterviewsRaw[[#This Row],[Co Kept]]+InterviewsRaw[[#This Row],[Co Released ]]</f>
        <v>0</v>
      </c>
      <c r="AB92">
        <f>InterviewsRaw[[#This Row],[Pink Kept]]+InterviewsRaw[[#This Row],[Pink Released]]</f>
        <v>0</v>
      </c>
      <c r="AC92">
        <f>InterviewsRaw[[#This Row],[Chu Kept]]+InterviewsRaw[[#This Row],[Chu Released]]</f>
        <v>0</v>
      </c>
    </row>
    <row r="93" spans="1:29" x14ac:dyDescent="0.3">
      <c r="A93" s="7">
        <v>45973</v>
      </c>
      <c r="B93">
        <v>13</v>
      </c>
      <c r="C93" t="s">
        <v>236</v>
      </c>
      <c r="D93" t="s">
        <v>26</v>
      </c>
      <c r="E93">
        <v>1</v>
      </c>
      <c r="F93">
        <v>3</v>
      </c>
      <c r="G93">
        <v>8</v>
      </c>
      <c r="H93" t="s">
        <v>241</v>
      </c>
      <c r="I93">
        <v>1</v>
      </c>
      <c r="J93" s="10">
        <v>0.30208333333333331</v>
      </c>
      <c r="K93" s="10">
        <v>0.36249999999999999</v>
      </c>
      <c r="L93" s="10">
        <f t="shared" si="0"/>
        <v>6.0416666666666674E-2</v>
      </c>
      <c r="M93" s="12">
        <f t="shared" si="1"/>
        <v>1.4500000000000002</v>
      </c>
      <c r="N93" s="12">
        <f>InterviewsRaw[[#This Row],[Trip Hours]]*InterviewsRaw[[#This Row],['#Angler]]</f>
        <v>1.4500000000000002</v>
      </c>
      <c r="O93" t="s">
        <v>342</v>
      </c>
      <c r="P93" t="s">
        <v>29</v>
      </c>
      <c r="R93" s="11">
        <v>0</v>
      </c>
      <c r="S93">
        <v>0</v>
      </c>
      <c r="T93">
        <v>0</v>
      </c>
      <c r="U93">
        <v>0</v>
      </c>
      <c r="V93" s="11">
        <v>0</v>
      </c>
      <c r="W93">
        <v>0</v>
      </c>
      <c r="X93">
        <v>0</v>
      </c>
      <c r="Y93">
        <v>0</v>
      </c>
      <c r="Z93" s="11">
        <f>InterviewsRaw[[#This Row],[Chi Kept]]+InterviewsRaw[[#This Row],[Chi Released]]</f>
        <v>0</v>
      </c>
      <c r="AA93">
        <f>InterviewsRaw[[#This Row],[Co Kept]]+InterviewsRaw[[#This Row],[Co Released ]]</f>
        <v>0</v>
      </c>
      <c r="AB93">
        <f>InterviewsRaw[[#This Row],[Pink Kept]]+InterviewsRaw[[#This Row],[Pink Released]]</f>
        <v>0</v>
      </c>
      <c r="AC93">
        <f>InterviewsRaw[[#This Row],[Chu Kept]]+InterviewsRaw[[#This Row],[Chu Released]]</f>
        <v>0</v>
      </c>
    </row>
    <row r="94" spans="1:29" x14ac:dyDescent="0.3">
      <c r="A94" s="7">
        <v>45973</v>
      </c>
      <c r="B94">
        <v>13</v>
      </c>
      <c r="C94" t="s">
        <v>236</v>
      </c>
      <c r="D94" t="s">
        <v>26</v>
      </c>
      <c r="E94">
        <v>2</v>
      </c>
      <c r="F94">
        <v>4</v>
      </c>
      <c r="G94">
        <v>1</v>
      </c>
      <c r="H94" t="s">
        <v>241</v>
      </c>
      <c r="I94">
        <v>2</v>
      </c>
      <c r="J94" s="10">
        <v>0.3125</v>
      </c>
      <c r="K94" s="10">
        <v>0.38611111111111113</v>
      </c>
      <c r="L94" s="10">
        <f t="shared" si="0"/>
        <v>7.3611111111111127E-2</v>
      </c>
      <c r="M94" s="12">
        <f t="shared" si="1"/>
        <v>1.7666666666666671</v>
      </c>
      <c r="N94" s="12">
        <f>InterviewsRaw[[#This Row],[Trip Hours]]*InterviewsRaw[[#This Row],['#Angler]]</f>
        <v>3.5333333333333341</v>
      </c>
      <c r="O94" t="s">
        <v>342</v>
      </c>
      <c r="P94" t="s">
        <v>29</v>
      </c>
      <c r="Q94" t="s">
        <v>224</v>
      </c>
      <c r="R94" s="11">
        <v>0</v>
      </c>
      <c r="S94">
        <v>0</v>
      </c>
      <c r="T94">
        <v>0</v>
      </c>
      <c r="U94">
        <v>0</v>
      </c>
      <c r="V94" s="11">
        <v>0</v>
      </c>
      <c r="W94">
        <v>0</v>
      </c>
      <c r="X94">
        <v>0</v>
      </c>
      <c r="Y94">
        <v>0</v>
      </c>
      <c r="Z94" s="11">
        <f>InterviewsRaw[[#This Row],[Chi Kept]]+InterviewsRaw[[#This Row],[Chi Released]]</f>
        <v>0</v>
      </c>
      <c r="AA94">
        <f>InterviewsRaw[[#This Row],[Co Kept]]+InterviewsRaw[[#This Row],[Co Released ]]</f>
        <v>0</v>
      </c>
      <c r="AB94">
        <f>InterviewsRaw[[#This Row],[Pink Kept]]+InterviewsRaw[[#This Row],[Pink Released]]</f>
        <v>0</v>
      </c>
      <c r="AC94">
        <f>InterviewsRaw[[#This Row],[Chu Kept]]+InterviewsRaw[[#This Row],[Chu Released]]</f>
        <v>0</v>
      </c>
    </row>
    <row r="95" spans="1:29" x14ac:dyDescent="0.3">
      <c r="A95" s="7">
        <v>45973</v>
      </c>
      <c r="B95">
        <v>13</v>
      </c>
      <c r="C95" t="s">
        <v>236</v>
      </c>
      <c r="D95" t="s">
        <v>26</v>
      </c>
      <c r="E95">
        <v>3</v>
      </c>
      <c r="F95">
        <v>4</v>
      </c>
      <c r="G95">
        <v>3</v>
      </c>
      <c r="H95" t="s">
        <v>241</v>
      </c>
      <c r="I95">
        <v>2</v>
      </c>
      <c r="J95" s="10">
        <v>0.27083333333333331</v>
      </c>
      <c r="K95" s="10">
        <v>0.40972222222222221</v>
      </c>
      <c r="L95" s="10">
        <f t="shared" si="0"/>
        <v>0.1388888888888889</v>
      </c>
      <c r="M95" s="12">
        <f t="shared" si="1"/>
        <v>3.3333333333333335</v>
      </c>
      <c r="N95" s="12">
        <f>InterviewsRaw[[#This Row],[Trip Hours]]*InterviewsRaw[[#This Row],['#Angler]]</f>
        <v>6.666666666666667</v>
      </c>
      <c r="O95" t="s">
        <v>342</v>
      </c>
      <c r="P95" t="s">
        <v>29</v>
      </c>
      <c r="Q95" t="s">
        <v>224</v>
      </c>
      <c r="R95" s="11">
        <v>0</v>
      </c>
      <c r="S95">
        <v>0</v>
      </c>
      <c r="T95">
        <v>0</v>
      </c>
      <c r="U95">
        <v>0</v>
      </c>
      <c r="V95" s="11">
        <v>0</v>
      </c>
      <c r="W95">
        <v>0</v>
      </c>
      <c r="X95">
        <v>0</v>
      </c>
      <c r="Y95">
        <v>0</v>
      </c>
      <c r="Z95" s="11">
        <f>InterviewsRaw[[#This Row],[Chi Kept]]+InterviewsRaw[[#This Row],[Chi Released]]</f>
        <v>0</v>
      </c>
      <c r="AA95">
        <f>InterviewsRaw[[#This Row],[Co Kept]]+InterviewsRaw[[#This Row],[Co Released ]]</f>
        <v>0</v>
      </c>
      <c r="AB95">
        <f>InterviewsRaw[[#This Row],[Pink Kept]]+InterviewsRaw[[#This Row],[Pink Released]]</f>
        <v>0</v>
      </c>
      <c r="AC95">
        <f>InterviewsRaw[[#This Row],[Chu Kept]]+InterviewsRaw[[#This Row],[Chu Released]]</f>
        <v>0</v>
      </c>
    </row>
    <row r="96" spans="1:29" x14ac:dyDescent="0.3">
      <c r="A96" s="7">
        <v>45973</v>
      </c>
      <c r="B96">
        <v>13</v>
      </c>
      <c r="C96" t="s">
        <v>236</v>
      </c>
      <c r="D96" t="s">
        <v>26</v>
      </c>
      <c r="E96">
        <v>4</v>
      </c>
      <c r="F96">
        <v>4</v>
      </c>
      <c r="G96">
        <v>3</v>
      </c>
      <c r="H96" t="s">
        <v>241</v>
      </c>
      <c r="I96">
        <v>1</v>
      </c>
      <c r="J96" s="10">
        <v>0.3125</v>
      </c>
      <c r="K96" s="10">
        <v>0.41111111111111109</v>
      </c>
      <c r="L96" s="10">
        <f t="shared" si="0"/>
        <v>9.8611111111111094E-2</v>
      </c>
      <c r="M96" s="12">
        <f t="shared" si="1"/>
        <v>2.3666666666666663</v>
      </c>
      <c r="N96" s="12">
        <f>InterviewsRaw[[#This Row],[Trip Hours]]*InterviewsRaw[[#This Row],['#Angler]]</f>
        <v>2.3666666666666663</v>
      </c>
      <c r="O96" t="s">
        <v>342</v>
      </c>
      <c r="P96" t="s">
        <v>29</v>
      </c>
      <c r="Q96" t="s">
        <v>224</v>
      </c>
      <c r="R96" s="11">
        <v>0</v>
      </c>
      <c r="S96">
        <v>0</v>
      </c>
      <c r="T96">
        <v>0</v>
      </c>
      <c r="U96">
        <v>0</v>
      </c>
      <c r="V96" s="11">
        <v>0</v>
      </c>
      <c r="W96">
        <v>0</v>
      </c>
      <c r="X96">
        <v>0</v>
      </c>
      <c r="Y96">
        <v>4</v>
      </c>
      <c r="Z96" s="11">
        <f>InterviewsRaw[[#This Row],[Chi Kept]]+InterviewsRaw[[#This Row],[Chi Released]]</f>
        <v>0</v>
      </c>
      <c r="AA96">
        <f>InterviewsRaw[[#This Row],[Co Kept]]+InterviewsRaw[[#This Row],[Co Released ]]</f>
        <v>0</v>
      </c>
      <c r="AB96">
        <f>InterviewsRaw[[#This Row],[Pink Kept]]+InterviewsRaw[[#This Row],[Pink Released]]</f>
        <v>0</v>
      </c>
      <c r="AC96">
        <f>InterviewsRaw[[#This Row],[Chu Kept]]+InterviewsRaw[[#This Row],[Chu Released]]</f>
        <v>4</v>
      </c>
    </row>
    <row r="97" spans="1:29" x14ac:dyDescent="0.3">
      <c r="A97" s="7">
        <v>45973</v>
      </c>
      <c r="B97">
        <v>13</v>
      </c>
      <c r="C97" t="s">
        <v>236</v>
      </c>
      <c r="D97" t="s">
        <v>26</v>
      </c>
      <c r="E97">
        <v>5</v>
      </c>
      <c r="F97">
        <v>4</v>
      </c>
      <c r="G97">
        <v>3</v>
      </c>
      <c r="H97" t="s">
        <v>241</v>
      </c>
      <c r="I97">
        <v>1</v>
      </c>
      <c r="J97" s="10">
        <v>0.35416666666666669</v>
      </c>
      <c r="K97" s="10">
        <v>0.41388888888888886</v>
      </c>
      <c r="L97" s="10">
        <f t="shared" si="0"/>
        <v>5.9722222222222177E-2</v>
      </c>
      <c r="M97" s="12">
        <f t="shared" si="1"/>
        <v>1.4333333333333322</v>
      </c>
      <c r="N97" s="12">
        <f>InterviewsRaw[[#This Row],[Trip Hours]]*InterviewsRaw[[#This Row],['#Angler]]</f>
        <v>1.4333333333333322</v>
      </c>
      <c r="O97" t="s">
        <v>342</v>
      </c>
      <c r="Q97" t="s">
        <v>224</v>
      </c>
      <c r="R97" s="11">
        <v>0</v>
      </c>
      <c r="S97">
        <v>0</v>
      </c>
      <c r="T97">
        <v>0</v>
      </c>
      <c r="U97">
        <v>1</v>
      </c>
      <c r="V97" s="11">
        <v>0</v>
      </c>
      <c r="W97">
        <v>0</v>
      </c>
      <c r="X97">
        <v>0</v>
      </c>
      <c r="Y97">
        <v>0</v>
      </c>
      <c r="Z97" s="11">
        <f>InterviewsRaw[[#This Row],[Chi Kept]]+InterviewsRaw[[#This Row],[Chi Released]]</f>
        <v>0</v>
      </c>
      <c r="AA97">
        <f>InterviewsRaw[[#This Row],[Co Kept]]+InterviewsRaw[[#This Row],[Co Released ]]</f>
        <v>0</v>
      </c>
      <c r="AB97">
        <f>InterviewsRaw[[#This Row],[Pink Kept]]+InterviewsRaw[[#This Row],[Pink Released]]</f>
        <v>0</v>
      </c>
      <c r="AC97">
        <f>InterviewsRaw[[#This Row],[Chu Kept]]+InterviewsRaw[[#This Row],[Chu Released]]</f>
        <v>1</v>
      </c>
    </row>
    <row r="98" spans="1:29" x14ac:dyDescent="0.3">
      <c r="A98" s="7">
        <v>45973</v>
      </c>
      <c r="B98">
        <v>13</v>
      </c>
      <c r="C98" t="s">
        <v>236</v>
      </c>
      <c r="D98" t="s">
        <v>26</v>
      </c>
      <c r="E98">
        <v>6</v>
      </c>
      <c r="F98">
        <v>4</v>
      </c>
      <c r="G98">
        <v>3</v>
      </c>
      <c r="H98" t="s">
        <v>241</v>
      </c>
      <c r="I98">
        <v>1</v>
      </c>
      <c r="J98" s="10">
        <v>0.33333333333333331</v>
      </c>
      <c r="K98" s="10">
        <v>0.41597222222222224</v>
      </c>
      <c r="L98" s="10">
        <f t="shared" si="0"/>
        <v>8.2638888888888928E-2</v>
      </c>
      <c r="M98" s="12">
        <f t="shared" si="1"/>
        <v>1.9833333333333343</v>
      </c>
      <c r="N98" s="12">
        <f>InterviewsRaw[[#This Row],[Trip Hours]]*InterviewsRaw[[#This Row],['#Angler]]</f>
        <v>1.9833333333333343</v>
      </c>
      <c r="O98" t="s">
        <v>342</v>
      </c>
      <c r="P98" t="s">
        <v>29</v>
      </c>
      <c r="R98" s="11">
        <v>0</v>
      </c>
      <c r="S98">
        <v>0</v>
      </c>
      <c r="T98">
        <v>0</v>
      </c>
      <c r="U98">
        <v>3</v>
      </c>
      <c r="V98" s="11">
        <v>0</v>
      </c>
      <c r="W98">
        <v>0</v>
      </c>
      <c r="X98">
        <v>0</v>
      </c>
      <c r="Y98">
        <v>0</v>
      </c>
      <c r="Z98" s="11">
        <f>InterviewsRaw[[#This Row],[Chi Kept]]+InterviewsRaw[[#This Row],[Chi Released]]</f>
        <v>0</v>
      </c>
      <c r="AA98">
        <f>InterviewsRaw[[#This Row],[Co Kept]]+InterviewsRaw[[#This Row],[Co Released ]]</f>
        <v>0</v>
      </c>
      <c r="AB98">
        <f>InterviewsRaw[[#This Row],[Pink Kept]]+InterviewsRaw[[#This Row],[Pink Released]]</f>
        <v>0</v>
      </c>
      <c r="AC98">
        <f>InterviewsRaw[[#This Row],[Chu Kept]]+InterviewsRaw[[#This Row],[Chu Released]]</f>
        <v>3</v>
      </c>
    </row>
    <row r="99" spans="1:29" x14ac:dyDescent="0.3">
      <c r="A99" s="7">
        <v>45973</v>
      </c>
      <c r="B99">
        <v>13</v>
      </c>
      <c r="C99" t="s">
        <v>236</v>
      </c>
      <c r="D99" t="s">
        <v>42</v>
      </c>
      <c r="E99">
        <v>7</v>
      </c>
      <c r="F99">
        <v>4</v>
      </c>
      <c r="G99">
        <v>4</v>
      </c>
      <c r="H99" t="s">
        <v>241</v>
      </c>
      <c r="I99">
        <v>1</v>
      </c>
      <c r="J99" s="10">
        <v>0.51388888888888884</v>
      </c>
      <c r="K99" s="10">
        <v>0.53472222222222221</v>
      </c>
      <c r="L99" s="10">
        <f t="shared" si="0"/>
        <v>2.083333333333337E-2</v>
      </c>
      <c r="M99" s="12">
        <f t="shared" si="1"/>
        <v>0.50000000000000089</v>
      </c>
      <c r="N99" s="12">
        <f>InterviewsRaw[[#This Row],[Trip Hours]]*InterviewsRaw[[#This Row],['#Angler]]</f>
        <v>0.50000000000000089</v>
      </c>
      <c r="O99" t="s">
        <v>342</v>
      </c>
      <c r="P99" t="s">
        <v>112</v>
      </c>
      <c r="R99" s="11">
        <v>0</v>
      </c>
      <c r="S99">
        <v>0</v>
      </c>
      <c r="T99">
        <v>0</v>
      </c>
      <c r="U99">
        <v>0</v>
      </c>
      <c r="V99" s="11">
        <v>0</v>
      </c>
      <c r="W99">
        <v>0</v>
      </c>
      <c r="X99">
        <v>0</v>
      </c>
      <c r="Y99">
        <v>0</v>
      </c>
      <c r="Z99" s="11">
        <f>InterviewsRaw[[#This Row],[Chi Kept]]+InterviewsRaw[[#This Row],[Chi Released]]</f>
        <v>0</v>
      </c>
      <c r="AA99">
        <f>InterviewsRaw[[#This Row],[Co Kept]]+InterviewsRaw[[#This Row],[Co Released ]]</f>
        <v>0</v>
      </c>
      <c r="AB99">
        <f>InterviewsRaw[[#This Row],[Pink Kept]]+InterviewsRaw[[#This Row],[Pink Released]]</f>
        <v>0</v>
      </c>
      <c r="AC99">
        <f>InterviewsRaw[[#This Row],[Chu Kept]]+InterviewsRaw[[#This Row],[Chu Released]]</f>
        <v>0</v>
      </c>
    </row>
    <row r="100" spans="1:29" x14ac:dyDescent="0.3">
      <c r="A100" s="7">
        <v>45973</v>
      </c>
      <c r="B100">
        <v>13</v>
      </c>
      <c r="C100" t="s">
        <v>236</v>
      </c>
      <c r="D100" t="s">
        <v>42</v>
      </c>
      <c r="E100">
        <v>8</v>
      </c>
      <c r="F100">
        <v>4</v>
      </c>
      <c r="G100">
        <v>3</v>
      </c>
      <c r="H100" t="s">
        <v>241</v>
      </c>
      <c r="I100">
        <v>2</v>
      </c>
      <c r="J100" s="10">
        <v>0.29166666666666669</v>
      </c>
      <c r="K100" s="10">
        <v>0.55625000000000002</v>
      </c>
      <c r="L100" s="10">
        <f t="shared" si="0"/>
        <v>0.26458333333333334</v>
      </c>
      <c r="M100" s="12">
        <f t="shared" si="1"/>
        <v>6.35</v>
      </c>
      <c r="N100" s="12">
        <f>InterviewsRaw[[#This Row],[Trip Hours]]*InterviewsRaw[[#This Row],['#Angler]]</f>
        <v>12.7</v>
      </c>
      <c r="O100" t="s">
        <v>342</v>
      </c>
      <c r="Q100" t="s">
        <v>224</v>
      </c>
      <c r="R100" s="11">
        <v>0</v>
      </c>
      <c r="S100">
        <v>0</v>
      </c>
      <c r="T100">
        <v>0</v>
      </c>
      <c r="U100">
        <v>0</v>
      </c>
      <c r="V100" s="11">
        <v>0</v>
      </c>
      <c r="W100">
        <v>0</v>
      </c>
      <c r="X100">
        <v>0</v>
      </c>
      <c r="Y100">
        <v>0</v>
      </c>
      <c r="Z100" s="11">
        <f>InterviewsRaw[[#This Row],[Chi Kept]]+InterviewsRaw[[#This Row],[Chi Released]]</f>
        <v>0</v>
      </c>
      <c r="AA100">
        <f>InterviewsRaw[[#This Row],[Co Kept]]+InterviewsRaw[[#This Row],[Co Released ]]</f>
        <v>0</v>
      </c>
      <c r="AB100">
        <f>InterviewsRaw[[#This Row],[Pink Kept]]+InterviewsRaw[[#This Row],[Pink Released]]</f>
        <v>0</v>
      </c>
      <c r="AC100">
        <f>InterviewsRaw[[#This Row],[Chu Kept]]+InterviewsRaw[[#This Row],[Chu Released]]</f>
        <v>0</v>
      </c>
    </row>
    <row r="101" spans="1:29" x14ac:dyDescent="0.3">
      <c r="A101" s="7">
        <v>45973</v>
      </c>
      <c r="B101">
        <v>13</v>
      </c>
      <c r="C101" t="s">
        <v>236</v>
      </c>
      <c r="D101" t="s">
        <v>42</v>
      </c>
      <c r="E101">
        <v>9</v>
      </c>
      <c r="F101">
        <v>4</v>
      </c>
      <c r="G101">
        <v>3</v>
      </c>
      <c r="H101" t="s">
        <v>241</v>
      </c>
      <c r="I101">
        <v>1</v>
      </c>
      <c r="J101" s="10">
        <v>0.51388888888888884</v>
      </c>
      <c r="K101" s="10">
        <v>0.55555555555555558</v>
      </c>
      <c r="L101" s="10">
        <f t="shared" si="0"/>
        <v>4.1666666666666741E-2</v>
      </c>
      <c r="M101" s="12">
        <f t="shared" si="1"/>
        <v>1.0000000000000018</v>
      </c>
      <c r="N101" s="12">
        <f>InterviewsRaw[[#This Row],[Trip Hours]]*InterviewsRaw[[#This Row],['#Angler]]</f>
        <v>1.0000000000000018</v>
      </c>
      <c r="O101" t="s">
        <v>342</v>
      </c>
      <c r="P101" t="s">
        <v>29</v>
      </c>
      <c r="Q101" t="s">
        <v>224</v>
      </c>
      <c r="R101" s="11">
        <v>0</v>
      </c>
      <c r="S101">
        <v>0</v>
      </c>
      <c r="T101">
        <v>0</v>
      </c>
      <c r="U101">
        <v>0</v>
      </c>
      <c r="V101" s="11">
        <v>0</v>
      </c>
      <c r="W101">
        <v>0</v>
      </c>
      <c r="X101">
        <v>0</v>
      </c>
      <c r="Y101">
        <v>1</v>
      </c>
      <c r="Z101" s="11">
        <f>InterviewsRaw[[#This Row],[Chi Kept]]+InterviewsRaw[[#This Row],[Chi Released]]</f>
        <v>0</v>
      </c>
      <c r="AA101">
        <f>InterviewsRaw[[#This Row],[Co Kept]]+InterviewsRaw[[#This Row],[Co Released ]]</f>
        <v>0</v>
      </c>
      <c r="AB101">
        <f>InterviewsRaw[[#This Row],[Pink Kept]]+InterviewsRaw[[#This Row],[Pink Released]]</f>
        <v>0</v>
      </c>
      <c r="AC101">
        <f>InterviewsRaw[[#This Row],[Chu Kept]]+InterviewsRaw[[#This Row],[Chu Released]]</f>
        <v>1</v>
      </c>
    </row>
    <row r="102" spans="1:29" x14ac:dyDescent="0.3">
      <c r="A102" s="7">
        <v>45973</v>
      </c>
      <c r="B102">
        <v>13</v>
      </c>
      <c r="C102" t="s">
        <v>236</v>
      </c>
      <c r="D102" t="s">
        <v>42</v>
      </c>
      <c r="E102">
        <v>10</v>
      </c>
      <c r="F102">
        <v>4</v>
      </c>
      <c r="G102">
        <v>2</v>
      </c>
      <c r="H102" t="s">
        <v>241</v>
      </c>
      <c r="I102">
        <v>2</v>
      </c>
      <c r="J102" s="10">
        <v>0.4861111111111111</v>
      </c>
      <c r="K102" s="10">
        <v>0.5708333333333333</v>
      </c>
      <c r="L102" s="10">
        <f t="shared" si="0"/>
        <v>8.4722222222222199E-2</v>
      </c>
      <c r="M102" s="12">
        <f t="shared" si="1"/>
        <v>2.0333333333333328</v>
      </c>
      <c r="N102" s="12">
        <f>InterviewsRaw[[#This Row],[Trip Hours]]*InterviewsRaw[[#This Row],['#Angler]]</f>
        <v>4.0666666666666655</v>
      </c>
      <c r="O102" t="s">
        <v>342</v>
      </c>
      <c r="Q102" t="s">
        <v>238</v>
      </c>
      <c r="R102" s="11">
        <v>0</v>
      </c>
      <c r="S102">
        <v>0</v>
      </c>
      <c r="T102">
        <v>0</v>
      </c>
      <c r="U102">
        <v>0</v>
      </c>
      <c r="V102" s="11">
        <v>0</v>
      </c>
      <c r="W102">
        <v>0</v>
      </c>
      <c r="X102">
        <v>0</v>
      </c>
      <c r="Y102">
        <v>0</v>
      </c>
      <c r="Z102" s="11">
        <f>InterviewsRaw[[#This Row],[Chi Kept]]+InterviewsRaw[[#This Row],[Chi Released]]</f>
        <v>0</v>
      </c>
      <c r="AA102">
        <f>InterviewsRaw[[#This Row],[Co Kept]]+InterviewsRaw[[#This Row],[Co Released ]]</f>
        <v>0</v>
      </c>
      <c r="AB102">
        <f>InterviewsRaw[[#This Row],[Pink Kept]]+InterviewsRaw[[#This Row],[Pink Released]]</f>
        <v>0</v>
      </c>
      <c r="AC102">
        <f>InterviewsRaw[[#This Row],[Chu Kept]]+InterviewsRaw[[#This Row],[Chu Released]]</f>
        <v>0</v>
      </c>
    </row>
    <row r="103" spans="1:29" x14ac:dyDescent="0.3">
      <c r="A103" s="7">
        <v>45973</v>
      </c>
      <c r="B103">
        <v>13</v>
      </c>
      <c r="C103" t="s">
        <v>236</v>
      </c>
      <c r="D103" t="s">
        <v>42</v>
      </c>
      <c r="E103">
        <v>11</v>
      </c>
      <c r="F103">
        <v>3</v>
      </c>
      <c r="G103">
        <v>8</v>
      </c>
      <c r="H103" t="s">
        <v>241</v>
      </c>
      <c r="I103">
        <v>2</v>
      </c>
      <c r="J103" s="10">
        <v>0.45833333333333331</v>
      </c>
      <c r="K103" s="10">
        <v>0.60763888888888884</v>
      </c>
      <c r="L103" s="10">
        <f t="shared" si="0"/>
        <v>0.14930555555555552</v>
      </c>
      <c r="M103" s="12">
        <f t="shared" si="1"/>
        <v>3.5833333333333326</v>
      </c>
      <c r="N103" s="12">
        <f>InterviewsRaw[[#This Row],[Trip Hours]]*InterviewsRaw[[#This Row],['#Angler]]</f>
        <v>7.1666666666666652</v>
      </c>
      <c r="O103" t="s">
        <v>342</v>
      </c>
      <c r="P103" t="s">
        <v>29</v>
      </c>
      <c r="Q103" t="s">
        <v>224</v>
      </c>
      <c r="R103" s="11">
        <v>0</v>
      </c>
      <c r="S103">
        <v>0</v>
      </c>
      <c r="T103">
        <v>0</v>
      </c>
      <c r="U103">
        <v>5</v>
      </c>
      <c r="V103" s="11">
        <v>0</v>
      </c>
      <c r="W103">
        <v>0</v>
      </c>
      <c r="X103">
        <v>0</v>
      </c>
      <c r="Y103">
        <v>4</v>
      </c>
      <c r="Z103" s="11">
        <f>InterviewsRaw[[#This Row],[Chi Kept]]+InterviewsRaw[[#This Row],[Chi Released]]</f>
        <v>0</v>
      </c>
      <c r="AA103">
        <f>InterviewsRaw[[#This Row],[Co Kept]]+InterviewsRaw[[#This Row],[Co Released ]]</f>
        <v>0</v>
      </c>
      <c r="AB103">
        <f>InterviewsRaw[[#This Row],[Pink Kept]]+InterviewsRaw[[#This Row],[Pink Released]]</f>
        <v>0</v>
      </c>
      <c r="AC103">
        <f>InterviewsRaw[[#This Row],[Chu Kept]]+InterviewsRaw[[#This Row],[Chu Released]]</f>
        <v>9</v>
      </c>
    </row>
    <row r="104" spans="1:29" x14ac:dyDescent="0.3">
      <c r="A104" s="7">
        <v>45973</v>
      </c>
      <c r="B104">
        <v>13</v>
      </c>
      <c r="C104" t="s">
        <v>236</v>
      </c>
      <c r="D104" t="s">
        <v>42</v>
      </c>
      <c r="E104">
        <v>12</v>
      </c>
      <c r="F104">
        <v>3</v>
      </c>
      <c r="G104">
        <v>8</v>
      </c>
      <c r="H104" t="s">
        <v>241</v>
      </c>
      <c r="I104">
        <v>1</v>
      </c>
      <c r="J104" s="10">
        <v>0.5</v>
      </c>
      <c r="K104" s="10">
        <v>0.60416666666666663</v>
      </c>
      <c r="L104" s="10">
        <f t="shared" si="0"/>
        <v>0.10416666666666663</v>
      </c>
      <c r="M104" s="12">
        <f t="shared" si="1"/>
        <v>2.4999999999999991</v>
      </c>
      <c r="N104" s="12">
        <f>InterviewsRaw[[#This Row],[Trip Hours]]*InterviewsRaw[[#This Row],['#Angler]]</f>
        <v>2.4999999999999991</v>
      </c>
      <c r="O104" t="s">
        <v>342</v>
      </c>
      <c r="P104" t="s">
        <v>29</v>
      </c>
      <c r="Q104" t="s">
        <v>224</v>
      </c>
      <c r="R104" s="11">
        <v>0</v>
      </c>
      <c r="S104">
        <v>0</v>
      </c>
      <c r="T104">
        <v>0</v>
      </c>
      <c r="U104">
        <v>0</v>
      </c>
      <c r="V104" s="11">
        <v>0</v>
      </c>
      <c r="W104">
        <v>0</v>
      </c>
      <c r="X104">
        <v>0</v>
      </c>
      <c r="Y104">
        <v>1</v>
      </c>
      <c r="Z104" s="11">
        <f>InterviewsRaw[[#This Row],[Chi Kept]]+InterviewsRaw[[#This Row],[Chi Released]]</f>
        <v>0</v>
      </c>
      <c r="AA104">
        <f>InterviewsRaw[[#This Row],[Co Kept]]+InterviewsRaw[[#This Row],[Co Released ]]</f>
        <v>0</v>
      </c>
      <c r="AB104">
        <f>InterviewsRaw[[#This Row],[Pink Kept]]+InterviewsRaw[[#This Row],[Pink Released]]</f>
        <v>0</v>
      </c>
      <c r="AC104">
        <f>InterviewsRaw[[#This Row],[Chu Kept]]+InterviewsRaw[[#This Row],[Chu Released]]</f>
        <v>1</v>
      </c>
    </row>
    <row r="105" spans="1:29" x14ac:dyDescent="0.3">
      <c r="A105" s="7">
        <v>45973</v>
      </c>
      <c r="B105">
        <v>13</v>
      </c>
      <c r="C105" t="s">
        <v>236</v>
      </c>
      <c r="D105" t="s">
        <v>42</v>
      </c>
      <c r="E105">
        <v>13</v>
      </c>
      <c r="F105">
        <v>3</v>
      </c>
      <c r="G105">
        <v>8</v>
      </c>
      <c r="H105" t="s">
        <v>241</v>
      </c>
      <c r="I105">
        <v>1</v>
      </c>
      <c r="J105" s="10">
        <v>0.5</v>
      </c>
      <c r="K105" s="10">
        <v>0.60902777777777772</v>
      </c>
      <c r="L105" s="10">
        <f t="shared" si="0"/>
        <v>0.10902777777777772</v>
      </c>
      <c r="M105" s="12">
        <f t="shared" si="1"/>
        <v>2.6166666666666654</v>
      </c>
      <c r="N105" s="12">
        <f>InterviewsRaw[[#This Row],[Trip Hours]]*InterviewsRaw[[#This Row],['#Angler]]</f>
        <v>2.6166666666666654</v>
      </c>
      <c r="O105" t="s">
        <v>342</v>
      </c>
      <c r="R105" s="11">
        <v>0</v>
      </c>
      <c r="S105">
        <v>0</v>
      </c>
      <c r="T105">
        <v>0</v>
      </c>
      <c r="U105">
        <v>0</v>
      </c>
      <c r="V105" s="11">
        <v>0</v>
      </c>
      <c r="W105">
        <v>0</v>
      </c>
      <c r="X105">
        <v>0</v>
      </c>
      <c r="Y105">
        <v>0</v>
      </c>
      <c r="Z105" s="11">
        <f>InterviewsRaw[[#This Row],[Chi Kept]]+InterviewsRaw[[#This Row],[Chi Released]]</f>
        <v>0</v>
      </c>
      <c r="AA105">
        <f>InterviewsRaw[[#This Row],[Co Kept]]+InterviewsRaw[[#This Row],[Co Released ]]</f>
        <v>0</v>
      </c>
      <c r="AB105">
        <f>InterviewsRaw[[#This Row],[Pink Kept]]+InterviewsRaw[[#This Row],[Pink Released]]</f>
        <v>0</v>
      </c>
      <c r="AC105">
        <f>InterviewsRaw[[#This Row],[Chu Kept]]+InterviewsRaw[[#This Row],[Chu Released]]</f>
        <v>0</v>
      </c>
    </row>
    <row r="106" spans="1:29" x14ac:dyDescent="0.3">
      <c r="A106" s="7">
        <v>45973</v>
      </c>
      <c r="B106">
        <v>13</v>
      </c>
      <c r="C106" t="s">
        <v>236</v>
      </c>
      <c r="D106" t="s">
        <v>42</v>
      </c>
      <c r="E106">
        <v>14</v>
      </c>
      <c r="F106">
        <v>3</v>
      </c>
      <c r="G106">
        <v>8</v>
      </c>
      <c r="H106" t="s">
        <v>241</v>
      </c>
      <c r="I106">
        <v>1</v>
      </c>
      <c r="J106" s="10">
        <v>0.59375</v>
      </c>
      <c r="K106" s="10">
        <v>0.6118055555555556</v>
      </c>
      <c r="L106" s="10">
        <f t="shared" si="0"/>
        <v>1.8055555555555602E-2</v>
      </c>
      <c r="M106" s="12">
        <f t="shared" si="1"/>
        <v>0.43333333333333446</v>
      </c>
      <c r="N106" s="12">
        <f>InterviewsRaw[[#This Row],[Trip Hours]]*InterviewsRaw[[#This Row],['#Angler]]</f>
        <v>0.43333333333333446</v>
      </c>
      <c r="O106" t="s">
        <v>342</v>
      </c>
      <c r="P106" t="s">
        <v>29</v>
      </c>
      <c r="R106" s="11">
        <v>0</v>
      </c>
      <c r="S106">
        <v>0</v>
      </c>
      <c r="T106">
        <v>0</v>
      </c>
      <c r="U106">
        <v>0</v>
      </c>
      <c r="V106" s="11">
        <v>0</v>
      </c>
      <c r="W106">
        <v>0</v>
      </c>
      <c r="X106">
        <v>0</v>
      </c>
      <c r="Y106">
        <v>0</v>
      </c>
      <c r="Z106" s="11">
        <f>InterviewsRaw[[#This Row],[Chi Kept]]+InterviewsRaw[[#This Row],[Chi Released]]</f>
        <v>0</v>
      </c>
      <c r="AA106">
        <f>InterviewsRaw[[#This Row],[Co Kept]]+InterviewsRaw[[#This Row],[Co Released ]]</f>
        <v>0</v>
      </c>
      <c r="AB106">
        <f>InterviewsRaw[[#This Row],[Pink Kept]]+InterviewsRaw[[#This Row],[Pink Released]]</f>
        <v>0</v>
      </c>
      <c r="AC106">
        <f>InterviewsRaw[[#This Row],[Chu Kept]]+InterviewsRaw[[#This Row],[Chu Released]]</f>
        <v>0</v>
      </c>
    </row>
    <row r="107" spans="1:29" x14ac:dyDescent="0.3">
      <c r="A107" s="7">
        <v>45973</v>
      </c>
      <c r="B107">
        <v>13</v>
      </c>
      <c r="C107" t="s">
        <v>236</v>
      </c>
      <c r="D107" t="s">
        <v>42</v>
      </c>
      <c r="E107">
        <v>15</v>
      </c>
      <c r="F107">
        <v>3</v>
      </c>
      <c r="G107">
        <v>8</v>
      </c>
      <c r="H107" t="s">
        <v>241</v>
      </c>
      <c r="I107">
        <v>1</v>
      </c>
      <c r="J107" s="10">
        <v>0.5625</v>
      </c>
      <c r="K107" s="10">
        <v>0.61319444444444449</v>
      </c>
      <c r="L107" s="10">
        <f t="shared" si="0"/>
        <v>5.0694444444444486E-2</v>
      </c>
      <c r="M107" s="12">
        <f t="shared" si="1"/>
        <v>1.2166666666666677</v>
      </c>
      <c r="N107" s="12">
        <f>InterviewsRaw[[#This Row],[Trip Hours]]*InterviewsRaw[[#This Row],['#Angler]]</f>
        <v>1.2166666666666677</v>
      </c>
      <c r="O107" t="s">
        <v>349</v>
      </c>
      <c r="P107" t="s">
        <v>29</v>
      </c>
      <c r="Q107" t="s">
        <v>224</v>
      </c>
      <c r="R107" s="11">
        <v>0</v>
      </c>
      <c r="S107">
        <v>0</v>
      </c>
      <c r="T107">
        <v>0</v>
      </c>
      <c r="U107">
        <v>0</v>
      </c>
      <c r="V107" s="11">
        <v>0</v>
      </c>
      <c r="W107">
        <v>0</v>
      </c>
      <c r="X107">
        <v>0</v>
      </c>
      <c r="Y107">
        <v>0</v>
      </c>
      <c r="Z107" s="11">
        <f>InterviewsRaw[[#This Row],[Chi Kept]]+InterviewsRaw[[#This Row],[Chi Released]]</f>
        <v>0</v>
      </c>
      <c r="AA107">
        <f>InterviewsRaw[[#This Row],[Co Kept]]+InterviewsRaw[[#This Row],[Co Released ]]</f>
        <v>0</v>
      </c>
      <c r="AB107">
        <f>InterviewsRaw[[#This Row],[Pink Kept]]+InterviewsRaw[[#This Row],[Pink Released]]</f>
        <v>0</v>
      </c>
      <c r="AC107">
        <f>InterviewsRaw[[#This Row],[Chu Kept]]+InterviewsRaw[[#This Row],[Chu Released]]</f>
        <v>0</v>
      </c>
    </row>
    <row r="108" spans="1:29" x14ac:dyDescent="0.3">
      <c r="A108" s="7">
        <v>45973</v>
      </c>
      <c r="B108">
        <v>13</v>
      </c>
      <c r="C108" t="s">
        <v>236</v>
      </c>
      <c r="D108" t="s">
        <v>42</v>
      </c>
      <c r="E108">
        <v>16</v>
      </c>
      <c r="F108">
        <v>3</v>
      </c>
      <c r="G108">
        <v>5</v>
      </c>
      <c r="H108" t="s">
        <v>241</v>
      </c>
      <c r="I108">
        <v>1</v>
      </c>
      <c r="J108" s="10">
        <v>0.5</v>
      </c>
      <c r="K108" s="10">
        <v>0.62986111111111109</v>
      </c>
      <c r="L108" s="10">
        <f t="shared" si="0"/>
        <v>0.12986111111111109</v>
      </c>
      <c r="M108" s="12">
        <f t="shared" si="1"/>
        <v>3.1166666666666663</v>
      </c>
      <c r="N108" s="12">
        <f>InterviewsRaw[[#This Row],[Trip Hours]]*InterviewsRaw[[#This Row],['#Angler]]</f>
        <v>3.1166666666666663</v>
      </c>
      <c r="O108" t="s">
        <v>342</v>
      </c>
      <c r="P108" t="s">
        <v>186</v>
      </c>
      <c r="Q108" t="s">
        <v>224</v>
      </c>
      <c r="R108" s="11">
        <v>0</v>
      </c>
      <c r="S108">
        <v>0</v>
      </c>
      <c r="T108">
        <v>0</v>
      </c>
      <c r="U108">
        <v>0</v>
      </c>
      <c r="V108" s="11">
        <v>0</v>
      </c>
      <c r="W108">
        <v>0</v>
      </c>
      <c r="X108">
        <v>0</v>
      </c>
      <c r="Y108">
        <v>0</v>
      </c>
      <c r="Z108" s="11">
        <f>InterviewsRaw[[#This Row],[Chi Kept]]+InterviewsRaw[[#This Row],[Chi Released]]</f>
        <v>0</v>
      </c>
      <c r="AA108">
        <f>InterviewsRaw[[#This Row],[Co Kept]]+InterviewsRaw[[#This Row],[Co Released ]]</f>
        <v>0</v>
      </c>
      <c r="AB108">
        <f>InterviewsRaw[[#This Row],[Pink Kept]]+InterviewsRaw[[#This Row],[Pink Released]]</f>
        <v>0</v>
      </c>
      <c r="AC108">
        <f>InterviewsRaw[[#This Row],[Chu Kept]]+InterviewsRaw[[#This Row],[Chu Released]]</f>
        <v>0</v>
      </c>
    </row>
    <row r="109" spans="1:29" x14ac:dyDescent="0.3">
      <c r="A109" s="7">
        <v>45974</v>
      </c>
      <c r="B109">
        <v>13</v>
      </c>
      <c r="C109" t="s">
        <v>236</v>
      </c>
      <c r="D109" t="s">
        <v>26</v>
      </c>
      <c r="E109">
        <v>1</v>
      </c>
      <c r="F109">
        <v>3</v>
      </c>
      <c r="G109">
        <v>8</v>
      </c>
      <c r="H109" t="s">
        <v>241</v>
      </c>
      <c r="I109">
        <v>2</v>
      </c>
      <c r="J109" s="10">
        <v>0.33333333333333331</v>
      </c>
      <c r="K109" s="10">
        <v>0.38750000000000001</v>
      </c>
      <c r="L109" s="10">
        <f t="shared" si="0"/>
        <v>5.4166666666666696E-2</v>
      </c>
      <c r="M109" s="12">
        <f t="shared" si="1"/>
        <v>1.3000000000000007</v>
      </c>
      <c r="N109" s="12">
        <f>InterviewsRaw[[#This Row],[Trip Hours]]*InterviewsRaw[[#This Row],['#Angler]]</f>
        <v>2.6000000000000014</v>
      </c>
      <c r="O109" t="s">
        <v>342</v>
      </c>
      <c r="P109" t="s">
        <v>29</v>
      </c>
      <c r="Q109" t="s">
        <v>224</v>
      </c>
      <c r="R109" s="11">
        <v>0</v>
      </c>
      <c r="S109">
        <v>0</v>
      </c>
      <c r="T109">
        <v>0</v>
      </c>
      <c r="U109">
        <v>0</v>
      </c>
      <c r="V109" s="11">
        <v>0</v>
      </c>
      <c r="W109">
        <v>0</v>
      </c>
      <c r="X109">
        <v>0</v>
      </c>
      <c r="Y109">
        <v>0</v>
      </c>
      <c r="Z109" s="11">
        <f>InterviewsRaw[[#This Row],[Chi Kept]]+InterviewsRaw[[#This Row],[Chi Released]]</f>
        <v>0</v>
      </c>
      <c r="AA109">
        <f>InterviewsRaw[[#This Row],[Co Kept]]+InterviewsRaw[[#This Row],[Co Released ]]</f>
        <v>0</v>
      </c>
      <c r="AB109">
        <f>InterviewsRaw[[#This Row],[Pink Kept]]+InterviewsRaw[[#This Row],[Pink Released]]</f>
        <v>0</v>
      </c>
      <c r="AC109">
        <f>InterviewsRaw[[#This Row],[Chu Kept]]+InterviewsRaw[[#This Row],[Chu Released]]</f>
        <v>0</v>
      </c>
    </row>
    <row r="110" spans="1:29" x14ac:dyDescent="0.3">
      <c r="A110" s="7">
        <v>45974</v>
      </c>
      <c r="B110">
        <v>13</v>
      </c>
      <c r="C110" t="s">
        <v>236</v>
      </c>
      <c r="D110" t="s">
        <v>26</v>
      </c>
      <c r="E110">
        <v>2</v>
      </c>
      <c r="F110">
        <v>4</v>
      </c>
      <c r="G110">
        <v>3</v>
      </c>
      <c r="H110" t="s">
        <v>241</v>
      </c>
      <c r="I110">
        <v>1</v>
      </c>
      <c r="J110" s="10">
        <v>0.33333333333333331</v>
      </c>
      <c r="K110" s="10">
        <v>0.44444444444444442</v>
      </c>
      <c r="L110" s="10">
        <f t="shared" si="0"/>
        <v>0.1111111111111111</v>
      </c>
      <c r="M110" s="12">
        <f t="shared" si="1"/>
        <v>2.6666666666666665</v>
      </c>
      <c r="N110" s="12">
        <f>InterviewsRaw[[#This Row],[Trip Hours]]*InterviewsRaw[[#This Row],['#Angler]]</f>
        <v>2.6666666666666665</v>
      </c>
      <c r="O110" t="s">
        <v>342</v>
      </c>
      <c r="P110" t="s">
        <v>29</v>
      </c>
      <c r="R110" s="11">
        <v>0</v>
      </c>
      <c r="S110">
        <v>0</v>
      </c>
      <c r="T110">
        <v>0</v>
      </c>
      <c r="U110">
        <v>1</v>
      </c>
      <c r="V110" s="11">
        <v>0</v>
      </c>
      <c r="W110">
        <v>0</v>
      </c>
      <c r="X110">
        <v>0</v>
      </c>
      <c r="Y110">
        <v>0</v>
      </c>
      <c r="Z110" s="11">
        <f>InterviewsRaw[[#This Row],[Chi Kept]]+InterviewsRaw[[#This Row],[Chi Released]]</f>
        <v>0</v>
      </c>
      <c r="AA110">
        <f>InterviewsRaw[[#This Row],[Co Kept]]+InterviewsRaw[[#This Row],[Co Released ]]</f>
        <v>0</v>
      </c>
      <c r="AB110">
        <f>InterviewsRaw[[#This Row],[Pink Kept]]+InterviewsRaw[[#This Row],[Pink Released]]</f>
        <v>0</v>
      </c>
      <c r="AC110">
        <f>InterviewsRaw[[#This Row],[Chu Kept]]+InterviewsRaw[[#This Row],[Chu Released]]</f>
        <v>1</v>
      </c>
    </row>
    <row r="111" spans="1:29" x14ac:dyDescent="0.3">
      <c r="A111" s="7">
        <v>45974</v>
      </c>
      <c r="B111">
        <v>13</v>
      </c>
      <c r="C111" t="s">
        <v>236</v>
      </c>
      <c r="D111" t="s">
        <v>26</v>
      </c>
      <c r="E111">
        <v>3</v>
      </c>
      <c r="F111">
        <v>4</v>
      </c>
      <c r="G111">
        <v>3</v>
      </c>
      <c r="H111" t="s">
        <v>241</v>
      </c>
      <c r="I111">
        <v>1</v>
      </c>
      <c r="J111" s="10">
        <v>0.29166666666666669</v>
      </c>
      <c r="K111" s="10">
        <v>0.44513888888888886</v>
      </c>
      <c r="L111" s="10">
        <f t="shared" si="0"/>
        <v>0.15347222222222218</v>
      </c>
      <c r="M111" s="12">
        <f t="shared" si="1"/>
        <v>3.6833333333333322</v>
      </c>
      <c r="N111" s="12">
        <f>InterviewsRaw[[#This Row],[Trip Hours]]*InterviewsRaw[[#This Row],['#Angler]]</f>
        <v>3.6833333333333322</v>
      </c>
      <c r="O111" t="s">
        <v>342</v>
      </c>
      <c r="P111" t="s">
        <v>29</v>
      </c>
      <c r="Q111" t="s">
        <v>224</v>
      </c>
      <c r="R111" s="11">
        <v>0</v>
      </c>
      <c r="S111">
        <v>0</v>
      </c>
      <c r="T111">
        <v>0</v>
      </c>
      <c r="U111">
        <v>0</v>
      </c>
      <c r="V111" s="11">
        <v>0</v>
      </c>
      <c r="W111">
        <v>0</v>
      </c>
      <c r="X111">
        <v>0</v>
      </c>
      <c r="Y111">
        <v>0</v>
      </c>
      <c r="Z111" s="11">
        <f>InterviewsRaw[[#This Row],[Chi Kept]]+InterviewsRaw[[#This Row],[Chi Released]]</f>
        <v>0</v>
      </c>
      <c r="AA111">
        <f>InterviewsRaw[[#This Row],[Co Kept]]+InterviewsRaw[[#This Row],[Co Released ]]</f>
        <v>0</v>
      </c>
      <c r="AB111">
        <f>InterviewsRaw[[#This Row],[Pink Kept]]+InterviewsRaw[[#This Row],[Pink Released]]</f>
        <v>0</v>
      </c>
      <c r="AC111">
        <f>InterviewsRaw[[#This Row],[Chu Kept]]+InterviewsRaw[[#This Row],[Chu Released]]</f>
        <v>0</v>
      </c>
    </row>
    <row r="112" spans="1:29" x14ac:dyDescent="0.3">
      <c r="A112" s="7">
        <v>45974</v>
      </c>
      <c r="B112">
        <v>13</v>
      </c>
      <c r="C112" t="s">
        <v>236</v>
      </c>
      <c r="D112" t="s">
        <v>42</v>
      </c>
      <c r="E112">
        <v>4</v>
      </c>
      <c r="F112">
        <v>3</v>
      </c>
      <c r="G112">
        <v>8</v>
      </c>
      <c r="H112" t="s">
        <v>241</v>
      </c>
      <c r="I112">
        <v>2</v>
      </c>
      <c r="J112" s="10">
        <v>0.47916666666666669</v>
      </c>
      <c r="K112" s="10">
        <v>0.56874999999999998</v>
      </c>
      <c r="L112" s="10">
        <f t="shared" si="0"/>
        <v>8.9583333333333293E-2</v>
      </c>
      <c r="M112" s="12">
        <f t="shared" si="1"/>
        <v>2.149999999999999</v>
      </c>
      <c r="N112" s="12">
        <f>InterviewsRaw[[#This Row],[Trip Hours]]*InterviewsRaw[[#This Row],['#Angler]]</f>
        <v>4.299999999999998</v>
      </c>
      <c r="O112" t="s">
        <v>342</v>
      </c>
      <c r="Q112" t="s">
        <v>224</v>
      </c>
      <c r="R112" s="11">
        <v>0</v>
      </c>
      <c r="S112">
        <v>0</v>
      </c>
      <c r="T112">
        <v>0</v>
      </c>
      <c r="U112">
        <v>0</v>
      </c>
      <c r="V112" s="11">
        <v>0</v>
      </c>
      <c r="W112">
        <v>0</v>
      </c>
      <c r="X112">
        <v>0</v>
      </c>
      <c r="Y112">
        <v>0</v>
      </c>
      <c r="Z112" s="11">
        <f>InterviewsRaw[[#This Row],[Chi Kept]]+InterviewsRaw[[#This Row],[Chi Released]]</f>
        <v>0</v>
      </c>
      <c r="AA112">
        <f>InterviewsRaw[[#This Row],[Co Kept]]+InterviewsRaw[[#This Row],[Co Released ]]</f>
        <v>0</v>
      </c>
      <c r="AB112">
        <f>InterviewsRaw[[#This Row],[Pink Kept]]+InterviewsRaw[[#This Row],[Pink Released]]</f>
        <v>0</v>
      </c>
      <c r="AC112">
        <f>InterviewsRaw[[#This Row],[Chu Kept]]+InterviewsRaw[[#This Row],[Chu Released]]</f>
        <v>0</v>
      </c>
    </row>
    <row r="113" spans="1:29" x14ac:dyDescent="0.3">
      <c r="A113" s="7">
        <v>45974</v>
      </c>
      <c r="B113">
        <v>13</v>
      </c>
      <c r="C113" t="s">
        <v>236</v>
      </c>
      <c r="D113" t="s">
        <v>42</v>
      </c>
      <c r="E113">
        <v>5</v>
      </c>
      <c r="F113">
        <v>3</v>
      </c>
      <c r="G113">
        <v>8</v>
      </c>
      <c r="H113" t="s">
        <v>241</v>
      </c>
      <c r="I113">
        <v>2</v>
      </c>
      <c r="J113" s="10">
        <v>0.55208333333333337</v>
      </c>
      <c r="K113" s="10">
        <v>0.56736111111111109</v>
      </c>
      <c r="L113" s="10">
        <f t="shared" si="0"/>
        <v>1.5277777777777724E-2</v>
      </c>
      <c r="M113" s="12">
        <f t="shared" si="1"/>
        <v>0.36666666666666536</v>
      </c>
      <c r="N113" s="12">
        <f>InterviewsRaw[[#This Row],[Trip Hours]]*InterviewsRaw[[#This Row],['#Angler]]</f>
        <v>0.73333333333333073</v>
      </c>
      <c r="O113" t="s">
        <v>342</v>
      </c>
      <c r="R113" s="11">
        <v>0</v>
      </c>
      <c r="S113">
        <v>0</v>
      </c>
      <c r="T113">
        <v>0</v>
      </c>
      <c r="U113">
        <v>0</v>
      </c>
      <c r="V113" s="11">
        <v>0</v>
      </c>
      <c r="W113">
        <v>0</v>
      </c>
      <c r="X113">
        <v>0</v>
      </c>
      <c r="Y113">
        <v>0</v>
      </c>
      <c r="Z113" s="11">
        <f>InterviewsRaw[[#This Row],[Chi Kept]]+InterviewsRaw[[#This Row],[Chi Released]]</f>
        <v>0</v>
      </c>
      <c r="AA113">
        <f>InterviewsRaw[[#This Row],[Co Kept]]+InterviewsRaw[[#This Row],[Co Released ]]</f>
        <v>0</v>
      </c>
      <c r="AB113">
        <f>InterviewsRaw[[#This Row],[Pink Kept]]+InterviewsRaw[[#This Row],[Pink Released]]</f>
        <v>0</v>
      </c>
      <c r="AC113">
        <f>InterviewsRaw[[#This Row],[Chu Kept]]+InterviewsRaw[[#This Row],[Chu Released]]</f>
        <v>0</v>
      </c>
    </row>
    <row r="114" spans="1:29" x14ac:dyDescent="0.3">
      <c r="A114" s="7">
        <v>45974</v>
      </c>
      <c r="B114">
        <v>13</v>
      </c>
      <c r="C114" t="s">
        <v>236</v>
      </c>
      <c r="D114" t="s">
        <v>42</v>
      </c>
      <c r="E114">
        <v>6</v>
      </c>
      <c r="F114">
        <v>3</v>
      </c>
      <c r="G114">
        <v>8</v>
      </c>
      <c r="H114" t="s">
        <v>241</v>
      </c>
      <c r="I114">
        <v>2</v>
      </c>
      <c r="J114" s="10">
        <v>0.4375</v>
      </c>
      <c r="K114" s="10">
        <v>0.57430555555555551</v>
      </c>
      <c r="L114" s="10">
        <f t="shared" si="0"/>
        <v>0.13680555555555551</v>
      </c>
      <c r="M114" s="12">
        <f t="shared" si="1"/>
        <v>3.2833333333333323</v>
      </c>
      <c r="N114" s="12">
        <f>InterviewsRaw[[#This Row],[Trip Hours]]*InterviewsRaw[[#This Row],['#Angler]]</f>
        <v>6.5666666666666647</v>
      </c>
      <c r="O114" t="s">
        <v>342</v>
      </c>
      <c r="Q114" t="s">
        <v>224</v>
      </c>
      <c r="R114" s="11">
        <v>0</v>
      </c>
      <c r="S114">
        <v>0</v>
      </c>
      <c r="T114">
        <v>0</v>
      </c>
      <c r="U114">
        <v>5</v>
      </c>
      <c r="V114" s="11">
        <v>0</v>
      </c>
      <c r="W114">
        <v>0</v>
      </c>
      <c r="X114">
        <v>0</v>
      </c>
      <c r="Y114">
        <v>3</v>
      </c>
      <c r="Z114" s="11">
        <f>InterviewsRaw[[#This Row],[Chi Kept]]+InterviewsRaw[[#This Row],[Chi Released]]</f>
        <v>0</v>
      </c>
      <c r="AA114">
        <f>InterviewsRaw[[#This Row],[Co Kept]]+InterviewsRaw[[#This Row],[Co Released ]]</f>
        <v>0</v>
      </c>
      <c r="AB114">
        <f>InterviewsRaw[[#This Row],[Pink Kept]]+InterviewsRaw[[#This Row],[Pink Released]]</f>
        <v>0</v>
      </c>
      <c r="AC114">
        <f>InterviewsRaw[[#This Row],[Chu Kept]]+InterviewsRaw[[#This Row],[Chu Released]]</f>
        <v>8</v>
      </c>
    </row>
    <row r="115" spans="1:29" x14ac:dyDescent="0.3">
      <c r="A115" s="7">
        <v>45974</v>
      </c>
      <c r="B115">
        <v>13</v>
      </c>
      <c r="C115" t="s">
        <v>236</v>
      </c>
      <c r="D115" t="s">
        <v>42</v>
      </c>
      <c r="E115">
        <v>7</v>
      </c>
      <c r="F115">
        <v>3</v>
      </c>
      <c r="G115">
        <v>8</v>
      </c>
      <c r="H115" t="s">
        <v>241</v>
      </c>
      <c r="I115">
        <v>1</v>
      </c>
      <c r="J115" s="10">
        <v>0.33333333333333331</v>
      </c>
      <c r="K115" s="10">
        <v>0.57847222222222228</v>
      </c>
      <c r="L115" s="10">
        <f t="shared" si="0"/>
        <v>0.24513888888888896</v>
      </c>
      <c r="M115" s="12">
        <f t="shared" si="1"/>
        <v>5.8833333333333346</v>
      </c>
      <c r="N115" s="12">
        <f>InterviewsRaw[[#This Row],[Trip Hours]]*InterviewsRaw[[#This Row],['#Angler]]</f>
        <v>5.8833333333333346</v>
      </c>
      <c r="O115" t="s">
        <v>342</v>
      </c>
      <c r="Q115" t="s">
        <v>224</v>
      </c>
      <c r="R115" s="11">
        <v>0</v>
      </c>
      <c r="S115">
        <v>0</v>
      </c>
      <c r="T115">
        <v>0</v>
      </c>
      <c r="U115">
        <v>1</v>
      </c>
      <c r="V115" s="11">
        <v>0</v>
      </c>
      <c r="W115">
        <v>0</v>
      </c>
      <c r="X115">
        <v>0</v>
      </c>
      <c r="Y115">
        <v>0</v>
      </c>
      <c r="Z115" s="11">
        <f>InterviewsRaw[[#This Row],[Chi Kept]]+InterviewsRaw[[#This Row],[Chi Released]]</f>
        <v>0</v>
      </c>
      <c r="AA115">
        <f>InterviewsRaw[[#This Row],[Co Kept]]+InterviewsRaw[[#This Row],[Co Released ]]</f>
        <v>0</v>
      </c>
      <c r="AB115">
        <f>InterviewsRaw[[#This Row],[Pink Kept]]+InterviewsRaw[[#This Row],[Pink Released]]</f>
        <v>0</v>
      </c>
      <c r="AC115">
        <f>InterviewsRaw[[#This Row],[Chu Kept]]+InterviewsRaw[[#This Row],[Chu Released]]</f>
        <v>1</v>
      </c>
    </row>
    <row r="116" spans="1:29" x14ac:dyDescent="0.3">
      <c r="A116" s="7">
        <v>45974</v>
      </c>
      <c r="B116">
        <v>13</v>
      </c>
      <c r="C116" t="s">
        <v>236</v>
      </c>
      <c r="D116" t="s">
        <v>42</v>
      </c>
      <c r="E116">
        <v>8</v>
      </c>
      <c r="F116">
        <v>4</v>
      </c>
      <c r="G116">
        <v>3</v>
      </c>
      <c r="H116" t="s">
        <v>241</v>
      </c>
      <c r="I116">
        <v>1</v>
      </c>
      <c r="J116" s="10">
        <v>0.27083333333333331</v>
      </c>
      <c r="K116" s="10">
        <v>0.62430555555555556</v>
      </c>
      <c r="L116" s="10">
        <f t="shared" si="0"/>
        <v>0.35347222222222224</v>
      </c>
      <c r="M116" s="12">
        <f t="shared" si="1"/>
        <v>8.4833333333333343</v>
      </c>
      <c r="N116" s="12">
        <f>InterviewsRaw[[#This Row],[Trip Hours]]*InterviewsRaw[[#This Row],['#Angler]]</f>
        <v>8.4833333333333343</v>
      </c>
      <c r="O116" t="s">
        <v>342</v>
      </c>
      <c r="R116" s="11">
        <v>0</v>
      </c>
      <c r="S116">
        <v>0</v>
      </c>
      <c r="T116">
        <v>0</v>
      </c>
      <c r="U116">
        <v>2</v>
      </c>
      <c r="V116" s="11">
        <v>0</v>
      </c>
      <c r="W116">
        <v>0</v>
      </c>
      <c r="X116">
        <v>1</v>
      </c>
      <c r="Y116">
        <v>9</v>
      </c>
      <c r="Z116" s="11">
        <f>InterviewsRaw[[#This Row],[Chi Kept]]+InterviewsRaw[[#This Row],[Chi Released]]</f>
        <v>0</v>
      </c>
      <c r="AA116">
        <f>InterviewsRaw[[#This Row],[Co Kept]]+InterviewsRaw[[#This Row],[Co Released ]]</f>
        <v>0</v>
      </c>
      <c r="AB116">
        <f>InterviewsRaw[[#This Row],[Pink Kept]]+InterviewsRaw[[#This Row],[Pink Released]]</f>
        <v>1</v>
      </c>
      <c r="AC116">
        <f>InterviewsRaw[[#This Row],[Chu Kept]]+InterviewsRaw[[#This Row],[Chu Released]]</f>
        <v>11</v>
      </c>
    </row>
    <row r="117" spans="1:29" x14ac:dyDescent="0.3">
      <c r="A117" s="7">
        <v>45974</v>
      </c>
      <c r="B117">
        <v>13</v>
      </c>
      <c r="C117" t="s">
        <v>236</v>
      </c>
      <c r="D117" t="s">
        <v>42</v>
      </c>
      <c r="E117">
        <v>9</v>
      </c>
      <c r="F117">
        <v>4</v>
      </c>
      <c r="G117">
        <v>3</v>
      </c>
      <c r="H117" t="s">
        <v>241</v>
      </c>
      <c r="I117">
        <v>2</v>
      </c>
      <c r="J117" s="10">
        <v>0.58333333333333337</v>
      </c>
      <c r="K117" s="10">
        <v>0.62986111111111109</v>
      </c>
      <c r="L117" s="10">
        <f t="shared" si="0"/>
        <v>4.6527777777777724E-2</v>
      </c>
      <c r="M117" s="12">
        <f t="shared" si="1"/>
        <v>1.1166666666666654</v>
      </c>
      <c r="N117" s="12">
        <f>InterviewsRaw[[#This Row],[Trip Hours]]*InterviewsRaw[[#This Row],['#Angler]]</f>
        <v>2.2333333333333307</v>
      </c>
      <c r="O117" t="s">
        <v>342</v>
      </c>
      <c r="P117" t="s">
        <v>29</v>
      </c>
      <c r="Q117" t="s">
        <v>364</v>
      </c>
      <c r="R117" s="11">
        <v>0</v>
      </c>
      <c r="S117">
        <v>0</v>
      </c>
      <c r="T117">
        <v>0</v>
      </c>
      <c r="U117">
        <v>0</v>
      </c>
      <c r="V117" s="11">
        <v>0</v>
      </c>
      <c r="W117">
        <v>0</v>
      </c>
      <c r="X117">
        <v>0</v>
      </c>
      <c r="Y117">
        <v>0</v>
      </c>
      <c r="Z117" s="11">
        <f>InterviewsRaw[[#This Row],[Chi Kept]]+InterviewsRaw[[#This Row],[Chi Released]]</f>
        <v>0</v>
      </c>
      <c r="AA117">
        <f>InterviewsRaw[[#This Row],[Co Kept]]+InterviewsRaw[[#This Row],[Co Released ]]</f>
        <v>0</v>
      </c>
      <c r="AB117">
        <f>InterviewsRaw[[#This Row],[Pink Kept]]+InterviewsRaw[[#This Row],[Pink Released]]</f>
        <v>0</v>
      </c>
      <c r="AC117">
        <f>InterviewsRaw[[#This Row],[Chu Kept]]+InterviewsRaw[[#This Row],[Chu Released]]</f>
        <v>0</v>
      </c>
    </row>
    <row r="118" spans="1:29" x14ac:dyDescent="0.3">
      <c r="A118" s="7">
        <v>45974</v>
      </c>
      <c r="B118">
        <v>13</v>
      </c>
      <c r="C118" t="s">
        <v>236</v>
      </c>
      <c r="D118" t="s">
        <v>42</v>
      </c>
      <c r="E118">
        <v>10</v>
      </c>
      <c r="F118">
        <v>4</v>
      </c>
      <c r="G118">
        <v>3</v>
      </c>
      <c r="H118" t="s">
        <v>241</v>
      </c>
      <c r="I118">
        <v>1</v>
      </c>
      <c r="J118" s="10">
        <v>0.41666666666666669</v>
      </c>
      <c r="K118" s="10">
        <v>0.63124999999999998</v>
      </c>
      <c r="L118" s="10">
        <f t="shared" si="0"/>
        <v>0.21458333333333329</v>
      </c>
      <c r="M118" s="12">
        <f t="shared" si="1"/>
        <v>5.1499999999999986</v>
      </c>
      <c r="N118" s="12">
        <f>InterviewsRaw[[#This Row],[Trip Hours]]*InterviewsRaw[[#This Row],['#Angler]]</f>
        <v>5.1499999999999986</v>
      </c>
      <c r="O118" t="s">
        <v>342</v>
      </c>
      <c r="P118" t="s">
        <v>29</v>
      </c>
      <c r="Q118" t="s">
        <v>224</v>
      </c>
      <c r="R118" s="11">
        <v>0</v>
      </c>
      <c r="S118">
        <v>0</v>
      </c>
      <c r="T118">
        <v>0</v>
      </c>
      <c r="U118">
        <v>0</v>
      </c>
      <c r="V118" s="11">
        <v>0</v>
      </c>
      <c r="W118">
        <v>0</v>
      </c>
      <c r="X118">
        <v>0</v>
      </c>
      <c r="Y118">
        <v>3</v>
      </c>
      <c r="Z118" s="11">
        <f>InterviewsRaw[[#This Row],[Chi Kept]]+InterviewsRaw[[#This Row],[Chi Released]]</f>
        <v>0</v>
      </c>
      <c r="AA118">
        <f>InterviewsRaw[[#This Row],[Co Kept]]+InterviewsRaw[[#This Row],[Co Released ]]</f>
        <v>0</v>
      </c>
      <c r="AB118">
        <f>InterviewsRaw[[#This Row],[Pink Kept]]+InterviewsRaw[[#This Row],[Pink Released]]</f>
        <v>0</v>
      </c>
      <c r="AC118">
        <f>InterviewsRaw[[#This Row],[Chu Kept]]+InterviewsRaw[[#This Row],[Chu Released]]</f>
        <v>3</v>
      </c>
    </row>
    <row r="119" spans="1:29" x14ac:dyDescent="0.3">
      <c r="A119" s="7">
        <v>45974</v>
      </c>
      <c r="B119">
        <v>13</v>
      </c>
      <c r="C119" t="s">
        <v>236</v>
      </c>
      <c r="D119" t="s">
        <v>42</v>
      </c>
      <c r="E119">
        <v>11</v>
      </c>
      <c r="F119">
        <v>4</v>
      </c>
      <c r="G119">
        <v>3</v>
      </c>
      <c r="H119" t="s">
        <v>241</v>
      </c>
      <c r="I119">
        <v>2</v>
      </c>
      <c r="J119" s="10">
        <v>0.5625</v>
      </c>
      <c r="K119" s="10">
        <v>0.6333333333333333</v>
      </c>
      <c r="L119" s="10">
        <f t="shared" si="0"/>
        <v>7.0833333333333304E-2</v>
      </c>
      <c r="M119" s="12">
        <f t="shared" si="1"/>
        <v>1.6999999999999993</v>
      </c>
      <c r="N119" s="12">
        <f>InterviewsRaw[[#This Row],[Trip Hours]]*InterviewsRaw[[#This Row],['#Angler]]</f>
        <v>3.3999999999999986</v>
      </c>
      <c r="O119" t="s">
        <v>342</v>
      </c>
      <c r="P119" t="s">
        <v>29</v>
      </c>
      <c r="Q119" t="s">
        <v>224</v>
      </c>
      <c r="R119" s="11">
        <v>0</v>
      </c>
      <c r="S119">
        <v>0</v>
      </c>
      <c r="T119">
        <v>0</v>
      </c>
      <c r="U119">
        <v>0</v>
      </c>
      <c r="V119" s="11">
        <v>0</v>
      </c>
      <c r="W119">
        <v>0</v>
      </c>
      <c r="X119">
        <v>0</v>
      </c>
      <c r="Y119">
        <v>2</v>
      </c>
      <c r="Z119" s="11">
        <f>InterviewsRaw[[#This Row],[Chi Kept]]+InterviewsRaw[[#This Row],[Chi Released]]</f>
        <v>0</v>
      </c>
      <c r="AA119">
        <f>InterviewsRaw[[#This Row],[Co Kept]]+InterviewsRaw[[#This Row],[Co Released ]]</f>
        <v>0</v>
      </c>
      <c r="AB119">
        <f>InterviewsRaw[[#This Row],[Pink Kept]]+InterviewsRaw[[#This Row],[Pink Released]]</f>
        <v>0</v>
      </c>
      <c r="AC119">
        <f>InterviewsRaw[[#This Row],[Chu Kept]]+InterviewsRaw[[#This Row],[Chu Released]]</f>
        <v>2</v>
      </c>
    </row>
    <row r="120" spans="1:29" x14ac:dyDescent="0.3">
      <c r="A120" s="7">
        <v>45975</v>
      </c>
      <c r="B120">
        <v>13</v>
      </c>
      <c r="C120" t="s">
        <v>236</v>
      </c>
      <c r="D120" t="s">
        <v>26</v>
      </c>
      <c r="E120">
        <v>1</v>
      </c>
      <c r="F120">
        <v>3</v>
      </c>
      <c r="G120">
        <v>8</v>
      </c>
      <c r="H120" t="s">
        <v>241</v>
      </c>
      <c r="I120">
        <v>1</v>
      </c>
      <c r="J120" s="10">
        <v>0.29166666666666669</v>
      </c>
      <c r="K120" s="10">
        <v>0.37777777777777777</v>
      </c>
      <c r="L120" s="10">
        <f t="shared" si="0"/>
        <v>8.6111111111111083E-2</v>
      </c>
      <c r="M120" s="12">
        <f t="shared" si="1"/>
        <v>2.066666666666666</v>
      </c>
      <c r="N120" s="12">
        <f>InterviewsRaw[[#This Row],[Trip Hours]]*InterviewsRaw[[#This Row],['#Angler]]</f>
        <v>2.066666666666666</v>
      </c>
      <c r="O120" t="s">
        <v>342</v>
      </c>
      <c r="R120" s="11">
        <v>0</v>
      </c>
      <c r="S120">
        <v>0</v>
      </c>
      <c r="T120">
        <v>0</v>
      </c>
      <c r="U120">
        <v>0</v>
      </c>
      <c r="V120" s="11">
        <v>0</v>
      </c>
      <c r="W120">
        <v>0</v>
      </c>
      <c r="X120">
        <v>0</v>
      </c>
      <c r="Y120">
        <v>0</v>
      </c>
      <c r="Z120" s="11">
        <f>InterviewsRaw[[#This Row],[Chi Kept]]+InterviewsRaw[[#This Row],[Chi Released]]</f>
        <v>0</v>
      </c>
      <c r="AA120">
        <f>InterviewsRaw[[#This Row],[Co Kept]]+InterviewsRaw[[#This Row],[Co Released ]]</f>
        <v>0</v>
      </c>
      <c r="AB120">
        <f>InterviewsRaw[[#This Row],[Pink Kept]]+InterviewsRaw[[#This Row],[Pink Released]]</f>
        <v>0</v>
      </c>
      <c r="AC120">
        <f>InterviewsRaw[[#This Row],[Chu Kept]]+InterviewsRaw[[#This Row],[Chu Released]]</f>
        <v>0</v>
      </c>
    </row>
    <row r="121" spans="1:29" x14ac:dyDescent="0.3">
      <c r="A121" s="7">
        <v>45975</v>
      </c>
      <c r="B121">
        <v>13</v>
      </c>
      <c r="C121" t="s">
        <v>236</v>
      </c>
      <c r="D121" t="s">
        <v>26</v>
      </c>
      <c r="E121">
        <v>2</v>
      </c>
      <c r="F121">
        <v>3</v>
      </c>
      <c r="G121">
        <v>8</v>
      </c>
      <c r="H121" t="s">
        <v>241</v>
      </c>
      <c r="I121">
        <v>1</v>
      </c>
      <c r="J121" s="10">
        <v>0.25</v>
      </c>
      <c r="K121" s="10">
        <v>0.39027777777777778</v>
      </c>
      <c r="L121" s="10">
        <f t="shared" si="0"/>
        <v>0.14027777777777778</v>
      </c>
      <c r="M121" s="12">
        <f t="shared" si="1"/>
        <v>3.3666666666666667</v>
      </c>
      <c r="N121" s="12">
        <f>InterviewsRaw[[#This Row],[Trip Hours]]*InterviewsRaw[[#This Row],['#Angler]]</f>
        <v>3.3666666666666667</v>
      </c>
      <c r="O121" t="s">
        <v>342</v>
      </c>
      <c r="R121" s="11">
        <v>0</v>
      </c>
      <c r="S121">
        <v>0</v>
      </c>
      <c r="T121">
        <v>0</v>
      </c>
      <c r="U121">
        <v>0</v>
      </c>
      <c r="V121" s="11">
        <v>0</v>
      </c>
      <c r="W121">
        <v>0</v>
      </c>
      <c r="X121">
        <v>0</v>
      </c>
      <c r="Y121">
        <v>0</v>
      </c>
      <c r="Z121" s="11">
        <f>InterviewsRaw[[#This Row],[Chi Kept]]+InterviewsRaw[[#This Row],[Chi Released]]</f>
        <v>0</v>
      </c>
      <c r="AA121">
        <f>InterviewsRaw[[#This Row],[Co Kept]]+InterviewsRaw[[#This Row],[Co Released ]]</f>
        <v>0</v>
      </c>
      <c r="AB121">
        <f>InterviewsRaw[[#This Row],[Pink Kept]]+InterviewsRaw[[#This Row],[Pink Released]]</f>
        <v>0</v>
      </c>
      <c r="AC121">
        <f>InterviewsRaw[[#This Row],[Chu Kept]]+InterviewsRaw[[#This Row],[Chu Released]]</f>
        <v>0</v>
      </c>
    </row>
    <row r="122" spans="1:29" x14ac:dyDescent="0.3">
      <c r="A122" s="7">
        <v>45975</v>
      </c>
      <c r="B122">
        <v>13</v>
      </c>
      <c r="C122" t="s">
        <v>236</v>
      </c>
      <c r="D122" t="s">
        <v>26</v>
      </c>
      <c r="E122">
        <v>3</v>
      </c>
      <c r="F122">
        <v>4</v>
      </c>
      <c r="G122">
        <v>3</v>
      </c>
      <c r="H122" t="s">
        <v>241</v>
      </c>
      <c r="I122">
        <v>2</v>
      </c>
      <c r="J122" s="10">
        <v>0.3125</v>
      </c>
      <c r="K122" s="10">
        <v>0.42916666666666664</v>
      </c>
      <c r="L122" s="10">
        <f t="shared" si="0"/>
        <v>0.11666666666666664</v>
      </c>
      <c r="M122" s="12">
        <f t="shared" si="1"/>
        <v>2.7999999999999994</v>
      </c>
      <c r="N122" s="12">
        <f>InterviewsRaw[[#This Row],[Trip Hours]]*InterviewsRaw[[#This Row],['#Angler]]</f>
        <v>5.5999999999999988</v>
      </c>
      <c r="O122" t="s">
        <v>342</v>
      </c>
      <c r="P122" t="s">
        <v>29</v>
      </c>
      <c r="Q122" t="s">
        <v>224</v>
      </c>
      <c r="R122" s="11">
        <v>0</v>
      </c>
      <c r="S122">
        <v>0</v>
      </c>
      <c r="T122">
        <v>0</v>
      </c>
      <c r="U122">
        <v>0</v>
      </c>
      <c r="V122" s="11">
        <v>0</v>
      </c>
      <c r="W122">
        <v>0</v>
      </c>
      <c r="X122">
        <v>0</v>
      </c>
      <c r="Y122">
        <v>0</v>
      </c>
      <c r="Z122" s="11">
        <f>InterviewsRaw[[#This Row],[Chi Kept]]+InterviewsRaw[[#This Row],[Chi Released]]</f>
        <v>0</v>
      </c>
      <c r="AA122">
        <f>InterviewsRaw[[#This Row],[Co Kept]]+InterviewsRaw[[#This Row],[Co Released ]]</f>
        <v>0</v>
      </c>
      <c r="AB122">
        <f>InterviewsRaw[[#This Row],[Pink Kept]]+InterviewsRaw[[#This Row],[Pink Released]]</f>
        <v>0</v>
      </c>
      <c r="AC122">
        <f>InterviewsRaw[[#This Row],[Chu Kept]]+InterviewsRaw[[#This Row],[Chu Released]]</f>
        <v>0</v>
      </c>
    </row>
    <row r="123" spans="1:29" x14ac:dyDescent="0.3">
      <c r="A123" s="7">
        <v>45975</v>
      </c>
      <c r="B123">
        <v>13</v>
      </c>
      <c r="C123" t="s">
        <v>236</v>
      </c>
      <c r="D123" t="s">
        <v>26</v>
      </c>
      <c r="E123">
        <v>4</v>
      </c>
      <c r="F123">
        <v>4</v>
      </c>
      <c r="G123">
        <v>3</v>
      </c>
      <c r="H123" t="s">
        <v>241</v>
      </c>
      <c r="I123">
        <v>1</v>
      </c>
      <c r="J123" s="10">
        <v>0.29166666666666669</v>
      </c>
      <c r="K123" s="10">
        <v>0.43680555555555556</v>
      </c>
      <c r="L123" s="10">
        <f t="shared" si="0"/>
        <v>0.14513888888888887</v>
      </c>
      <c r="M123" s="12">
        <f t="shared" si="1"/>
        <v>3.4833333333333329</v>
      </c>
      <c r="N123" s="12">
        <f>InterviewsRaw[[#This Row],[Trip Hours]]*InterviewsRaw[[#This Row],['#Angler]]</f>
        <v>3.4833333333333329</v>
      </c>
      <c r="O123" t="s">
        <v>342</v>
      </c>
      <c r="P123" t="s">
        <v>29</v>
      </c>
      <c r="Q123" t="s">
        <v>224</v>
      </c>
      <c r="R123" s="11">
        <v>0</v>
      </c>
      <c r="S123">
        <v>0</v>
      </c>
      <c r="T123">
        <v>0</v>
      </c>
      <c r="U123">
        <v>2</v>
      </c>
      <c r="V123" s="11">
        <v>0</v>
      </c>
      <c r="W123">
        <v>0</v>
      </c>
      <c r="X123">
        <v>0</v>
      </c>
      <c r="Y123">
        <v>4</v>
      </c>
      <c r="Z123" s="11">
        <f>InterviewsRaw[[#This Row],[Chi Kept]]+InterviewsRaw[[#This Row],[Chi Released]]</f>
        <v>0</v>
      </c>
      <c r="AA123">
        <f>InterviewsRaw[[#This Row],[Co Kept]]+InterviewsRaw[[#This Row],[Co Released ]]</f>
        <v>0</v>
      </c>
      <c r="AB123">
        <f>InterviewsRaw[[#This Row],[Pink Kept]]+InterviewsRaw[[#This Row],[Pink Released]]</f>
        <v>0</v>
      </c>
      <c r="AC123">
        <f>InterviewsRaw[[#This Row],[Chu Kept]]+InterviewsRaw[[#This Row],[Chu Released]]</f>
        <v>6</v>
      </c>
    </row>
    <row r="124" spans="1:29" x14ac:dyDescent="0.3">
      <c r="A124" s="7">
        <v>45975</v>
      </c>
      <c r="B124">
        <v>13</v>
      </c>
      <c r="C124" t="s">
        <v>236</v>
      </c>
      <c r="D124" t="s">
        <v>42</v>
      </c>
      <c r="E124">
        <v>5</v>
      </c>
      <c r="F124">
        <v>4</v>
      </c>
      <c r="G124">
        <v>3</v>
      </c>
      <c r="H124" t="s">
        <v>241</v>
      </c>
      <c r="I124">
        <v>1</v>
      </c>
      <c r="J124" s="10">
        <v>0.3125</v>
      </c>
      <c r="K124" s="10">
        <v>0.52361111111111114</v>
      </c>
      <c r="L124" s="10">
        <f t="shared" si="0"/>
        <v>0.21111111111111114</v>
      </c>
      <c r="M124" s="12">
        <f t="shared" si="1"/>
        <v>5.0666666666666673</v>
      </c>
      <c r="N124" s="12">
        <f>InterviewsRaw[[#This Row],[Trip Hours]]*InterviewsRaw[[#This Row],['#Angler]]</f>
        <v>5.0666666666666673</v>
      </c>
      <c r="O124" t="s">
        <v>342</v>
      </c>
      <c r="P124" t="s">
        <v>186</v>
      </c>
      <c r="Q124" t="s">
        <v>224</v>
      </c>
      <c r="R124" s="11">
        <v>0</v>
      </c>
      <c r="S124">
        <v>0</v>
      </c>
      <c r="T124">
        <v>0</v>
      </c>
      <c r="U124">
        <v>0</v>
      </c>
      <c r="V124" s="11">
        <v>0</v>
      </c>
      <c r="W124">
        <v>0</v>
      </c>
      <c r="X124">
        <v>0</v>
      </c>
      <c r="Y124">
        <v>12</v>
      </c>
      <c r="Z124" s="11">
        <f>InterviewsRaw[[#This Row],[Chi Kept]]+InterviewsRaw[[#This Row],[Chi Released]]</f>
        <v>0</v>
      </c>
      <c r="AA124">
        <f>InterviewsRaw[[#This Row],[Co Kept]]+InterviewsRaw[[#This Row],[Co Released ]]</f>
        <v>0</v>
      </c>
      <c r="AB124">
        <f>InterviewsRaw[[#This Row],[Pink Kept]]+InterviewsRaw[[#This Row],[Pink Released]]</f>
        <v>0</v>
      </c>
      <c r="AC124">
        <f>InterviewsRaw[[#This Row],[Chu Kept]]+InterviewsRaw[[#This Row],[Chu Released]]</f>
        <v>12</v>
      </c>
    </row>
    <row r="125" spans="1:29" x14ac:dyDescent="0.3">
      <c r="A125" s="7">
        <v>45975</v>
      </c>
      <c r="B125">
        <v>13</v>
      </c>
      <c r="C125" t="s">
        <v>236</v>
      </c>
      <c r="D125" t="s">
        <v>42</v>
      </c>
      <c r="E125">
        <v>6</v>
      </c>
      <c r="F125">
        <v>4</v>
      </c>
      <c r="G125">
        <v>3</v>
      </c>
      <c r="H125" t="s">
        <v>241</v>
      </c>
      <c r="I125">
        <v>1</v>
      </c>
      <c r="J125" s="10">
        <v>0.45833333333333331</v>
      </c>
      <c r="K125" s="10">
        <v>0.53333333333333333</v>
      </c>
      <c r="L125" s="10">
        <f t="shared" si="0"/>
        <v>7.5000000000000011E-2</v>
      </c>
      <c r="M125" s="12">
        <f t="shared" si="1"/>
        <v>1.8000000000000003</v>
      </c>
      <c r="N125" s="12">
        <f>InterviewsRaw[[#This Row],[Trip Hours]]*InterviewsRaw[[#This Row],['#Angler]]</f>
        <v>1.8000000000000003</v>
      </c>
      <c r="O125" t="s">
        <v>342</v>
      </c>
      <c r="P125" t="s">
        <v>29</v>
      </c>
      <c r="Q125" t="s">
        <v>224</v>
      </c>
      <c r="R125" s="11">
        <v>0</v>
      </c>
      <c r="S125">
        <v>0</v>
      </c>
      <c r="T125">
        <v>0</v>
      </c>
      <c r="U125">
        <v>1</v>
      </c>
      <c r="V125" s="11">
        <v>0</v>
      </c>
      <c r="W125">
        <v>0</v>
      </c>
      <c r="X125">
        <v>0</v>
      </c>
      <c r="Y125">
        <v>0</v>
      </c>
      <c r="Z125" s="11">
        <f>InterviewsRaw[[#This Row],[Chi Kept]]+InterviewsRaw[[#This Row],[Chi Released]]</f>
        <v>0</v>
      </c>
      <c r="AA125">
        <f>InterviewsRaw[[#This Row],[Co Kept]]+InterviewsRaw[[#This Row],[Co Released ]]</f>
        <v>0</v>
      </c>
      <c r="AB125">
        <f>InterviewsRaw[[#This Row],[Pink Kept]]+InterviewsRaw[[#This Row],[Pink Released]]</f>
        <v>0</v>
      </c>
      <c r="AC125">
        <f>InterviewsRaw[[#This Row],[Chu Kept]]+InterviewsRaw[[#This Row],[Chu Released]]</f>
        <v>1</v>
      </c>
    </row>
    <row r="126" spans="1:29" x14ac:dyDescent="0.3">
      <c r="A126" s="7">
        <v>45975</v>
      </c>
      <c r="B126">
        <v>13</v>
      </c>
      <c r="C126" t="s">
        <v>236</v>
      </c>
      <c r="D126" t="s">
        <v>42</v>
      </c>
      <c r="E126">
        <v>7</v>
      </c>
      <c r="F126">
        <v>4</v>
      </c>
      <c r="G126">
        <v>3</v>
      </c>
      <c r="H126" t="s">
        <v>241</v>
      </c>
      <c r="I126">
        <v>1</v>
      </c>
      <c r="J126" s="10">
        <v>0.25</v>
      </c>
      <c r="K126" s="10">
        <v>0.53749999999999998</v>
      </c>
      <c r="L126" s="10">
        <f t="shared" si="0"/>
        <v>0.28749999999999998</v>
      </c>
      <c r="M126" s="12">
        <f t="shared" si="1"/>
        <v>6.8999999999999995</v>
      </c>
      <c r="N126" s="12">
        <f>InterviewsRaw[[#This Row],[Trip Hours]]*InterviewsRaw[[#This Row],['#Angler]]</f>
        <v>6.8999999999999995</v>
      </c>
      <c r="O126" t="s">
        <v>342</v>
      </c>
      <c r="P126" t="s">
        <v>29</v>
      </c>
      <c r="Q126" t="s">
        <v>224</v>
      </c>
      <c r="R126" s="11">
        <v>0</v>
      </c>
      <c r="S126">
        <v>0</v>
      </c>
      <c r="T126">
        <v>0</v>
      </c>
      <c r="U126">
        <v>1</v>
      </c>
      <c r="V126" s="11">
        <v>0</v>
      </c>
      <c r="W126">
        <v>0</v>
      </c>
      <c r="X126">
        <v>0</v>
      </c>
      <c r="Y126">
        <v>0</v>
      </c>
      <c r="Z126" s="11">
        <f>InterviewsRaw[[#This Row],[Chi Kept]]+InterviewsRaw[[#This Row],[Chi Released]]</f>
        <v>0</v>
      </c>
      <c r="AA126">
        <f>InterviewsRaw[[#This Row],[Co Kept]]+InterviewsRaw[[#This Row],[Co Released ]]</f>
        <v>0</v>
      </c>
      <c r="AB126">
        <f>InterviewsRaw[[#This Row],[Pink Kept]]+InterviewsRaw[[#This Row],[Pink Released]]</f>
        <v>0</v>
      </c>
      <c r="AC126">
        <f>InterviewsRaw[[#This Row],[Chu Kept]]+InterviewsRaw[[#This Row],[Chu Released]]</f>
        <v>1</v>
      </c>
    </row>
    <row r="127" spans="1:29" x14ac:dyDescent="0.3">
      <c r="A127" s="7">
        <v>45975</v>
      </c>
      <c r="B127">
        <v>13</v>
      </c>
      <c r="C127" t="s">
        <v>236</v>
      </c>
      <c r="D127" t="s">
        <v>42</v>
      </c>
      <c r="E127">
        <v>8</v>
      </c>
      <c r="F127">
        <v>4</v>
      </c>
      <c r="G127">
        <v>3</v>
      </c>
      <c r="H127" t="s">
        <v>241</v>
      </c>
      <c r="I127">
        <v>1</v>
      </c>
      <c r="J127" s="10">
        <v>0.29166666666666669</v>
      </c>
      <c r="K127" s="10">
        <v>0.53749999999999998</v>
      </c>
      <c r="L127" s="10">
        <f t="shared" si="0"/>
        <v>0.24583333333333329</v>
      </c>
      <c r="M127" s="12">
        <f t="shared" si="1"/>
        <v>5.8999999999999986</v>
      </c>
      <c r="N127" s="12">
        <f>InterviewsRaw[[#This Row],[Trip Hours]]*InterviewsRaw[[#This Row],['#Angler]]</f>
        <v>5.8999999999999986</v>
      </c>
      <c r="O127" t="s">
        <v>342</v>
      </c>
      <c r="P127" t="s">
        <v>29</v>
      </c>
      <c r="Q127" t="s">
        <v>224</v>
      </c>
      <c r="R127" s="11">
        <v>0</v>
      </c>
      <c r="S127">
        <v>1</v>
      </c>
      <c r="T127">
        <v>0</v>
      </c>
      <c r="U127">
        <v>1</v>
      </c>
      <c r="V127" s="11">
        <v>0</v>
      </c>
      <c r="W127">
        <v>0</v>
      </c>
      <c r="X127">
        <v>0</v>
      </c>
      <c r="Y127">
        <v>7</v>
      </c>
      <c r="Z127" s="11">
        <f>InterviewsRaw[[#This Row],[Chi Kept]]+InterviewsRaw[[#This Row],[Chi Released]]</f>
        <v>0</v>
      </c>
      <c r="AA127">
        <f>InterviewsRaw[[#This Row],[Co Kept]]+InterviewsRaw[[#This Row],[Co Released ]]</f>
        <v>1</v>
      </c>
      <c r="AB127">
        <f>InterviewsRaw[[#This Row],[Pink Kept]]+InterviewsRaw[[#This Row],[Pink Released]]</f>
        <v>0</v>
      </c>
      <c r="AC127">
        <f>InterviewsRaw[[#This Row],[Chu Kept]]+InterviewsRaw[[#This Row],[Chu Released]]</f>
        <v>8</v>
      </c>
    </row>
    <row r="128" spans="1:29" x14ac:dyDescent="0.3">
      <c r="A128" s="7">
        <v>45975</v>
      </c>
      <c r="B128">
        <v>13</v>
      </c>
      <c r="C128" t="s">
        <v>236</v>
      </c>
      <c r="D128" t="s">
        <v>42</v>
      </c>
      <c r="E128">
        <v>9</v>
      </c>
      <c r="F128">
        <v>4</v>
      </c>
      <c r="G128">
        <v>1</v>
      </c>
      <c r="H128" t="s">
        <v>241</v>
      </c>
      <c r="I128">
        <v>1</v>
      </c>
      <c r="J128" s="10">
        <v>0.52083333333333337</v>
      </c>
      <c r="K128" s="10">
        <v>0.56805555555555554</v>
      </c>
      <c r="L128" s="10">
        <f t="shared" si="0"/>
        <v>4.7222222222222165E-2</v>
      </c>
      <c r="M128" s="12">
        <f t="shared" si="1"/>
        <v>1.133333333333332</v>
      </c>
      <c r="N128" s="12">
        <f>InterviewsRaw[[#This Row],[Trip Hours]]*InterviewsRaw[[#This Row],['#Angler]]</f>
        <v>1.133333333333332</v>
      </c>
      <c r="O128" t="s">
        <v>342</v>
      </c>
      <c r="Q128" t="s">
        <v>364</v>
      </c>
      <c r="R128" s="11">
        <v>0</v>
      </c>
      <c r="S128">
        <v>0</v>
      </c>
      <c r="T128">
        <v>0</v>
      </c>
      <c r="U128">
        <v>0</v>
      </c>
      <c r="V128" s="11">
        <v>0</v>
      </c>
      <c r="W128">
        <v>0</v>
      </c>
      <c r="X128">
        <v>0</v>
      </c>
      <c r="Y128">
        <v>0</v>
      </c>
      <c r="Z128" s="11">
        <f>InterviewsRaw[[#This Row],[Chi Kept]]+InterviewsRaw[[#This Row],[Chi Released]]</f>
        <v>0</v>
      </c>
      <c r="AA128">
        <f>InterviewsRaw[[#This Row],[Co Kept]]+InterviewsRaw[[#This Row],[Co Released ]]</f>
        <v>0</v>
      </c>
      <c r="AB128">
        <f>InterviewsRaw[[#This Row],[Pink Kept]]+InterviewsRaw[[#This Row],[Pink Released]]</f>
        <v>0</v>
      </c>
      <c r="AC128">
        <f>InterviewsRaw[[#This Row],[Chu Kept]]+InterviewsRaw[[#This Row],[Chu Released]]</f>
        <v>0</v>
      </c>
    </row>
    <row r="129" spans="1:29" x14ac:dyDescent="0.3">
      <c r="A129" s="7">
        <v>45975</v>
      </c>
      <c r="B129">
        <v>13</v>
      </c>
      <c r="C129" t="s">
        <v>236</v>
      </c>
      <c r="D129" t="s">
        <v>42</v>
      </c>
      <c r="E129">
        <v>10</v>
      </c>
      <c r="F129">
        <v>3</v>
      </c>
      <c r="G129">
        <v>8</v>
      </c>
      <c r="H129" t="s">
        <v>241</v>
      </c>
      <c r="I129">
        <v>2</v>
      </c>
      <c r="J129" s="10">
        <v>0.54166666666666663</v>
      </c>
      <c r="K129" s="10">
        <v>0.59652777777777777</v>
      </c>
      <c r="L129" s="10">
        <f t="shared" si="0"/>
        <v>5.4861111111111138E-2</v>
      </c>
      <c r="M129" s="12">
        <f t="shared" si="1"/>
        <v>1.3166666666666673</v>
      </c>
      <c r="N129" s="12">
        <f>InterviewsRaw[[#This Row],[Trip Hours]]*InterviewsRaw[[#This Row],['#Angler]]</f>
        <v>2.6333333333333346</v>
      </c>
      <c r="O129" t="s">
        <v>342</v>
      </c>
      <c r="Q129" t="s">
        <v>224</v>
      </c>
      <c r="R129" s="11">
        <v>0</v>
      </c>
      <c r="S129">
        <v>0</v>
      </c>
      <c r="T129">
        <v>0</v>
      </c>
      <c r="U129">
        <v>0</v>
      </c>
      <c r="V129" s="11">
        <v>0</v>
      </c>
      <c r="W129">
        <v>0</v>
      </c>
      <c r="X129">
        <v>0</v>
      </c>
      <c r="Y129">
        <v>0</v>
      </c>
      <c r="Z129" s="11">
        <f>InterviewsRaw[[#This Row],[Chi Kept]]+InterviewsRaw[[#This Row],[Chi Released]]</f>
        <v>0</v>
      </c>
      <c r="AA129">
        <f>InterviewsRaw[[#This Row],[Co Kept]]+InterviewsRaw[[#This Row],[Co Released ]]</f>
        <v>0</v>
      </c>
      <c r="AB129">
        <f>InterviewsRaw[[#This Row],[Pink Kept]]+InterviewsRaw[[#This Row],[Pink Released]]</f>
        <v>0</v>
      </c>
      <c r="AC129">
        <f>InterviewsRaw[[#This Row],[Chu Kept]]+InterviewsRaw[[#This Row],[Chu Released]]</f>
        <v>0</v>
      </c>
    </row>
    <row r="130" spans="1:29" x14ac:dyDescent="0.3">
      <c r="A130" s="7">
        <v>45975</v>
      </c>
      <c r="B130">
        <v>13</v>
      </c>
      <c r="C130" t="s">
        <v>236</v>
      </c>
      <c r="D130" t="s">
        <v>42</v>
      </c>
      <c r="E130">
        <v>11</v>
      </c>
      <c r="F130">
        <v>4</v>
      </c>
      <c r="G130">
        <v>3</v>
      </c>
      <c r="H130" t="s">
        <v>241</v>
      </c>
      <c r="I130">
        <v>2</v>
      </c>
      <c r="J130" s="10">
        <v>0.29166666666666669</v>
      </c>
      <c r="K130" s="10">
        <v>0.51388888888888884</v>
      </c>
      <c r="L130" s="10">
        <f t="shared" si="0"/>
        <v>0.22222222222222215</v>
      </c>
      <c r="M130" s="12">
        <f t="shared" si="1"/>
        <v>5.3333333333333321</v>
      </c>
      <c r="N130" s="12">
        <f>InterviewsRaw[[#This Row],[Trip Hours]]*InterviewsRaw[[#This Row],['#Angler]]</f>
        <v>10.666666666666664</v>
      </c>
      <c r="O130" t="s">
        <v>342</v>
      </c>
      <c r="Q130" t="s">
        <v>224</v>
      </c>
      <c r="R130" s="11">
        <v>0</v>
      </c>
      <c r="S130">
        <v>0</v>
      </c>
      <c r="T130">
        <v>0</v>
      </c>
      <c r="U130">
        <v>0</v>
      </c>
      <c r="V130" s="11">
        <v>0</v>
      </c>
      <c r="W130">
        <v>0</v>
      </c>
      <c r="X130">
        <v>0</v>
      </c>
      <c r="Y130">
        <v>0</v>
      </c>
      <c r="Z130" s="11">
        <f>InterviewsRaw[[#This Row],[Chi Kept]]+InterviewsRaw[[#This Row],[Chi Released]]</f>
        <v>0</v>
      </c>
      <c r="AA130">
        <f>InterviewsRaw[[#This Row],[Co Kept]]+InterviewsRaw[[#This Row],[Co Released ]]</f>
        <v>0</v>
      </c>
      <c r="AB130">
        <f>InterviewsRaw[[#This Row],[Pink Kept]]+InterviewsRaw[[#This Row],[Pink Released]]</f>
        <v>0</v>
      </c>
      <c r="AC130">
        <f>InterviewsRaw[[#This Row],[Chu Kept]]+InterviewsRaw[[#This Row],[Chu Released]]</f>
        <v>0</v>
      </c>
    </row>
    <row r="131" spans="1:29" x14ac:dyDescent="0.3">
      <c r="A131" s="7">
        <v>45975</v>
      </c>
      <c r="B131">
        <v>13</v>
      </c>
      <c r="C131" t="s">
        <v>236</v>
      </c>
      <c r="D131" t="s">
        <v>42</v>
      </c>
      <c r="E131">
        <v>12</v>
      </c>
      <c r="F131">
        <v>3</v>
      </c>
      <c r="G131">
        <v>8</v>
      </c>
      <c r="H131" t="s">
        <v>241</v>
      </c>
      <c r="I131">
        <v>1</v>
      </c>
      <c r="J131" s="10">
        <v>0.375</v>
      </c>
      <c r="K131" s="10">
        <v>0.60902777777777772</v>
      </c>
      <c r="L131" s="10">
        <f t="shared" si="0"/>
        <v>0.23402777777777772</v>
      </c>
      <c r="M131" s="12">
        <f t="shared" si="1"/>
        <v>5.6166666666666654</v>
      </c>
      <c r="N131" s="12">
        <f>InterviewsRaw[[#This Row],[Trip Hours]]*InterviewsRaw[[#This Row],['#Angler]]</f>
        <v>5.6166666666666654</v>
      </c>
      <c r="O131" t="s">
        <v>342</v>
      </c>
      <c r="Q131" t="s">
        <v>224</v>
      </c>
      <c r="R131" s="11">
        <v>0</v>
      </c>
      <c r="S131">
        <v>0</v>
      </c>
      <c r="T131">
        <v>0</v>
      </c>
      <c r="U131">
        <v>0</v>
      </c>
      <c r="V131" s="11">
        <v>0</v>
      </c>
      <c r="W131">
        <v>0</v>
      </c>
      <c r="X131">
        <v>0</v>
      </c>
      <c r="Y131">
        <v>0</v>
      </c>
      <c r="Z131" s="11">
        <f>InterviewsRaw[[#This Row],[Chi Kept]]+InterviewsRaw[[#This Row],[Chi Released]]</f>
        <v>0</v>
      </c>
      <c r="AA131">
        <f>InterviewsRaw[[#This Row],[Co Kept]]+InterviewsRaw[[#This Row],[Co Released ]]</f>
        <v>0</v>
      </c>
      <c r="AB131">
        <f>InterviewsRaw[[#This Row],[Pink Kept]]+InterviewsRaw[[#This Row],[Pink Released]]</f>
        <v>0</v>
      </c>
      <c r="AC131">
        <f>InterviewsRaw[[#This Row],[Chu Kept]]+InterviewsRaw[[#This Row],[Chu Released]]</f>
        <v>0</v>
      </c>
    </row>
    <row r="132" spans="1:29" x14ac:dyDescent="0.3">
      <c r="A132" s="7">
        <v>45975</v>
      </c>
      <c r="B132">
        <v>13</v>
      </c>
      <c r="C132" t="s">
        <v>236</v>
      </c>
      <c r="D132" t="s">
        <v>42</v>
      </c>
      <c r="E132">
        <v>13</v>
      </c>
      <c r="F132">
        <v>3</v>
      </c>
      <c r="G132">
        <v>8</v>
      </c>
      <c r="H132" t="s">
        <v>241</v>
      </c>
      <c r="I132">
        <v>1</v>
      </c>
      <c r="J132" s="10">
        <v>0.59027777777777779</v>
      </c>
      <c r="K132" s="10">
        <v>0.6118055555555556</v>
      </c>
      <c r="L132" s="10">
        <f t="shared" si="0"/>
        <v>2.1527777777777812E-2</v>
      </c>
      <c r="M132" s="12">
        <f t="shared" si="1"/>
        <v>0.5166666666666675</v>
      </c>
      <c r="N132" s="12">
        <f>InterviewsRaw[[#This Row],[Trip Hours]]*InterviewsRaw[[#This Row],['#Angler]]</f>
        <v>0.5166666666666675</v>
      </c>
      <c r="O132" t="s">
        <v>342</v>
      </c>
      <c r="R132" s="11">
        <v>0</v>
      </c>
      <c r="S132">
        <v>0</v>
      </c>
      <c r="T132">
        <v>0</v>
      </c>
      <c r="U132">
        <v>0</v>
      </c>
      <c r="V132" s="11">
        <v>0</v>
      </c>
      <c r="W132">
        <v>0</v>
      </c>
      <c r="X132">
        <v>0</v>
      </c>
      <c r="Y132">
        <v>0</v>
      </c>
      <c r="Z132" s="11">
        <f>InterviewsRaw[[#This Row],[Chi Kept]]+InterviewsRaw[[#This Row],[Chi Released]]</f>
        <v>0</v>
      </c>
      <c r="AA132">
        <f>InterviewsRaw[[#This Row],[Co Kept]]+InterviewsRaw[[#This Row],[Co Released ]]</f>
        <v>0</v>
      </c>
      <c r="AB132">
        <f>InterviewsRaw[[#This Row],[Pink Kept]]+InterviewsRaw[[#This Row],[Pink Released]]</f>
        <v>0</v>
      </c>
      <c r="AC132">
        <f>InterviewsRaw[[#This Row],[Chu Kept]]+InterviewsRaw[[#This Row],[Chu Released]]</f>
        <v>0</v>
      </c>
    </row>
    <row r="133" spans="1:29" x14ac:dyDescent="0.3">
      <c r="A133" s="7">
        <v>45975</v>
      </c>
      <c r="B133">
        <v>13</v>
      </c>
      <c r="C133" t="s">
        <v>236</v>
      </c>
      <c r="D133" t="s">
        <v>42</v>
      </c>
      <c r="E133">
        <v>14</v>
      </c>
      <c r="F133">
        <v>3</v>
      </c>
      <c r="G133">
        <v>6</v>
      </c>
      <c r="H133" t="s">
        <v>241</v>
      </c>
      <c r="I133">
        <v>1</v>
      </c>
      <c r="J133" s="10">
        <v>0.54166666666666663</v>
      </c>
      <c r="K133" s="10">
        <v>0.63541666666666663</v>
      </c>
      <c r="L133" s="10">
        <f t="shared" si="0"/>
        <v>9.375E-2</v>
      </c>
      <c r="M133" s="12">
        <f t="shared" si="1"/>
        <v>2.25</v>
      </c>
      <c r="N133" s="12">
        <f>InterviewsRaw[[#This Row],[Trip Hours]]*InterviewsRaw[[#This Row],['#Angler]]</f>
        <v>2.25</v>
      </c>
      <c r="O133" t="s">
        <v>342</v>
      </c>
      <c r="Q133" t="s">
        <v>224</v>
      </c>
      <c r="R133" s="11">
        <v>0</v>
      </c>
      <c r="S133">
        <v>0</v>
      </c>
      <c r="T133">
        <v>0</v>
      </c>
      <c r="U133">
        <v>0</v>
      </c>
      <c r="V133" s="11">
        <v>0</v>
      </c>
      <c r="W133">
        <v>0</v>
      </c>
      <c r="X133">
        <v>0</v>
      </c>
      <c r="Y133">
        <v>0</v>
      </c>
      <c r="Z133" s="11">
        <f>InterviewsRaw[[#This Row],[Chi Kept]]+InterviewsRaw[[#This Row],[Chi Released]]</f>
        <v>0</v>
      </c>
      <c r="AA133">
        <f>InterviewsRaw[[#This Row],[Co Kept]]+InterviewsRaw[[#This Row],[Co Released ]]</f>
        <v>0</v>
      </c>
      <c r="AB133">
        <f>InterviewsRaw[[#This Row],[Pink Kept]]+InterviewsRaw[[#This Row],[Pink Released]]</f>
        <v>0</v>
      </c>
      <c r="AC133">
        <f>InterviewsRaw[[#This Row],[Chu Kept]]+InterviewsRaw[[#This Row],[Chu Released]]</f>
        <v>0</v>
      </c>
    </row>
    <row r="134" spans="1:29" x14ac:dyDescent="0.3">
      <c r="A134" s="7">
        <v>45976</v>
      </c>
      <c r="B134">
        <v>13</v>
      </c>
      <c r="C134" t="s">
        <v>250</v>
      </c>
      <c r="D134" t="s">
        <v>26</v>
      </c>
      <c r="E134">
        <v>1</v>
      </c>
      <c r="F134">
        <v>3</v>
      </c>
      <c r="G134">
        <v>6</v>
      </c>
      <c r="H134" t="s">
        <v>241</v>
      </c>
      <c r="I134">
        <v>1</v>
      </c>
      <c r="J134" s="10">
        <v>0.27083333333333331</v>
      </c>
      <c r="K134" s="10">
        <v>0.34097222222222223</v>
      </c>
      <c r="L134" s="10">
        <f t="shared" si="0"/>
        <v>7.0138888888888917E-2</v>
      </c>
      <c r="M134" s="12">
        <f t="shared" si="1"/>
        <v>1.683333333333334</v>
      </c>
      <c r="N134" s="12">
        <f>InterviewsRaw[[#This Row],[Trip Hours]]*InterviewsRaw[[#This Row],['#Angler]]</f>
        <v>1.683333333333334</v>
      </c>
      <c r="O134" t="s">
        <v>342</v>
      </c>
      <c r="P134" t="s">
        <v>29</v>
      </c>
      <c r="R134" s="11">
        <v>0</v>
      </c>
      <c r="S134">
        <v>0</v>
      </c>
      <c r="T134">
        <v>0</v>
      </c>
      <c r="U134">
        <v>0</v>
      </c>
      <c r="V134" s="11">
        <v>0</v>
      </c>
      <c r="W134">
        <v>0</v>
      </c>
      <c r="X134">
        <v>0</v>
      </c>
      <c r="Y134">
        <v>0</v>
      </c>
      <c r="Z134" s="11">
        <f>InterviewsRaw[[#This Row],[Chi Kept]]+InterviewsRaw[[#This Row],[Chi Released]]</f>
        <v>0</v>
      </c>
      <c r="AA134">
        <f>InterviewsRaw[[#This Row],[Co Kept]]+InterviewsRaw[[#This Row],[Co Released ]]</f>
        <v>0</v>
      </c>
      <c r="AB134">
        <f>InterviewsRaw[[#This Row],[Pink Kept]]+InterviewsRaw[[#This Row],[Pink Released]]</f>
        <v>0</v>
      </c>
      <c r="AC134">
        <f>InterviewsRaw[[#This Row],[Chu Kept]]+InterviewsRaw[[#This Row],[Chu Released]]</f>
        <v>0</v>
      </c>
    </row>
    <row r="135" spans="1:29" x14ac:dyDescent="0.3">
      <c r="A135" s="7">
        <v>45976</v>
      </c>
      <c r="B135">
        <v>13</v>
      </c>
      <c r="C135" t="s">
        <v>250</v>
      </c>
      <c r="D135" t="s">
        <v>26</v>
      </c>
      <c r="E135">
        <v>2</v>
      </c>
      <c r="F135">
        <v>3</v>
      </c>
      <c r="G135">
        <v>8</v>
      </c>
      <c r="H135" t="s">
        <v>241</v>
      </c>
      <c r="I135">
        <v>3</v>
      </c>
      <c r="J135" s="10">
        <v>0.3125</v>
      </c>
      <c r="K135" s="10">
        <v>0.38333333333333336</v>
      </c>
      <c r="L135" s="10">
        <f t="shared" si="0"/>
        <v>7.0833333333333359E-2</v>
      </c>
      <c r="M135" s="12">
        <f t="shared" si="1"/>
        <v>1.7000000000000006</v>
      </c>
      <c r="N135" s="12">
        <f>InterviewsRaw[[#This Row],[Trip Hours]]*InterviewsRaw[[#This Row],['#Angler]]</f>
        <v>5.1000000000000014</v>
      </c>
      <c r="O135" t="s">
        <v>342</v>
      </c>
      <c r="R135" s="11">
        <v>0</v>
      </c>
      <c r="S135">
        <v>0</v>
      </c>
      <c r="T135">
        <v>0</v>
      </c>
      <c r="U135">
        <v>0</v>
      </c>
      <c r="V135" s="11">
        <v>0</v>
      </c>
      <c r="W135">
        <v>0</v>
      </c>
      <c r="X135">
        <v>0</v>
      </c>
      <c r="Y135">
        <v>0</v>
      </c>
      <c r="Z135" s="11">
        <f>InterviewsRaw[[#This Row],[Chi Kept]]+InterviewsRaw[[#This Row],[Chi Released]]</f>
        <v>0</v>
      </c>
      <c r="AA135">
        <f>InterviewsRaw[[#This Row],[Co Kept]]+InterviewsRaw[[#This Row],[Co Released ]]</f>
        <v>0</v>
      </c>
      <c r="AB135">
        <f>InterviewsRaw[[#This Row],[Pink Kept]]+InterviewsRaw[[#This Row],[Pink Released]]</f>
        <v>0</v>
      </c>
      <c r="AC135">
        <f>InterviewsRaw[[#This Row],[Chu Kept]]+InterviewsRaw[[#This Row],[Chu Released]]</f>
        <v>0</v>
      </c>
    </row>
    <row r="136" spans="1:29" x14ac:dyDescent="0.3">
      <c r="A136" s="7">
        <v>45976</v>
      </c>
      <c r="B136">
        <v>13</v>
      </c>
      <c r="C136" t="s">
        <v>250</v>
      </c>
      <c r="D136" t="s">
        <v>26</v>
      </c>
      <c r="E136">
        <v>3</v>
      </c>
      <c r="F136">
        <v>3</v>
      </c>
      <c r="G136">
        <v>8</v>
      </c>
      <c r="H136" t="s">
        <v>241</v>
      </c>
      <c r="I136">
        <v>1</v>
      </c>
      <c r="J136" s="10">
        <v>0.33333333333333331</v>
      </c>
      <c r="K136" s="10">
        <v>0.3840277777777778</v>
      </c>
      <c r="L136" s="10">
        <f t="shared" si="0"/>
        <v>5.0694444444444486E-2</v>
      </c>
      <c r="M136" s="12">
        <f t="shared" si="1"/>
        <v>1.2166666666666677</v>
      </c>
      <c r="N136" s="12">
        <f>InterviewsRaw[[#This Row],[Trip Hours]]*InterviewsRaw[[#This Row],['#Angler]]</f>
        <v>1.2166666666666677</v>
      </c>
      <c r="O136" t="s">
        <v>342</v>
      </c>
      <c r="Q136" t="s">
        <v>224</v>
      </c>
      <c r="R136" s="11">
        <v>0</v>
      </c>
      <c r="S136">
        <v>0</v>
      </c>
      <c r="T136">
        <v>0</v>
      </c>
      <c r="U136">
        <v>0</v>
      </c>
      <c r="V136" s="11">
        <v>0</v>
      </c>
      <c r="W136">
        <v>0</v>
      </c>
      <c r="X136">
        <v>0</v>
      </c>
      <c r="Y136">
        <v>0</v>
      </c>
      <c r="Z136" s="11">
        <f>InterviewsRaw[[#This Row],[Chi Kept]]+InterviewsRaw[[#This Row],[Chi Released]]</f>
        <v>0</v>
      </c>
      <c r="AA136">
        <f>InterviewsRaw[[#This Row],[Co Kept]]+InterviewsRaw[[#This Row],[Co Released ]]</f>
        <v>0</v>
      </c>
      <c r="AB136">
        <f>InterviewsRaw[[#This Row],[Pink Kept]]+InterviewsRaw[[#This Row],[Pink Released]]</f>
        <v>0</v>
      </c>
      <c r="AC136">
        <f>InterviewsRaw[[#This Row],[Chu Kept]]+InterviewsRaw[[#This Row],[Chu Released]]</f>
        <v>0</v>
      </c>
    </row>
    <row r="137" spans="1:29" x14ac:dyDescent="0.3">
      <c r="A137" s="7">
        <v>45976</v>
      </c>
      <c r="B137">
        <v>13</v>
      </c>
      <c r="C137" t="s">
        <v>250</v>
      </c>
      <c r="D137" t="s">
        <v>26</v>
      </c>
      <c r="E137">
        <v>4</v>
      </c>
      <c r="F137">
        <v>3</v>
      </c>
      <c r="G137">
        <v>8</v>
      </c>
      <c r="H137" t="s">
        <v>241</v>
      </c>
      <c r="I137">
        <v>1</v>
      </c>
      <c r="J137" s="10">
        <v>0.36458333333333331</v>
      </c>
      <c r="K137" s="10">
        <v>0.38680555555555557</v>
      </c>
      <c r="L137" s="10">
        <f t="shared" si="0"/>
        <v>2.2222222222222254E-2</v>
      </c>
      <c r="M137" s="12">
        <f t="shared" si="1"/>
        <v>0.5333333333333341</v>
      </c>
      <c r="N137" s="12">
        <f>InterviewsRaw[[#This Row],[Trip Hours]]*InterviewsRaw[[#This Row],['#Angler]]</f>
        <v>0.5333333333333341</v>
      </c>
      <c r="O137" t="s">
        <v>342</v>
      </c>
      <c r="P137" t="s">
        <v>29</v>
      </c>
      <c r="Q137" t="s">
        <v>224</v>
      </c>
      <c r="R137" s="11">
        <v>0</v>
      </c>
      <c r="S137">
        <v>0</v>
      </c>
      <c r="T137">
        <v>0</v>
      </c>
      <c r="U137">
        <v>0</v>
      </c>
      <c r="V137" s="11">
        <v>0</v>
      </c>
      <c r="W137">
        <v>0</v>
      </c>
      <c r="X137">
        <v>0</v>
      </c>
      <c r="Y137">
        <v>0</v>
      </c>
      <c r="Z137" s="11">
        <f>InterviewsRaw[[#This Row],[Chi Kept]]+InterviewsRaw[[#This Row],[Chi Released]]</f>
        <v>0</v>
      </c>
      <c r="AA137">
        <f>InterviewsRaw[[#This Row],[Co Kept]]+InterviewsRaw[[#This Row],[Co Released ]]</f>
        <v>0</v>
      </c>
      <c r="AB137">
        <f>InterviewsRaw[[#This Row],[Pink Kept]]+InterviewsRaw[[#This Row],[Pink Released]]</f>
        <v>0</v>
      </c>
      <c r="AC137">
        <f>InterviewsRaw[[#This Row],[Chu Kept]]+InterviewsRaw[[#This Row],[Chu Released]]</f>
        <v>0</v>
      </c>
    </row>
    <row r="138" spans="1:29" x14ac:dyDescent="0.3">
      <c r="A138" s="7">
        <v>45976</v>
      </c>
      <c r="B138">
        <v>13</v>
      </c>
      <c r="C138" t="s">
        <v>250</v>
      </c>
      <c r="D138" t="s">
        <v>26</v>
      </c>
      <c r="E138">
        <v>5</v>
      </c>
      <c r="F138">
        <v>3</v>
      </c>
      <c r="G138">
        <v>6</v>
      </c>
      <c r="H138" t="s">
        <v>241</v>
      </c>
      <c r="I138">
        <v>1</v>
      </c>
      <c r="J138" s="10">
        <v>0.3125</v>
      </c>
      <c r="K138" s="10">
        <v>0.35416666666666669</v>
      </c>
      <c r="L138" s="10">
        <f t="shared" si="0"/>
        <v>4.1666666666666685E-2</v>
      </c>
      <c r="M138" s="12">
        <f t="shared" si="1"/>
        <v>1.0000000000000004</v>
      </c>
      <c r="N138" s="12">
        <f>InterviewsRaw[[#This Row],[Trip Hours]]*InterviewsRaw[[#This Row],['#Angler]]</f>
        <v>1.0000000000000004</v>
      </c>
      <c r="O138" t="s">
        <v>349</v>
      </c>
      <c r="Q138" t="s">
        <v>224</v>
      </c>
      <c r="R138" s="11">
        <v>0</v>
      </c>
      <c r="S138">
        <v>0</v>
      </c>
      <c r="T138">
        <v>0</v>
      </c>
      <c r="U138">
        <v>0</v>
      </c>
      <c r="V138" s="11">
        <v>0</v>
      </c>
      <c r="W138">
        <v>0</v>
      </c>
      <c r="X138">
        <v>0</v>
      </c>
      <c r="Y138">
        <v>0</v>
      </c>
      <c r="Z138" s="11">
        <f>InterviewsRaw[[#This Row],[Chi Kept]]+InterviewsRaw[[#This Row],[Chi Released]]</f>
        <v>0</v>
      </c>
      <c r="AA138">
        <f>InterviewsRaw[[#This Row],[Co Kept]]+InterviewsRaw[[#This Row],[Co Released ]]</f>
        <v>0</v>
      </c>
      <c r="AB138">
        <f>InterviewsRaw[[#This Row],[Pink Kept]]+InterviewsRaw[[#This Row],[Pink Released]]</f>
        <v>0</v>
      </c>
      <c r="AC138">
        <f>InterviewsRaw[[#This Row],[Chu Kept]]+InterviewsRaw[[#This Row],[Chu Released]]</f>
        <v>0</v>
      </c>
    </row>
    <row r="139" spans="1:29" x14ac:dyDescent="0.3">
      <c r="A139" s="7">
        <v>45976</v>
      </c>
      <c r="B139">
        <v>13</v>
      </c>
      <c r="C139" t="s">
        <v>250</v>
      </c>
      <c r="D139" t="s">
        <v>26</v>
      </c>
      <c r="E139">
        <v>6</v>
      </c>
      <c r="F139">
        <v>3</v>
      </c>
      <c r="G139">
        <v>8</v>
      </c>
      <c r="H139" t="s">
        <v>241</v>
      </c>
      <c r="I139">
        <v>2</v>
      </c>
      <c r="J139" s="10">
        <v>0.35416666666666669</v>
      </c>
      <c r="K139" s="10">
        <v>0.39513888888888887</v>
      </c>
      <c r="L139" s="10">
        <f t="shared" si="0"/>
        <v>4.0972222222222188E-2</v>
      </c>
      <c r="M139" s="12">
        <f t="shared" si="1"/>
        <v>0.9833333333333325</v>
      </c>
      <c r="N139" s="12">
        <f>InterviewsRaw[[#This Row],[Trip Hours]]*InterviewsRaw[[#This Row],['#Angler]]</f>
        <v>1.966666666666665</v>
      </c>
      <c r="O139" t="s">
        <v>349</v>
      </c>
      <c r="P139" t="s">
        <v>29</v>
      </c>
      <c r="R139" s="11">
        <v>0</v>
      </c>
      <c r="S139">
        <v>0</v>
      </c>
      <c r="T139">
        <v>0</v>
      </c>
      <c r="U139">
        <v>0</v>
      </c>
      <c r="V139" s="11">
        <v>0</v>
      </c>
      <c r="W139">
        <v>0</v>
      </c>
      <c r="X139">
        <v>0</v>
      </c>
      <c r="Y139">
        <v>0</v>
      </c>
      <c r="Z139" s="11">
        <f>InterviewsRaw[[#This Row],[Chi Kept]]+InterviewsRaw[[#This Row],[Chi Released]]</f>
        <v>0</v>
      </c>
      <c r="AA139">
        <f>InterviewsRaw[[#This Row],[Co Kept]]+InterviewsRaw[[#This Row],[Co Released ]]</f>
        <v>0</v>
      </c>
      <c r="AB139">
        <f>InterviewsRaw[[#This Row],[Pink Kept]]+InterviewsRaw[[#This Row],[Pink Released]]</f>
        <v>0</v>
      </c>
      <c r="AC139">
        <f>InterviewsRaw[[#This Row],[Chu Kept]]+InterviewsRaw[[#This Row],[Chu Released]]</f>
        <v>0</v>
      </c>
    </row>
    <row r="140" spans="1:29" x14ac:dyDescent="0.3">
      <c r="A140" s="7">
        <v>45976</v>
      </c>
      <c r="B140">
        <v>13</v>
      </c>
      <c r="C140" t="s">
        <v>250</v>
      </c>
      <c r="D140" t="s">
        <v>26</v>
      </c>
      <c r="E140">
        <v>7</v>
      </c>
      <c r="F140">
        <v>4</v>
      </c>
      <c r="G140">
        <v>3</v>
      </c>
      <c r="H140" t="s">
        <v>241</v>
      </c>
      <c r="I140">
        <v>1</v>
      </c>
      <c r="J140" s="10">
        <v>0.29166666666666669</v>
      </c>
      <c r="K140" s="10">
        <v>0.42499999999999999</v>
      </c>
      <c r="L140" s="10">
        <f t="shared" si="0"/>
        <v>0.1333333333333333</v>
      </c>
      <c r="M140" s="12">
        <f t="shared" si="1"/>
        <v>3.1999999999999993</v>
      </c>
      <c r="N140" s="12">
        <f>InterviewsRaw[[#This Row],[Trip Hours]]*InterviewsRaw[[#This Row],['#Angler]]</f>
        <v>3.1999999999999993</v>
      </c>
      <c r="O140" t="s">
        <v>342</v>
      </c>
      <c r="P140" t="s">
        <v>29</v>
      </c>
      <c r="R140" s="11">
        <v>0</v>
      </c>
      <c r="S140">
        <v>0</v>
      </c>
      <c r="T140">
        <v>0</v>
      </c>
      <c r="U140">
        <v>0</v>
      </c>
      <c r="V140" s="11">
        <v>0</v>
      </c>
      <c r="W140">
        <v>0</v>
      </c>
      <c r="X140">
        <v>0</v>
      </c>
      <c r="Y140">
        <v>0</v>
      </c>
      <c r="Z140" s="11">
        <f>InterviewsRaw[[#This Row],[Chi Kept]]+InterviewsRaw[[#This Row],[Chi Released]]</f>
        <v>0</v>
      </c>
      <c r="AA140">
        <f>InterviewsRaw[[#This Row],[Co Kept]]+InterviewsRaw[[#This Row],[Co Released ]]</f>
        <v>0</v>
      </c>
      <c r="AB140">
        <f>InterviewsRaw[[#This Row],[Pink Kept]]+InterviewsRaw[[#This Row],[Pink Released]]</f>
        <v>0</v>
      </c>
      <c r="AC140">
        <f>InterviewsRaw[[#This Row],[Chu Kept]]+InterviewsRaw[[#This Row],[Chu Released]]</f>
        <v>0</v>
      </c>
    </row>
    <row r="141" spans="1:29" x14ac:dyDescent="0.3">
      <c r="A141" s="7">
        <v>45976</v>
      </c>
      <c r="B141">
        <v>13</v>
      </c>
      <c r="C141" t="s">
        <v>250</v>
      </c>
      <c r="D141" t="s">
        <v>26</v>
      </c>
      <c r="E141">
        <v>8</v>
      </c>
      <c r="F141">
        <v>4</v>
      </c>
      <c r="G141">
        <v>5</v>
      </c>
      <c r="H141" t="s">
        <v>241</v>
      </c>
      <c r="I141">
        <v>1</v>
      </c>
      <c r="J141" s="10">
        <v>0.375</v>
      </c>
      <c r="K141" s="10">
        <v>0.45208333333333334</v>
      </c>
      <c r="L141" s="10">
        <f t="shared" si="0"/>
        <v>7.7083333333333337E-2</v>
      </c>
      <c r="M141" s="12">
        <f t="shared" si="1"/>
        <v>1.85</v>
      </c>
      <c r="N141" s="12">
        <f>InterviewsRaw[[#This Row],[Trip Hours]]*InterviewsRaw[[#This Row],['#Angler]]</f>
        <v>1.85</v>
      </c>
      <c r="O141" t="s">
        <v>342</v>
      </c>
      <c r="Q141" t="s">
        <v>224</v>
      </c>
      <c r="R141" s="11">
        <v>0</v>
      </c>
      <c r="S141">
        <v>0</v>
      </c>
      <c r="T141">
        <v>0</v>
      </c>
      <c r="U141">
        <v>0</v>
      </c>
      <c r="V141" s="11">
        <v>0</v>
      </c>
      <c r="W141">
        <v>0</v>
      </c>
      <c r="X141">
        <v>0</v>
      </c>
      <c r="Y141">
        <v>0</v>
      </c>
      <c r="Z141" s="11">
        <f>InterviewsRaw[[#This Row],[Chi Kept]]+InterviewsRaw[[#This Row],[Chi Released]]</f>
        <v>0</v>
      </c>
      <c r="AA141">
        <f>InterviewsRaw[[#This Row],[Co Kept]]+InterviewsRaw[[#This Row],[Co Released ]]</f>
        <v>0</v>
      </c>
      <c r="AB141">
        <f>InterviewsRaw[[#This Row],[Pink Kept]]+InterviewsRaw[[#This Row],[Pink Released]]</f>
        <v>0</v>
      </c>
      <c r="AC141">
        <f>InterviewsRaw[[#This Row],[Chu Kept]]+InterviewsRaw[[#This Row],[Chu Released]]</f>
        <v>0</v>
      </c>
    </row>
    <row r="142" spans="1:29" x14ac:dyDescent="0.3">
      <c r="A142" s="7">
        <v>45976</v>
      </c>
      <c r="B142">
        <v>13</v>
      </c>
      <c r="C142" t="s">
        <v>250</v>
      </c>
      <c r="D142" t="s">
        <v>26</v>
      </c>
      <c r="E142">
        <v>9</v>
      </c>
      <c r="F142">
        <v>4</v>
      </c>
      <c r="G142">
        <v>5</v>
      </c>
      <c r="H142" t="s">
        <v>241</v>
      </c>
      <c r="I142">
        <v>2</v>
      </c>
      <c r="J142" s="10">
        <v>0.33333333333333331</v>
      </c>
      <c r="K142" s="10">
        <v>0.45624999999999999</v>
      </c>
      <c r="L142" s="10">
        <f t="shared" si="0"/>
        <v>0.12291666666666667</v>
      </c>
      <c r="M142" s="12">
        <f t="shared" si="1"/>
        <v>2.95</v>
      </c>
      <c r="N142" s="12">
        <f>InterviewsRaw[[#This Row],[Trip Hours]]*InterviewsRaw[[#This Row],['#Angler]]</f>
        <v>5.9</v>
      </c>
      <c r="O142" t="s">
        <v>342</v>
      </c>
      <c r="Q142" t="s">
        <v>238</v>
      </c>
      <c r="R142" s="11">
        <v>0</v>
      </c>
      <c r="S142">
        <v>0</v>
      </c>
      <c r="T142">
        <v>0</v>
      </c>
      <c r="U142">
        <v>0</v>
      </c>
      <c r="V142" s="11">
        <v>0</v>
      </c>
      <c r="W142">
        <v>0</v>
      </c>
      <c r="X142">
        <v>0</v>
      </c>
      <c r="Y142">
        <v>0</v>
      </c>
      <c r="Z142" s="11">
        <f>InterviewsRaw[[#This Row],[Chi Kept]]+InterviewsRaw[[#This Row],[Chi Released]]</f>
        <v>0</v>
      </c>
      <c r="AA142">
        <f>InterviewsRaw[[#This Row],[Co Kept]]+InterviewsRaw[[#This Row],[Co Released ]]</f>
        <v>0</v>
      </c>
      <c r="AB142">
        <f>InterviewsRaw[[#This Row],[Pink Kept]]+InterviewsRaw[[#This Row],[Pink Released]]</f>
        <v>0</v>
      </c>
      <c r="AC142">
        <f>InterviewsRaw[[#This Row],[Chu Kept]]+InterviewsRaw[[#This Row],[Chu Released]]</f>
        <v>0</v>
      </c>
    </row>
    <row r="143" spans="1:29" x14ac:dyDescent="0.3">
      <c r="A143" s="7">
        <v>45976</v>
      </c>
      <c r="B143">
        <v>13</v>
      </c>
      <c r="C143" t="s">
        <v>250</v>
      </c>
      <c r="D143" t="s">
        <v>42</v>
      </c>
      <c r="E143">
        <v>10</v>
      </c>
      <c r="F143">
        <v>3</v>
      </c>
      <c r="G143">
        <v>6</v>
      </c>
      <c r="H143" t="s">
        <v>241</v>
      </c>
      <c r="I143">
        <v>1</v>
      </c>
      <c r="J143" s="10">
        <v>0.375</v>
      </c>
      <c r="K143" s="10">
        <v>0.54861111111111116</v>
      </c>
      <c r="L143" s="10">
        <f t="shared" si="0"/>
        <v>0.17361111111111116</v>
      </c>
      <c r="M143" s="12">
        <f t="shared" si="1"/>
        <v>4.1666666666666679</v>
      </c>
      <c r="N143" s="12">
        <f>InterviewsRaw[[#This Row],[Trip Hours]]*InterviewsRaw[[#This Row],['#Angler]]</f>
        <v>4.1666666666666679</v>
      </c>
      <c r="O143" t="s">
        <v>342</v>
      </c>
      <c r="P143" t="s">
        <v>29</v>
      </c>
      <c r="Q143" t="s">
        <v>224</v>
      </c>
      <c r="R143" s="11">
        <v>0</v>
      </c>
      <c r="S143">
        <v>0</v>
      </c>
      <c r="T143">
        <v>0</v>
      </c>
      <c r="U143">
        <v>0</v>
      </c>
      <c r="V143" s="11">
        <v>0</v>
      </c>
      <c r="W143">
        <v>0</v>
      </c>
      <c r="X143">
        <v>0</v>
      </c>
      <c r="Y143">
        <v>0</v>
      </c>
      <c r="Z143" s="11">
        <f>InterviewsRaw[[#This Row],[Chi Kept]]+InterviewsRaw[[#This Row],[Chi Released]]</f>
        <v>0</v>
      </c>
      <c r="AA143">
        <f>InterviewsRaw[[#This Row],[Co Kept]]+InterviewsRaw[[#This Row],[Co Released ]]</f>
        <v>0</v>
      </c>
      <c r="AB143">
        <f>InterviewsRaw[[#This Row],[Pink Kept]]+InterviewsRaw[[#This Row],[Pink Released]]</f>
        <v>0</v>
      </c>
      <c r="AC143">
        <f>InterviewsRaw[[#This Row],[Chu Kept]]+InterviewsRaw[[#This Row],[Chu Released]]</f>
        <v>0</v>
      </c>
    </row>
    <row r="144" spans="1:29" x14ac:dyDescent="0.3">
      <c r="A144" s="7">
        <v>45976</v>
      </c>
      <c r="B144">
        <v>13</v>
      </c>
      <c r="C144" t="s">
        <v>250</v>
      </c>
      <c r="D144" t="s">
        <v>42</v>
      </c>
      <c r="E144">
        <v>11</v>
      </c>
      <c r="F144">
        <v>3</v>
      </c>
      <c r="G144">
        <v>6</v>
      </c>
      <c r="H144" t="s">
        <v>241</v>
      </c>
      <c r="I144">
        <v>1</v>
      </c>
      <c r="J144" s="10">
        <v>0.2951388888888889</v>
      </c>
      <c r="K144" s="10">
        <v>0.54861111111111116</v>
      </c>
      <c r="L144" s="10">
        <f t="shared" si="0"/>
        <v>0.25347222222222227</v>
      </c>
      <c r="M144" s="12">
        <f t="shared" si="1"/>
        <v>6.0833333333333339</v>
      </c>
      <c r="N144" s="12">
        <f>InterviewsRaw[[#This Row],[Trip Hours]]*InterviewsRaw[[#This Row],['#Angler]]</f>
        <v>6.0833333333333339</v>
      </c>
      <c r="O144" t="s">
        <v>342</v>
      </c>
      <c r="P144" t="s">
        <v>29</v>
      </c>
      <c r="Q144" t="s">
        <v>224</v>
      </c>
      <c r="R144" s="11">
        <v>0</v>
      </c>
      <c r="S144">
        <v>0</v>
      </c>
      <c r="T144">
        <v>0</v>
      </c>
      <c r="U144">
        <v>0</v>
      </c>
      <c r="V144" s="11">
        <v>0</v>
      </c>
      <c r="W144">
        <v>0</v>
      </c>
      <c r="X144">
        <v>0</v>
      </c>
      <c r="Y144">
        <v>0</v>
      </c>
      <c r="Z144" s="11">
        <f>InterviewsRaw[[#This Row],[Chi Kept]]+InterviewsRaw[[#This Row],[Chi Released]]</f>
        <v>0</v>
      </c>
      <c r="AA144">
        <f>InterviewsRaw[[#This Row],[Co Kept]]+InterviewsRaw[[#This Row],[Co Released ]]</f>
        <v>0</v>
      </c>
      <c r="AB144">
        <f>InterviewsRaw[[#This Row],[Pink Kept]]+InterviewsRaw[[#This Row],[Pink Released]]</f>
        <v>0</v>
      </c>
      <c r="AC144">
        <f>InterviewsRaw[[#This Row],[Chu Kept]]+InterviewsRaw[[#This Row],[Chu Released]]</f>
        <v>0</v>
      </c>
    </row>
    <row r="145" spans="1:29" x14ac:dyDescent="0.3">
      <c r="A145" s="7">
        <v>45976</v>
      </c>
      <c r="B145">
        <v>13</v>
      </c>
      <c r="C145" t="s">
        <v>250</v>
      </c>
      <c r="D145" t="s">
        <v>42</v>
      </c>
      <c r="E145">
        <v>12</v>
      </c>
      <c r="F145">
        <v>3</v>
      </c>
      <c r="G145">
        <v>8</v>
      </c>
      <c r="H145" t="s">
        <v>241</v>
      </c>
      <c r="I145">
        <v>1</v>
      </c>
      <c r="J145" s="10">
        <v>0.41666666666666669</v>
      </c>
      <c r="K145" s="10">
        <v>0.5854166666666667</v>
      </c>
      <c r="L145" s="10">
        <f t="shared" si="0"/>
        <v>0.16875000000000001</v>
      </c>
      <c r="M145" s="12">
        <f t="shared" si="1"/>
        <v>4.0500000000000007</v>
      </c>
      <c r="N145" s="12">
        <f>InterviewsRaw[[#This Row],[Trip Hours]]*InterviewsRaw[[#This Row],['#Angler]]</f>
        <v>4.0500000000000007</v>
      </c>
      <c r="O145" t="s">
        <v>342</v>
      </c>
      <c r="P145" t="s">
        <v>29</v>
      </c>
      <c r="Q145" t="s">
        <v>224</v>
      </c>
      <c r="R145" s="11">
        <v>0</v>
      </c>
      <c r="S145">
        <v>0</v>
      </c>
      <c r="T145">
        <v>0</v>
      </c>
      <c r="U145">
        <v>2</v>
      </c>
      <c r="V145" s="11">
        <v>0</v>
      </c>
      <c r="W145">
        <v>0</v>
      </c>
      <c r="X145">
        <v>0</v>
      </c>
      <c r="Y145">
        <v>0</v>
      </c>
      <c r="Z145" s="11">
        <f>InterviewsRaw[[#This Row],[Chi Kept]]+InterviewsRaw[[#This Row],[Chi Released]]</f>
        <v>0</v>
      </c>
      <c r="AA145">
        <f>InterviewsRaw[[#This Row],[Co Kept]]+InterviewsRaw[[#This Row],[Co Released ]]</f>
        <v>0</v>
      </c>
      <c r="AB145">
        <f>InterviewsRaw[[#This Row],[Pink Kept]]+InterviewsRaw[[#This Row],[Pink Released]]</f>
        <v>0</v>
      </c>
      <c r="AC145">
        <f>InterviewsRaw[[#This Row],[Chu Kept]]+InterviewsRaw[[#This Row],[Chu Released]]</f>
        <v>2</v>
      </c>
    </row>
    <row r="146" spans="1:29" x14ac:dyDescent="0.3">
      <c r="A146" s="7">
        <v>45976</v>
      </c>
      <c r="B146">
        <v>13</v>
      </c>
      <c r="C146" t="s">
        <v>250</v>
      </c>
      <c r="D146" t="s">
        <v>42</v>
      </c>
      <c r="E146">
        <v>13</v>
      </c>
      <c r="F146">
        <v>3</v>
      </c>
      <c r="G146">
        <v>8</v>
      </c>
      <c r="H146" t="s">
        <v>241</v>
      </c>
      <c r="I146">
        <v>2</v>
      </c>
      <c r="J146" s="10">
        <v>0.33333333333333331</v>
      </c>
      <c r="K146" s="10">
        <v>0.58958333333333335</v>
      </c>
      <c r="L146" s="10">
        <f t="shared" si="0"/>
        <v>0.25625000000000003</v>
      </c>
      <c r="M146" s="12">
        <f t="shared" si="1"/>
        <v>6.15</v>
      </c>
      <c r="N146" s="12">
        <f>InterviewsRaw[[#This Row],[Trip Hours]]*InterviewsRaw[[#This Row],['#Angler]]</f>
        <v>12.3</v>
      </c>
      <c r="O146" t="s">
        <v>342</v>
      </c>
      <c r="Q146" t="s">
        <v>224</v>
      </c>
      <c r="R146" s="11">
        <v>0</v>
      </c>
      <c r="S146">
        <v>0</v>
      </c>
      <c r="T146">
        <v>0</v>
      </c>
      <c r="U146">
        <v>1</v>
      </c>
      <c r="V146" s="11">
        <v>0</v>
      </c>
      <c r="W146">
        <v>0</v>
      </c>
      <c r="X146">
        <v>0</v>
      </c>
      <c r="Y146">
        <v>0</v>
      </c>
      <c r="Z146" s="11">
        <f>InterviewsRaw[[#This Row],[Chi Kept]]+InterviewsRaw[[#This Row],[Chi Released]]</f>
        <v>0</v>
      </c>
      <c r="AA146">
        <f>InterviewsRaw[[#This Row],[Co Kept]]+InterviewsRaw[[#This Row],[Co Released ]]</f>
        <v>0</v>
      </c>
      <c r="AB146">
        <f>InterviewsRaw[[#This Row],[Pink Kept]]+InterviewsRaw[[#This Row],[Pink Released]]</f>
        <v>0</v>
      </c>
      <c r="AC146">
        <f>InterviewsRaw[[#This Row],[Chu Kept]]+InterviewsRaw[[#This Row],[Chu Released]]</f>
        <v>1</v>
      </c>
    </row>
    <row r="147" spans="1:29" x14ac:dyDescent="0.3">
      <c r="A147" s="7">
        <v>45976</v>
      </c>
      <c r="B147">
        <v>13</v>
      </c>
      <c r="C147" t="s">
        <v>250</v>
      </c>
      <c r="D147" t="s">
        <v>42</v>
      </c>
      <c r="E147">
        <v>14</v>
      </c>
      <c r="F147">
        <v>3</v>
      </c>
      <c r="G147">
        <v>8</v>
      </c>
      <c r="H147" t="s">
        <v>241</v>
      </c>
      <c r="I147">
        <v>1</v>
      </c>
      <c r="J147" s="10">
        <v>0.5625</v>
      </c>
      <c r="K147" s="10">
        <v>0.59305555555555556</v>
      </c>
      <c r="L147" s="10">
        <f t="shared" si="0"/>
        <v>3.0555555555555558E-2</v>
      </c>
      <c r="M147" s="12">
        <f t="shared" si="1"/>
        <v>0.73333333333333339</v>
      </c>
      <c r="N147" s="12">
        <f>InterviewsRaw[[#This Row],[Trip Hours]]*InterviewsRaw[[#This Row],['#Angler]]</f>
        <v>0.73333333333333339</v>
      </c>
      <c r="O147" t="s">
        <v>342</v>
      </c>
      <c r="R147" s="11">
        <v>0</v>
      </c>
      <c r="S147">
        <v>0</v>
      </c>
      <c r="T147">
        <v>0</v>
      </c>
      <c r="U147">
        <v>0</v>
      </c>
      <c r="V147" s="11">
        <v>0</v>
      </c>
      <c r="W147">
        <v>0</v>
      </c>
      <c r="X147">
        <v>0</v>
      </c>
      <c r="Y147">
        <v>0</v>
      </c>
      <c r="Z147" s="11">
        <f>InterviewsRaw[[#This Row],[Chi Kept]]+InterviewsRaw[[#This Row],[Chi Released]]</f>
        <v>0</v>
      </c>
      <c r="AA147">
        <f>InterviewsRaw[[#This Row],[Co Kept]]+InterviewsRaw[[#This Row],[Co Released ]]</f>
        <v>0</v>
      </c>
      <c r="AB147">
        <f>InterviewsRaw[[#This Row],[Pink Kept]]+InterviewsRaw[[#This Row],[Pink Released]]</f>
        <v>0</v>
      </c>
      <c r="AC147">
        <f>InterviewsRaw[[#This Row],[Chu Kept]]+InterviewsRaw[[#This Row],[Chu Released]]</f>
        <v>0</v>
      </c>
    </row>
    <row r="148" spans="1:29" x14ac:dyDescent="0.3">
      <c r="A148" s="7">
        <v>45976</v>
      </c>
      <c r="B148">
        <v>13</v>
      </c>
      <c r="C148" t="s">
        <v>250</v>
      </c>
      <c r="D148" t="s">
        <v>42</v>
      </c>
      <c r="E148">
        <v>15</v>
      </c>
      <c r="F148">
        <v>4</v>
      </c>
      <c r="G148">
        <v>3</v>
      </c>
      <c r="H148" t="s">
        <v>241</v>
      </c>
      <c r="I148">
        <v>3</v>
      </c>
      <c r="J148" s="10">
        <v>0.47916666666666669</v>
      </c>
      <c r="K148" s="10">
        <v>0.62152777777777779</v>
      </c>
      <c r="L148" s="10">
        <f t="shared" si="0"/>
        <v>0.1423611111111111</v>
      </c>
      <c r="M148" s="12">
        <f t="shared" si="1"/>
        <v>3.4166666666666665</v>
      </c>
      <c r="N148" s="12">
        <f>InterviewsRaw[[#This Row],[Trip Hours]]*InterviewsRaw[[#This Row],['#Angler]]</f>
        <v>10.25</v>
      </c>
      <c r="O148" t="s">
        <v>342</v>
      </c>
      <c r="Q148" t="s">
        <v>224</v>
      </c>
      <c r="R148" s="11">
        <v>0</v>
      </c>
      <c r="S148">
        <v>0</v>
      </c>
      <c r="T148">
        <v>0</v>
      </c>
      <c r="U148">
        <v>0</v>
      </c>
      <c r="V148" s="11">
        <v>0</v>
      </c>
      <c r="W148">
        <v>0</v>
      </c>
      <c r="X148">
        <v>0</v>
      </c>
      <c r="Y148">
        <v>1</v>
      </c>
      <c r="Z148" s="11">
        <f>InterviewsRaw[[#This Row],[Chi Kept]]+InterviewsRaw[[#This Row],[Chi Released]]</f>
        <v>0</v>
      </c>
      <c r="AA148">
        <f>InterviewsRaw[[#This Row],[Co Kept]]+InterviewsRaw[[#This Row],[Co Released ]]</f>
        <v>0</v>
      </c>
      <c r="AB148">
        <f>InterviewsRaw[[#This Row],[Pink Kept]]+InterviewsRaw[[#This Row],[Pink Released]]</f>
        <v>0</v>
      </c>
      <c r="AC148">
        <f>InterviewsRaw[[#This Row],[Chu Kept]]+InterviewsRaw[[#This Row],[Chu Released]]</f>
        <v>1</v>
      </c>
    </row>
    <row r="149" spans="1:29" x14ac:dyDescent="0.3">
      <c r="A149" s="7">
        <v>45976</v>
      </c>
      <c r="B149">
        <v>13</v>
      </c>
      <c r="C149" t="s">
        <v>250</v>
      </c>
      <c r="D149" t="s">
        <v>42</v>
      </c>
      <c r="E149">
        <v>16</v>
      </c>
      <c r="F149">
        <v>4</v>
      </c>
      <c r="G149">
        <v>3</v>
      </c>
      <c r="H149" t="s">
        <v>241</v>
      </c>
      <c r="I149">
        <v>1</v>
      </c>
      <c r="J149" s="10">
        <v>0.4375</v>
      </c>
      <c r="K149" s="10">
        <v>0.62222222222222223</v>
      </c>
      <c r="L149" s="10">
        <f t="shared" si="0"/>
        <v>0.18472222222222223</v>
      </c>
      <c r="M149" s="12">
        <f t="shared" si="1"/>
        <v>4.4333333333333336</v>
      </c>
      <c r="N149" s="12">
        <f>InterviewsRaw[[#This Row],[Trip Hours]]*InterviewsRaw[[#This Row],['#Angler]]</f>
        <v>4.4333333333333336</v>
      </c>
      <c r="O149" t="s">
        <v>342</v>
      </c>
      <c r="P149" t="s">
        <v>29</v>
      </c>
      <c r="R149" s="11">
        <v>0</v>
      </c>
      <c r="S149">
        <v>0</v>
      </c>
      <c r="T149">
        <v>0</v>
      </c>
      <c r="U149">
        <v>0</v>
      </c>
      <c r="V149" s="11">
        <v>0</v>
      </c>
      <c r="W149">
        <v>0</v>
      </c>
      <c r="X149">
        <v>0</v>
      </c>
      <c r="Y149">
        <v>0</v>
      </c>
      <c r="Z149" s="11">
        <f>InterviewsRaw[[#This Row],[Chi Kept]]+InterviewsRaw[[#This Row],[Chi Released]]</f>
        <v>0</v>
      </c>
      <c r="AA149">
        <f>InterviewsRaw[[#This Row],[Co Kept]]+InterviewsRaw[[#This Row],[Co Released ]]</f>
        <v>0</v>
      </c>
      <c r="AB149">
        <f>InterviewsRaw[[#This Row],[Pink Kept]]+InterviewsRaw[[#This Row],[Pink Released]]</f>
        <v>0</v>
      </c>
      <c r="AC149">
        <f>InterviewsRaw[[#This Row],[Chu Kept]]+InterviewsRaw[[#This Row],[Chu Released]]</f>
        <v>0</v>
      </c>
    </row>
    <row r="150" spans="1:29" x14ac:dyDescent="0.3">
      <c r="A150" s="7">
        <v>45976</v>
      </c>
      <c r="B150">
        <v>13</v>
      </c>
      <c r="C150" t="s">
        <v>250</v>
      </c>
      <c r="D150" t="s">
        <v>42</v>
      </c>
      <c r="E150">
        <v>17</v>
      </c>
      <c r="F150">
        <v>4</v>
      </c>
      <c r="G150">
        <v>3</v>
      </c>
      <c r="H150" t="s">
        <v>241</v>
      </c>
      <c r="I150">
        <v>1</v>
      </c>
      <c r="J150" s="10">
        <v>0.55208333333333337</v>
      </c>
      <c r="K150" s="10">
        <v>0.63680555555555551</v>
      </c>
      <c r="L150" s="10">
        <f t="shared" si="0"/>
        <v>8.4722222222222143E-2</v>
      </c>
      <c r="M150" s="12">
        <f t="shared" si="1"/>
        <v>2.0333333333333314</v>
      </c>
      <c r="N150" s="12">
        <f>InterviewsRaw[[#This Row],[Trip Hours]]*InterviewsRaw[[#This Row],['#Angler]]</f>
        <v>2.0333333333333314</v>
      </c>
      <c r="O150" t="s">
        <v>342</v>
      </c>
      <c r="P150" t="s">
        <v>186</v>
      </c>
      <c r="Q150" t="s">
        <v>224</v>
      </c>
      <c r="R150" s="11">
        <v>0</v>
      </c>
      <c r="S150">
        <v>0</v>
      </c>
      <c r="T150">
        <v>0</v>
      </c>
      <c r="U150">
        <v>0</v>
      </c>
      <c r="V150" s="11">
        <v>0</v>
      </c>
      <c r="W150">
        <v>0</v>
      </c>
      <c r="X150">
        <v>0</v>
      </c>
      <c r="Y150">
        <v>3</v>
      </c>
      <c r="Z150" s="11">
        <f>InterviewsRaw[[#This Row],[Chi Kept]]+InterviewsRaw[[#This Row],[Chi Released]]</f>
        <v>0</v>
      </c>
      <c r="AA150">
        <f>InterviewsRaw[[#This Row],[Co Kept]]+InterviewsRaw[[#This Row],[Co Released ]]</f>
        <v>0</v>
      </c>
      <c r="AB150">
        <f>InterviewsRaw[[#This Row],[Pink Kept]]+InterviewsRaw[[#This Row],[Pink Released]]</f>
        <v>0</v>
      </c>
      <c r="AC150">
        <f>InterviewsRaw[[#This Row],[Chu Kept]]+InterviewsRaw[[#This Row],[Chu Released]]</f>
        <v>3</v>
      </c>
    </row>
    <row r="151" spans="1:29" x14ac:dyDescent="0.3">
      <c r="A151" s="7">
        <v>45976</v>
      </c>
      <c r="B151">
        <v>13</v>
      </c>
      <c r="C151" t="s">
        <v>250</v>
      </c>
      <c r="D151" t="s">
        <v>42</v>
      </c>
      <c r="E151">
        <v>18</v>
      </c>
      <c r="F151">
        <v>4</v>
      </c>
      <c r="G151">
        <v>3</v>
      </c>
      <c r="H151" t="s">
        <v>241</v>
      </c>
      <c r="I151">
        <v>1</v>
      </c>
      <c r="J151" s="10">
        <v>0.5</v>
      </c>
      <c r="K151" s="10">
        <v>0.63888888888888884</v>
      </c>
      <c r="L151" s="10">
        <f t="shared" si="0"/>
        <v>0.13888888888888884</v>
      </c>
      <c r="M151" s="12">
        <f t="shared" si="1"/>
        <v>3.3333333333333321</v>
      </c>
      <c r="N151" s="12">
        <f>InterviewsRaw[[#This Row],[Trip Hours]]*InterviewsRaw[[#This Row],['#Angler]]</f>
        <v>3.3333333333333321</v>
      </c>
      <c r="O151" t="s">
        <v>342</v>
      </c>
      <c r="Q151" t="s">
        <v>224</v>
      </c>
      <c r="R151" s="11">
        <v>0</v>
      </c>
      <c r="S151">
        <v>0</v>
      </c>
      <c r="T151">
        <v>0</v>
      </c>
      <c r="U151">
        <v>0</v>
      </c>
      <c r="V151" s="11">
        <v>0</v>
      </c>
      <c r="W151">
        <v>0</v>
      </c>
      <c r="X151">
        <v>0</v>
      </c>
      <c r="Y151">
        <v>0</v>
      </c>
      <c r="Z151" s="11">
        <f>InterviewsRaw[[#This Row],[Chi Kept]]+InterviewsRaw[[#This Row],[Chi Released]]</f>
        <v>0</v>
      </c>
      <c r="AA151">
        <f>InterviewsRaw[[#This Row],[Co Kept]]+InterviewsRaw[[#This Row],[Co Released ]]</f>
        <v>0</v>
      </c>
      <c r="AB151">
        <f>InterviewsRaw[[#This Row],[Pink Kept]]+InterviewsRaw[[#This Row],[Pink Released]]</f>
        <v>0</v>
      </c>
      <c r="AC151">
        <f>InterviewsRaw[[#This Row],[Chu Kept]]+InterviewsRaw[[#This Row],[Chu Released]]</f>
        <v>0</v>
      </c>
    </row>
    <row r="152" spans="1:29" x14ac:dyDescent="0.3">
      <c r="A152" s="7">
        <v>45976</v>
      </c>
      <c r="B152">
        <v>13</v>
      </c>
      <c r="C152" t="s">
        <v>250</v>
      </c>
      <c r="D152" t="s">
        <v>42</v>
      </c>
      <c r="E152">
        <v>19</v>
      </c>
      <c r="F152">
        <v>4</v>
      </c>
      <c r="G152">
        <v>3</v>
      </c>
      <c r="H152" t="s">
        <v>241</v>
      </c>
      <c r="I152">
        <v>1</v>
      </c>
      <c r="J152" s="10">
        <v>0.54166666666666663</v>
      </c>
      <c r="K152" s="10">
        <v>0.63958333333333328</v>
      </c>
      <c r="L152" s="10">
        <f t="shared" si="0"/>
        <v>9.7916666666666652E-2</v>
      </c>
      <c r="M152" s="12">
        <f t="shared" si="1"/>
        <v>2.3499999999999996</v>
      </c>
      <c r="N152" s="12">
        <f>InterviewsRaw[[#This Row],[Trip Hours]]*InterviewsRaw[[#This Row],['#Angler]]</f>
        <v>2.3499999999999996</v>
      </c>
      <c r="O152" t="s">
        <v>342</v>
      </c>
      <c r="Q152" t="s">
        <v>224</v>
      </c>
      <c r="R152" s="11">
        <v>0</v>
      </c>
      <c r="S152">
        <v>0</v>
      </c>
      <c r="T152">
        <v>0</v>
      </c>
      <c r="U152">
        <v>0</v>
      </c>
      <c r="V152" s="11">
        <v>0</v>
      </c>
      <c r="W152">
        <v>0</v>
      </c>
      <c r="X152">
        <v>0</v>
      </c>
      <c r="Y152">
        <v>0</v>
      </c>
      <c r="Z152" s="11">
        <f>InterviewsRaw[[#This Row],[Chi Kept]]+InterviewsRaw[[#This Row],[Chi Released]]</f>
        <v>0</v>
      </c>
      <c r="AA152">
        <f>InterviewsRaw[[#This Row],[Co Kept]]+InterviewsRaw[[#This Row],[Co Released ]]</f>
        <v>0</v>
      </c>
      <c r="AB152">
        <f>InterviewsRaw[[#This Row],[Pink Kept]]+InterviewsRaw[[#This Row],[Pink Released]]</f>
        <v>0</v>
      </c>
      <c r="AC152">
        <f>InterviewsRaw[[#This Row],[Chu Kept]]+InterviewsRaw[[#This Row],[Chu Released]]</f>
        <v>0</v>
      </c>
    </row>
    <row r="153" spans="1:29" x14ac:dyDescent="0.3">
      <c r="A153" s="7">
        <v>45976</v>
      </c>
      <c r="B153">
        <v>13</v>
      </c>
      <c r="C153" t="s">
        <v>250</v>
      </c>
      <c r="D153" t="s">
        <v>42</v>
      </c>
      <c r="E153">
        <v>20</v>
      </c>
      <c r="F153">
        <v>4</v>
      </c>
      <c r="G153">
        <v>3</v>
      </c>
      <c r="H153" t="s">
        <v>241</v>
      </c>
      <c r="I153">
        <v>1</v>
      </c>
      <c r="J153" s="10">
        <v>0.52083333333333337</v>
      </c>
      <c r="K153" s="10">
        <v>0.64027777777777772</v>
      </c>
      <c r="L153" s="10">
        <f t="shared" si="0"/>
        <v>0.11944444444444435</v>
      </c>
      <c r="M153" s="12">
        <f t="shared" si="1"/>
        <v>2.8666666666666645</v>
      </c>
      <c r="N153" s="12">
        <f>InterviewsRaw[[#This Row],[Trip Hours]]*InterviewsRaw[[#This Row],['#Angler]]</f>
        <v>2.8666666666666645</v>
      </c>
      <c r="O153" t="s">
        <v>342</v>
      </c>
      <c r="P153" t="s">
        <v>29</v>
      </c>
      <c r="Q153" t="s">
        <v>224</v>
      </c>
      <c r="R153" s="11">
        <v>0</v>
      </c>
      <c r="S153">
        <v>0</v>
      </c>
      <c r="T153">
        <v>0</v>
      </c>
      <c r="U153">
        <v>0</v>
      </c>
      <c r="V153" s="11">
        <v>0</v>
      </c>
      <c r="W153">
        <v>0</v>
      </c>
      <c r="X153">
        <v>0</v>
      </c>
      <c r="Y153">
        <v>0</v>
      </c>
      <c r="Z153" s="11">
        <f>InterviewsRaw[[#This Row],[Chi Kept]]+InterviewsRaw[[#This Row],[Chi Released]]</f>
        <v>0</v>
      </c>
      <c r="AA153">
        <f>InterviewsRaw[[#This Row],[Co Kept]]+InterviewsRaw[[#This Row],[Co Released ]]</f>
        <v>0</v>
      </c>
      <c r="AB153">
        <f>InterviewsRaw[[#This Row],[Pink Kept]]+InterviewsRaw[[#This Row],[Pink Released]]</f>
        <v>0</v>
      </c>
      <c r="AC153">
        <f>InterviewsRaw[[#This Row],[Chu Kept]]+InterviewsRaw[[#This Row],[Chu Released]]</f>
        <v>0</v>
      </c>
    </row>
    <row r="154" spans="1:29" x14ac:dyDescent="0.3">
      <c r="A154" s="7">
        <v>45976</v>
      </c>
      <c r="B154">
        <v>13</v>
      </c>
      <c r="C154" t="s">
        <v>250</v>
      </c>
      <c r="D154" t="s">
        <v>42</v>
      </c>
      <c r="E154">
        <v>21</v>
      </c>
      <c r="F154">
        <v>4</v>
      </c>
      <c r="G154">
        <v>3</v>
      </c>
      <c r="H154" t="s">
        <v>241</v>
      </c>
      <c r="I154">
        <v>1</v>
      </c>
      <c r="J154" s="10">
        <v>0.58333333333333337</v>
      </c>
      <c r="K154" s="10">
        <v>0.64097222222222228</v>
      </c>
      <c r="L154" s="10">
        <f t="shared" si="0"/>
        <v>5.7638888888888906E-2</v>
      </c>
      <c r="M154" s="12">
        <f t="shared" si="1"/>
        <v>1.3833333333333337</v>
      </c>
      <c r="N154" s="12">
        <f>InterviewsRaw[[#This Row],[Trip Hours]]*InterviewsRaw[[#This Row],['#Angler]]</f>
        <v>1.3833333333333337</v>
      </c>
      <c r="O154" t="s">
        <v>342</v>
      </c>
      <c r="Q154" t="s">
        <v>224</v>
      </c>
      <c r="R154" s="11">
        <v>0</v>
      </c>
      <c r="S154">
        <v>0</v>
      </c>
      <c r="T154">
        <v>0</v>
      </c>
      <c r="U154">
        <v>0</v>
      </c>
      <c r="V154" s="11">
        <v>0</v>
      </c>
      <c r="W154">
        <v>0</v>
      </c>
      <c r="X154">
        <v>0</v>
      </c>
      <c r="Y154">
        <v>0</v>
      </c>
      <c r="Z154" s="11">
        <f>InterviewsRaw[[#This Row],[Chi Kept]]+InterviewsRaw[[#This Row],[Chi Released]]</f>
        <v>0</v>
      </c>
      <c r="AA154">
        <f>InterviewsRaw[[#This Row],[Co Kept]]+InterviewsRaw[[#This Row],[Co Released ]]</f>
        <v>0</v>
      </c>
      <c r="AB154">
        <f>InterviewsRaw[[#This Row],[Pink Kept]]+InterviewsRaw[[#This Row],[Pink Released]]</f>
        <v>0</v>
      </c>
      <c r="AC154">
        <f>InterviewsRaw[[#This Row],[Chu Kept]]+InterviewsRaw[[#This Row],[Chu Released]]</f>
        <v>0</v>
      </c>
    </row>
    <row r="155" spans="1:29" x14ac:dyDescent="0.3">
      <c r="A155" s="7">
        <v>45976</v>
      </c>
      <c r="B155">
        <v>13</v>
      </c>
      <c r="C155" t="s">
        <v>250</v>
      </c>
      <c r="D155" t="s">
        <v>42</v>
      </c>
      <c r="E155">
        <v>22</v>
      </c>
      <c r="F155">
        <v>4</v>
      </c>
      <c r="G155">
        <v>3</v>
      </c>
      <c r="H155" t="s">
        <v>241</v>
      </c>
      <c r="I155">
        <v>1</v>
      </c>
      <c r="J155" s="10">
        <v>0.33333333333333331</v>
      </c>
      <c r="K155" s="10">
        <v>0.64166666666666672</v>
      </c>
      <c r="L155" s="10">
        <f t="shared" si="0"/>
        <v>0.3083333333333334</v>
      </c>
      <c r="M155" s="12">
        <f t="shared" si="1"/>
        <v>7.4000000000000021</v>
      </c>
      <c r="N155" s="12">
        <f>InterviewsRaw[[#This Row],[Trip Hours]]*InterviewsRaw[[#This Row],['#Angler]]</f>
        <v>7.4000000000000021</v>
      </c>
      <c r="O155" t="s">
        <v>342</v>
      </c>
      <c r="P155" t="s">
        <v>112</v>
      </c>
      <c r="R155" s="11">
        <v>0</v>
      </c>
      <c r="S155">
        <v>0</v>
      </c>
      <c r="T155">
        <v>0</v>
      </c>
      <c r="U155">
        <v>0</v>
      </c>
      <c r="V155" s="11">
        <v>0</v>
      </c>
      <c r="W155">
        <v>1</v>
      </c>
      <c r="X155">
        <v>0</v>
      </c>
      <c r="Y155">
        <v>4</v>
      </c>
      <c r="Z155" s="11">
        <f>InterviewsRaw[[#This Row],[Chi Kept]]+InterviewsRaw[[#This Row],[Chi Released]]</f>
        <v>0</v>
      </c>
      <c r="AA155">
        <f>InterviewsRaw[[#This Row],[Co Kept]]+InterviewsRaw[[#This Row],[Co Released ]]</f>
        <v>1</v>
      </c>
      <c r="AB155">
        <f>InterviewsRaw[[#This Row],[Pink Kept]]+InterviewsRaw[[#This Row],[Pink Released]]</f>
        <v>0</v>
      </c>
      <c r="AC155">
        <f>InterviewsRaw[[#This Row],[Chu Kept]]+InterviewsRaw[[#This Row],[Chu Released]]</f>
        <v>4</v>
      </c>
    </row>
    <row r="156" spans="1:29" x14ac:dyDescent="0.3">
      <c r="A156" s="7">
        <v>45976</v>
      </c>
      <c r="B156">
        <v>13</v>
      </c>
      <c r="C156" t="s">
        <v>250</v>
      </c>
      <c r="D156" t="s">
        <v>42</v>
      </c>
      <c r="E156">
        <v>23</v>
      </c>
      <c r="F156">
        <v>4</v>
      </c>
      <c r="G156">
        <v>3</v>
      </c>
      <c r="H156" t="s">
        <v>241</v>
      </c>
      <c r="I156">
        <v>1</v>
      </c>
      <c r="J156" s="10">
        <v>0.5</v>
      </c>
      <c r="K156" s="10">
        <v>0.64236111111111116</v>
      </c>
      <c r="L156" s="10">
        <f t="shared" si="0"/>
        <v>0.14236111111111116</v>
      </c>
      <c r="M156" s="12">
        <f t="shared" si="1"/>
        <v>3.4166666666666679</v>
      </c>
      <c r="N156" s="12">
        <f>InterviewsRaw[[#This Row],[Trip Hours]]*InterviewsRaw[[#This Row],['#Angler]]</f>
        <v>3.4166666666666679</v>
      </c>
      <c r="O156" t="s">
        <v>342</v>
      </c>
      <c r="P156" t="s">
        <v>112</v>
      </c>
      <c r="R156" s="11">
        <v>0</v>
      </c>
      <c r="S156">
        <v>0</v>
      </c>
      <c r="T156">
        <v>0</v>
      </c>
      <c r="U156">
        <v>0</v>
      </c>
      <c r="V156" s="11">
        <v>0</v>
      </c>
      <c r="W156">
        <v>0</v>
      </c>
      <c r="X156">
        <v>0</v>
      </c>
      <c r="Y156">
        <v>0</v>
      </c>
      <c r="Z156" s="11">
        <f>InterviewsRaw[[#This Row],[Chi Kept]]+InterviewsRaw[[#This Row],[Chi Released]]</f>
        <v>0</v>
      </c>
      <c r="AA156">
        <f>InterviewsRaw[[#This Row],[Co Kept]]+InterviewsRaw[[#This Row],[Co Released ]]</f>
        <v>0</v>
      </c>
      <c r="AB156">
        <f>InterviewsRaw[[#This Row],[Pink Kept]]+InterviewsRaw[[#This Row],[Pink Released]]</f>
        <v>0</v>
      </c>
      <c r="AC156">
        <f>InterviewsRaw[[#This Row],[Chu Kept]]+InterviewsRaw[[#This Row],[Chu Released]]</f>
        <v>0</v>
      </c>
    </row>
    <row r="157" spans="1:29" x14ac:dyDescent="0.3">
      <c r="A157" s="7">
        <v>45976</v>
      </c>
      <c r="B157">
        <v>13</v>
      </c>
      <c r="C157" t="s">
        <v>250</v>
      </c>
      <c r="D157" t="s">
        <v>42</v>
      </c>
      <c r="E157">
        <v>24</v>
      </c>
      <c r="F157">
        <v>4</v>
      </c>
      <c r="G157">
        <v>3</v>
      </c>
      <c r="H157" t="s">
        <v>241</v>
      </c>
      <c r="I157">
        <v>1</v>
      </c>
      <c r="J157" s="10">
        <v>0.4375</v>
      </c>
      <c r="K157" s="10">
        <v>0.64513888888888893</v>
      </c>
      <c r="L157" s="10">
        <f t="shared" si="0"/>
        <v>0.20763888888888893</v>
      </c>
      <c r="M157" s="12">
        <f t="shared" si="1"/>
        <v>4.9833333333333343</v>
      </c>
      <c r="N157" s="12">
        <f>InterviewsRaw[[#This Row],[Trip Hours]]*InterviewsRaw[[#This Row],['#Angler]]</f>
        <v>4.9833333333333343</v>
      </c>
      <c r="O157" t="s">
        <v>342</v>
      </c>
      <c r="P157" t="s">
        <v>29</v>
      </c>
      <c r="R157" s="11">
        <v>0</v>
      </c>
      <c r="S157">
        <v>0</v>
      </c>
      <c r="T157">
        <v>0</v>
      </c>
      <c r="U157">
        <v>0</v>
      </c>
      <c r="V157" s="11">
        <v>0</v>
      </c>
      <c r="W157">
        <v>0</v>
      </c>
      <c r="X157">
        <v>0</v>
      </c>
      <c r="Y157">
        <v>1</v>
      </c>
      <c r="Z157" s="11">
        <f>InterviewsRaw[[#This Row],[Chi Kept]]+InterviewsRaw[[#This Row],[Chi Released]]</f>
        <v>0</v>
      </c>
      <c r="AA157">
        <f>InterviewsRaw[[#This Row],[Co Kept]]+InterviewsRaw[[#This Row],[Co Released ]]</f>
        <v>0</v>
      </c>
      <c r="AB157">
        <f>InterviewsRaw[[#This Row],[Pink Kept]]+InterviewsRaw[[#This Row],[Pink Released]]</f>
        <v>0</v>
      </c>
      <c r="AC157">
        <f>InterviewsRaw[[#This Row],[Chu Kept]]+InterviewsRaw[[#This Row],[Chu Released]]</f>
        <v>1</v>
      </c>
    </row>
    <row r="158" spans="1:29" x14ac:dyDescent="0.3">
      <c r="A158" s="7">
        <v>45976</v>
      </c>
      <c r="B158">
        <v>13</v>
      </c>
      <c r="C158" t="s">
        <v>250</v>
      </c>
      <c r="D158" t="s">
        <v>42</v>
      </c>
      <c r="E158">
        <v>25</v>
      </c>
      <c r="F158">
        <v>4</v>
      </c>
      <c r="G158">
        <v>5</v>
      </c>
      <c r="H158" t="s">
        <v>241</v>
      </c>
      <c r="I158">
        <v>1</v>
      </c>
      <c r="J158" s="10">
        <v>0.54166666666666663</v>
      </c>
      <c r="K158" s="10">
        <v>0.66319444444444442</v>
      </c>
      <c r="L158" s="10">
        <f t="shared" si="0"/>
        <v>0.12152777777777779</v>
      </c>
      <c r="M158" s="12">
        <f t="shared" si="1"/>
        <v>2.916666666666667</v>
      </c>
      <c r="N158" s="12">
        <f>InterviewsRaw[[#This Row],[Trip Hours]]*InterviewsRaw[[#This Row],['#Angler]]</f>
        <v>2.916666666666667</v>
      </c>
      <c r="O158" t="s">
        <v>342</v>
      </c>
      <c r="P158" t="s">
        <v>112</v>
      </c>
      <c r="R158" s="11">
        <v>0</v>
      </c>
      <c r="S158">
        <v>0</v>
      </c>
      <c r="T158">
        <v>0</v>
      </c>
      <c r="U158">
        <v>0</v>
      </c>
      <c r="V158" s="11">
        <v>0</v>
      </c>
      <c r="W158">
        <v>0</v>
      </c>
      <c r="X158">
        <v>0</v>
      </c>
      <c r="Y158">
        <v>0</v>
      </c>
      <c r="Z158" s="11">
        <f>InterviewsRaw[[#This Row],[Chi Kept]]+InterviewsRaw[[#This Row],[Chi Released]]</f>
        <v>0</v>
      </c>
      <c r="AA158">
        <f>InterviewsRaw[[#This Row],[Co Kept]]+InterviewsRaw[[#This Row],[Co Released ]]</f>
        <v>0</v>
      </c>
      <c r="AB158">
        <f>InterviewsRaw[[#This Row],[Pink Kept]]+InterviewsRaw[[#This Row],[Pink Released]]</f>
        <v>0</v>
      </c>
      <c r="AC158">
        <f>InterviewsRaw[[#This Row],[Chu Kept]]+InterviewsRaw[[#This Row],[Chu Released]]</f>
        <v>0</v>
      </c>
    </row>
    <row r="159" spans="1:29" x14ac:dyDescent="0.3">
      <c r="A159" s="7">
        <v>45976</v>
      </c>
      <c r="B159">
        <v>13</v>
      </c>
      <c r="C159" t="s">
        <v>250</v>
      </c>
      <c r="D159" t="s">
        <v>42</v>
      </c>
      <c r="E159">
        <v>26</v>
      </c>
      <c r="F159">
        <v>4</v>
      </c>
      <c r="G159">
        <v>5</v>
      </c>
      <c r="H159" t="s">
        <v>241</v>
      </c>
      <c r="I159">
        <v>1</v>
      </c>
      <c r="J159" s="10">
        <v>0.625</v>
      </c>
      <c r="K159" s="10">
        <v>0.67222222222222228</v>
      </c>
      <c r="L159" s="10">
        <f t="shared" si="0"/>
        <v>4.7222222222222276E-2</v>
      </c>
      <c r="M159" s="12">
        <f t="shared" si="1"/>
        <v>1.1333333333333346</v>
      </c>
      <c r="N159" s="12">
        <f>InterviewsRaw[[#This Row],[Trip Hours]]*InterviewsRaw[[#This Row],['#Angler]]</f>
        <v>1.1333333333333346</v>
      </c>
      <c r="O159" t="s">
        <v>342</v>
      </c>
      <c r="P159" t="s">
        <v>29</v>
      </c>
      <c r="R159" s="11">
        <v>0</v>
      </c>
      <c r="S159">
        <v>0</v>
      </c>
      <c r="T159">
        <v>0</v>
      </c>
      <c r="U159">
        <v>0</v>
      </c>
      <c r="V159" s="11">
        <v>0</v>
      </c>
      <c r="W159">
        <v>0</v>
      </c>
      <c r="X159">
        <v>0</v>
      </c>
      <c r="Y159">
        <v>0</v>
      </c>
      <c r="Z159" s="11">
        <f>InterviewsRaw[[#This Row],[Chi Kept]]+InterviewsRaw[[#This Row],[Chi Released]]</f>
        <v>0</v>
      </c>
      <c r="AA159">
        <f>InterviewsRaw[[#This Row],[Co Kept]]+InterviewsRaw[[#This Row],[Co Released ]]</f>
        <v>0</v>
      </c>
      <c r="AB159">
        <f>InterviewsRaw[[#This Row],[Pink Kept]]+InterviewsRaw[[#This Row],[Pink Released]]</f>
        <v>0</v>
      </c>
      <c r="AC159">
        <f>InterviewsRaw[[#This Row],[Chu Kept]]+InterviewsRaw[[#This Row],[Chu Released]]</f>
        <v>0</v>
      </c>
    </row>
    <row r="160" spans="1:29" x14ac:dyDescent="0.3">
      <c r="A160" s="7">
        <v>45980</v>
      </c>
      <c r="B160">
        <v>14</v>
      </c>
      <c r="C160" t="s">
        <v>236</v>
      </c>
      <c r="D160" t="s">
        <v>26</v>
      </c>
      <c r="E160">
        <v>1</v>
      </c>
      <c r="F160">
        <v>3</v>
      </c>
      <c r="G160">
        <v>8</v>
      </c>
      <c r="H160" t="s">
        <v>241</v>
      </c>
      <c r="I160">
        <v>2</v>
      </c>
      <c r="J160" s="10">
        <v>0.33333333333333331</v>
      </c>
      <c r="K160" s="10">
        <v>0.37013888888888891</v>
      </c>
      <c r="L160" s="10">
        <f t="shared" si="0"/>
        <v>3.6805555555555591E-2</v>
      </c>
      <c r="M160" s="12">
        <f t="shared" si="1"/>
        <v>0.88333333333333419</v>
      </c>
      <c r="N160" s="12">
        <f>InterviewsRaw[[#This Row],[Trip Hours]]*InterviewsRaw[[#This Row],['#Angler]]</f>
        <v>1.7666666666666684</v>
      </c>
      <c r="O160" t="s">
        <v>342</v>
      </c>
      <c r="Q160" t="s">
        <v>224</v>
      </c>
      <c r="R160" s="11">
        <v>0</v>
      </c>
      <c r="S160">
        <v>0</v>
      </c>
      <c r="T160">
        <v>0</v>
      </c>
      <c r="U160">
        <v>0</v>
      </c>
      <c r="V160" s="11">
        <v>0</v>
      </c>
      <c r="W160">
        <v>0</v>
      </c>
      <c r="X160">
        <v>0</v>
      </c>
      <c r="Y160">
        <v>0</v>
      </c>
      <c r="Z160" s="11">
        <f>InterviewsRaw[[#This Row],[Chi Kept]]+InterviewsRaw[[#This Row],[Chi Released]]</f>
        <v>0</v>
      </c>
      <c r="AA160">
        <f>InterviewsRaw[[#This Row],[Co Kept]]+InterviewsRaw[[#This Row],[Co Released ]]</f>
        <v>0</v>
      </c>
      <c r="AB160">
        <f>InterviewsRaw[[#This Row],[Pink Kept]]+InterviewsRaw[[#This Row],[Pink Released]]</f>
        <v>0</v>
      </c>
      <c r="AC160">
        <f>InterviewsRaw[[#This Row],[Chu Kept]]+InterviewsRaw[[#This Row],[Chu Released]]</f>
        <v>0</v>
      </c>
    </row>
    <row r="161" spans="1:31" x14ac:dyDescent="0.3">
      <c r="A161" s="7">
        <v>45980</v>
      </c>
      <c r="B161">
        <v>14</v>
      </c>
      <c r="C161" t="s">
        <v>236</v>
      </c>
      <c r="D161" t="s">
        <v>26</v>
      </c>
      <c r="E161">
        <v>2</v>
      </c>
      <c r="F161">
        <v>4</v>
      </c>
      <c r="G161">
        <v>3</v>
      </c>
      <c r="H161" t="s">
        <v>241</v>
      </c>
      <c r="I161">
        <v>1</v>
      </c>
      <c r="J161" s="10">
        <v>0.30555555555555558</v>
      </c>
      <c r="K161" s="10">
        <v>0.41597222222222224</v>
      </c>
      <c r="L161" s="10">
        <f t="shared" si="0"/>
        <v>0.11041666666666666</v>
      </c>
      <c r="M161" s="12">
        <f t="shared" si="1"/>
        <v>2.65</v>
      </c>
      <c r="N161" s="12">
        <f>InterviewsRaw[[#This Row],[Trip Hours]]*InterviewsRaw[[#This Row],['#Angler]]</f>
        <v>2.65</v>
      </c>
      <c r="O161" t="s">
        <v>342</v>
      </c>
      <c r="P161" t="s">
        <v>29</v>
      </c>
      <c r="Q161" t="s">
        <v>224</v>
      </c>
      <c r="R161" s="11">
        <v>0</v>
      </c>
      <c r="S161">
        <v>0</v>
      </c>
      <c r="T161">
        <v>0</v>
      </c>
      <c r="U161">
        <v>1</v>
      </c>
      <c r="V161" s="11">
        <v>0</v>
      </c>
      <c r="W161">
        <v>0</v>
      </c>
      <c r="X161">
        <v>0</v>
      </c>
      <c r="Y161">
        <v>0</v>
      </c>
      <c r="Z161" s="11">
        <f>InterviewsRaw[[#This Row],[Chi Kept]]+InterviewsRaw[[#This Row],[Chi Released]]</f>
        <v>0</v>
      </c>
      <c r="AA161">
        <f>InterviewsRaw[[#This Row],[Co Kept]]+InterviewsRaw[[#This Row],[Co Released ]]</f>
        <v>0</v>
      </c>
      <c r="AB161">
        <f>InterviewsRaw[[#This Row],[Pink Kept]]+InterviewsRaw[[#This Row],[Pink Released]]</f>
        <v>0</v>
      </c>
      <c r="AC161">
        <f>InterviewsRaw[[#This Row],[Chu Kept]]+InterviewsRaw[[#This Row],[Chu Released]]</f>
        <v>1</v>
      </c>
    </row>
    <row r="162" spans="1:31" x14ac:dyDescent="0.3">
      <c r="A162" s="7">
        <v>45980</v>
      </c>
      <c r="B162">
        <v>14</v>
      </c>
      <c r="C162" t="s">
        <v>236</v>
      </c>
      <c r="D162" t="s">
        <v>42</v>
      </c>
      <c r="E162">
        <v>3</v>
      </c>
      <c r="F162">
        <v>4</v>
      </c>
      <c r="G162">
        <v>3</v>
      </c>
      <c r="H162" t="s">
        <v>241</v>
      </c>
      <c r="I162">
        <v>1</v>
      </c>
      <c r="J162" s="10">
        <v>0.54166666666666663</v>
      </c>
      <c r="K162" s="10">
        <v>0.59513888888888888</v>
      </c>
      <c r="L162" s="10">
        <f t="shared" si="0"/>
        <v>5.3472222222222254E-2</v>
      </c>
      <c r="M162" s="12">
        <f t="shared" si="1"/>
        <v>1.2833333333333341</v>
      </c>
      <c r="N162" s="12">
        <f>InterviewsRaw[[#This Row],[Trip Hours]]*InterviewsRaw[[#This Row],['#Angler]]</f>
        <v>1.2833333333333341</v>
      </c>
      <c r="O162" t="s">
        <v>342</v>
      </c>
      <c r="P162" t="s">
        <v>112</v>
      </c>
      <c r="Q162" t="s">
        <v>224</v>
      </c>
      <c r="R162" s="11">
        <v>0</v>
      </c>
      <c r="S162">
        <v>0</v>
      </c>
      <c r="T162">
        <v>0</v>
      </c>
      <c r="U162">
        <v>0</v>
      </c>
      <c r="V162" s="11">
        <v>0</v>
      </c>
      <c r="W162">
        <v>0</v>
      </c>
      <c r="X162">
        <v>0</v>
      </c>
      <c r="Y162">
        <v>2</v>
      </c>
      <c r="Z162" s="11">
        <f>InterviewsRaw[[#This Row],[Chi Kept]]+InterviewsRaw[[#This Row],[Chi Released]]</f>
        <v>0</v>
      </c>
      <c r="AA162">
        <f>InterviewsRaw[[#This Row],[Co Kept]]+InterviewsRaw[[#This Row],[Co Released ]]</f>
        <v>0</v>
      </c>
      <c r="AB162">
        <f>InterviewsRaw[[#This Row],[Pink Kept]]+InterviewsRaw[[#This Row],[Pink Released]]</f>
        <v>0</v>
      </c>
      <c r="AC162">
        <f>InterviewsRaw[[#This Row],[Chu Kept]]+InterviewsRaw[[#This Row],[Chu Released]]</f>
        <v>2</v>
      </c>
    </row>
    <row r="163" spans="1:31" x14ac:dyDescent="0.3">
      <c r="A163" s="7">
        <v>45980</v>
      </c>
      <c r="B163">
        <v>14</v>
      </c>
      <c r="C163" t="s">
        <v>236</v>
      </c>
      <c r="D163" t="s">
        <v>42</v>
      </c>
      <c r="E163">
        <v>4</v>
      </c>
      <c r="F163">
        <v>4</v>
      </c>
      <c r="G163">
        <v>3</v>
      </c>
      <c r="H163" t="s">
        <v>241</v>
      </c>
      <c r="I163">
        <v>1</v>
      </c>
      <c r="J163" s="10">
        <v>0.41666666666666669</v>
      </c>
      <c r="K163" s="10">
        <v>0.6</v>
      </c>
      <c r="L163" s="10">
        <f t="shared" si="0"/>
        <v>0.18333333333333329</v>
      </c>
      <c r="M163" s="12">
        <f t="shared" si="1"/>
        <v>4.3999999999999986</v>
      </c>
      <c r="N163" s="12">
        <f>InterviewsRaw[[#This Row],[Trip Hours]]*InterviewsRaw[[#This Row],['#Angler]]</f>
        <v>4.3999999999999986</v>
      </c>
      <c r="O163" t="s">
        <v>342</v>
      </c>
      <c r="P163" t="s">
        <v>29</v>
      </c>
      <c r="Q163" t="s">
        <v>224</v>
      </c>
      <c r="R163" s="11">
        <v>0</v>
      </c>
      <c r="S163">
        <v>0</v>
      </c>
      <c r="T163">
        <v>0</v>
      </c>
      <c r="U163">
        <v>0</v>
      </c>
      <c r="V163" s="11">
        <v>0</v>
      </c>
      <c r="W163">
        <v>0</v>
      </c>
      <c r="X163">
        <v>0</v>
      </c>
      <c r="Y163">
        <v>2</v>
      </c>
      <c r="Z163" s="11">
        <f>InterviewsRaw[[#This Row],[Chi Kept]]+InterviewsRaw[[#This Row],[Chi Released]]</f>
        <v>0</v>
      </c>
      <c r="AA163">
        <f>InterviewsRaw[[#This Row],[Co Kept]]+InterviewsRaw[[#This Row],[Co Released ]]</f>
        <v>0</v>
      </c>
      <c r="AB163">
        <f>InterviewsRaw[[#This Row],[Pink Kept]]+InterviewsRaw[[#This Row],[Pink Released]]</f>
        <v>0</v>
      </c>
      <c r="AC163">
        <f>InterviewsRaw[[#This Row],[Chu Kept]]+InterviewsRaw[[#This Row],[Chu Released]]</f>
        <v>2</v>
      </c>
    </row>
    <row r="164" spans="1:31" x14ac:dyDescent="0.3">
      <c r="A164" s="7">
        <v>45980</v>
      </c>
      <c r="B164">
        <v>14</v>
      </c>
      <c r="C164" t="s">
        <v>236</v>
      </c>
      <c r="D164" t="s">
        <v>42</v>
      </c>
      <c r="E164">
        <v>5</v>
      </c>
      <c r="F164">
        <v>4</v>
      </c>
      <c r="G164">
        <v>3</v>
      </c>
      <c r="H164" t="s">
        <v>241</v>
      </c>
      <c r="I164">
        <v>2</v>
      </c>
      <c r="J164" s="10">
        <v>0.54166666666666663</v>
      </c>
      <c r="K164" s="10">
        <v>0.62569444444444444</v>
      </c>
      <c r="L164" s="10">
        <f t="shared" si="0"/>
        <v>8.4027777777777812E-2</v>
      </c>
      <c r="M164" s="12">
        <f t="shared" si="1"/>
        <v>2.0166666666666675</v>
      </c>
      <c r="N164" s="12">
        <f>InterviewsRaw[[#This Row],[Trip Hours]]*InterviewsRaw[[#This Row],['#Angler]]</f>
        <v>4.033333333333335</v>
      </c>
      <c r="O164" t="s">
        <v>342</v>
      </c>
      <c r="P164" t="s">
        <v>29</v>
      </c>
      <c r="Q164" t="s">
        <v>224</v>
      </c>
      <c r="R164" s="11">
        <v>0</v>
      </c>
      <c r="S164">
        <v>0</v>
      </c>
      <c r="T164">
        <v>0</v>
      </c>
      <c r="U164">
        <v>2</v>
      </c>
      <c r="V164" s="11">
        <v>0</v>
      </c>
      <c r="W164">
        <v>0</v>
      </c>
      <c r="X164">
        <v>0</v>
      </c>
      <c r="Y164">
        <v>0</v>
      </c>
      <c r="Z164" s="11">
        <f>InterviewsRaw[[#This Row],[Chi Kept]]+InterviewsRaw[[#This Row],[Chi Released]]</f>
        <v>0</v>
      </c>
      <c r="AA164">
        <f>InterviewsRaw[[#This Row],[Co Kept]]+InterviewsRaw[[#This Row],[Co Released ]]</f>
        <v>0</v>
      </c>
      <c r="AB164">
        <f>InterviewsRaw[[#This Row],[Pink Kept]]+InterviewsRaw[[#This Row],[Pink Released]]</f>
        <v>0</v>
      </c>
      <c r="AC164">
        <f>InterviewsRaw[[#This Row],[Chu Kept]]+InterviewsRaw[[#This Row],[Chu Released]]</f>
        <v>2</v>
      </c>
    </row>
    <row r="165" spans="1:31" x14ac:dyDescent="0.3">
      <c r="A165" s="7">
        <v>45980</v>
      </c>
      <c r="B165">
        <v>14</v>
      </c>
      <c r="C165" t="s">
        <v>236</v>
      </c>
      <c r="D165" t="s">
        <v>42</v>
      </c>
      <c r="E165">
        <v>6</v>
      </c>
      <c r="F165">
        <v>4</v>
      </c>
      <c r="G165">
        <v>3</v>
      </c>
      <c r="H165" t="s">
        <v>241</v>
      </c>
      <c r="I165">
        <v>1</v>
      </c>
      <c r="J165" s="10">
        <v>0.41666666666666669</v>
      </c>
      <c r="K165" s="10">
        <v>0.62986111111111109</v>
      </c>
      <c r="L165" s="10">
        <f t="shared" si="0"/>
        <v>0.21319444444444441</v>
      </c>
      <c r="M165" s="12">
        <f t="shared" si="1"/>
        <v>5.1166666666666654</v>
      </c>
      <c r="N165" s="12">
        <f>InterviewsRaw[[#This Row],[Trip Hours]]*InterviewsRaw[[#This Row],['#Angler]]</f>
        <v>5.1166666666666654</v>
      </c>
      <c r="O165" t="s">
        <v>342</v>
      </c>
      <c r="R165" s="11">
        <v>0</v>
      </c>
      <c r="S165">
        <v>0</v>
      </c>
      <c r="T165">
        <v>0</v>
      </c>
      <c r="U165">
        <v>0</v>
      </c>
      <c r="V165" s="11">
        <v>0</v>
      </c>
      <c r="W165">
        <v>0</v>
      </c>
      <c r="X165">
        <v>0</v>
      </c>
      <c r="Y165">
        <v>0</v>
      </c>
      <c r="Z165" s="11">
        <f>InterviewsRaw[[#This Row],[Chi Kept]]+InterviewsRaw[[#This Row],[Chi Released]]</f>
        <v>0</v>
      </c>
      <c r="AA165">
        <f>InterviewsRaw[[#This Row],[Co Kept]]+InterviewsRaw[[#This Row],[Co Released ]]</f>
        <v>0</v>
      </c>
      <c r="AB165">
        <f>InterviewsRaw[[#This Row],[Pink Kept]]+InterviewsRaw[[#This Row],[Pink Released]]</f>
        <v>0</v>
      </c>
      <c r="AC165">
        <f>InterviewsRaw[[#This Row],[Chu Kept]]+InterviewsRaw[[#This Row],[Chu Released]]</f>
        <v>0</v>
      </c>
    </row>
    <row r="166" spans="1:31" x14ac:dyDescent="0.3">
      <c r="A166" s="7">
        <v>45980</v>
      </c>
      <c r="B166">
        <v>14</v>
      </c>
      <c r="C166" t="s">
        <v>236</v>
      </c>
      <c r="D166" t="s">
        <v>42</v>
      </c>
      <c r="E166">
        <v>7</v>
      </c>
      <c r="F166">
        <v>4</v>
      </c>
      <c r="G166">
        <v>3</v>
      </c>
      <c r="H166" t="s">
        <v>241</v>
      </c>
      <c r="I166">
        <v>1</v>
      </c>
      <c r="J166" s="10">
        <v>0.625</v>
      </c>
      <c r="K166" s="10">
        <v>0.65972222222222221</v>
      </c>
      <c r="L166" s="10">
        <f t="shared" si="0"/>
        <v>3.472222222222221E-2</v>
      </c>
      <c r="M166" s="12">
        <f t="shared" si="1"/>
        <v>0.83333333333333304</v>
      </c>
      <c r="N166" s="12">
        <f>InterviewsRaw[[#This Row],[Trip Hours]]*InterviewsRaw[[#This Row],['#Angler]]</f>
        <v>0.83333333333333304</v>
      </c>
      <c r="O166" t="s">
        <v>342</v>
      </c>
      <c r="Q166" t="s">
        <v>224</v>
      </c>
      <c r="R166" s="11">
        <v>0</v>
      </c>
      <c r="S166">
        <v>0</v>
      </c>
      <c r="T166">
        <v>0</v>
      </c>
      <c r="U166">
        <v>0</v>
      </c>
      <c r="V166" s="11">
        <v>0</v>
      </c>
      <c r="W166">
        <v>0</v>
      </c>
      <c r="X166">
        <v>0</v>
      </c>
      <c r="Y166">
        <v>0</v>
      </c>
      <c r="Z166" s="11">
        <f>InterviewsRaw[[#This Row],[Chi Kept]]+InterviewsRaw[[#This Row],[Chi Released]]</f>
        <v>0</v>
      </c>
      <c r="AA166">
        <f>InterviewsRaw[[#This Row],[Co Kept]]+InterviewsRaw[[#This Row],[Co Released ]]</f>
        <v>0</v>
      </c>
      <c r="AB166">
        <f>InterviewsRaw[[#This Row],[Pink Kept]]+InterviewsRaw[[#This Row],[Pink Released]]</f>
        <v>0</v>
      </c>
      <c r="AC166">
        <f>InterviewsRaw[[#This Row],[Chu Kept]]+InterviewsRaw[[#This Row],[Chu Released]]</f>
        <v>0</v>
      </c>
    </row>
    <row r="167" spans="1:31" x14ac:dyDescent="0.3">
      <c r="A167" s="7">
        <v>45981</v>
      </c>
      <c r="B167">
        <v>14</v>
      </c>
      <c r="C167" t="s">
        <v>236</v>
      </c>
      <c r="D167" t="s">
        <v>26</v>
      </c>
      <c r="E167">
        <v>1</v>
      </c>
      <c r="F167">
        <v>3</v>
      </c>
      <c r="G167">
        <v>8</v>
      </c>
      <c r="H167" t="s">
        <v>241</v>
      </c>
      <c r="I167">
        <v>1</v>
      </c>
      <c r="J167" s="10">
        <v>0.33333333333333331</v>
      </c>
      <c r="K167" s="10">
        <v>0.37569444444444444</v>
      </c>
      <c r="L167" s="10">
        <f t="shared" si="0"/>
        <v>4.2361111111111127E-2</v>
      </c>
      <c r="M167" s="12">
        <f t="shared" si="1"/>
        <v>1.0166666666666671</v>
      </c>
      <c r="N167" s="12">
        <f>InterviewsRaw[[#This Row],[Trip Hours]]*InterviewsRaw[[#This Row],['#Angler]]</f>
        <v>1.0166666666666671</v>
      </c>
      <c r="O167" t="s">
        <v>342</v>
      </c>
      <c r="R167" s="11">
        <v>0</v>
      </c>
      <c r="S167">
        <v>0</v>
      </c>
      <c r="T167">
        <v>0</v>
      </c>
      <c r="U167">
        <v>0</v>
      </c>
      <c r="V167" s="11">
        <v>0</v>
      </c>
      <c r="W167">
        <v>0</v>
      </c>
      <c r="X167">
        <v>0</v>
      </c>
      <c r="Y167">
        <v>0</v>
      </c>
      <c r="Z167" s="11">
        <f>InterviewsRaw[[#This Row],[Chi Kept]]+InterviewsRaw[[#This Row],[Chi Released]]</f>
        <v>0</v>
      </c>
      <c r="AA167">
        <f>InterviewsRaw[[#This Row],[Co Kept]]+InterviewsRaw[[#This Row],[Co Released ]]</f>
        <v>0</v>
      </c>
      <c r="AB167">
        <f>InterviewsRaw[[#This Row],[Pink Kept]]+InterviewsRaw[[#This Row],[Pink Released]]</f>
        <v>0</v>
      </c>
      <c r="AC167">
        <f>InterviewsRaw[[#This Row],[Chu Kept]]+InterviewsRaw[[#This Row],[Chu Released]]</f>
        <v>0</v>
      </c>
    </row>
    <row r="168" spans="1:31" x14ac:dyDescent="0.3">
      <c r="A168" s="7">
        <v>45981</v>
      </c>
      <c r="B168">
        <v>14</v>
      </c>
      <c r="C168" t="s">
        <v>236</v>
      </c>
      <c r="D168" t="s">
        <v>26</v>
      </c>
      <c r="E168">
        <v>2</v>
      </c>
      <c r="F168">
        <v>4</v>
      </c>
      <c r="G168">
        <v>3</v>
      </c>
      <c r="H168" t="s">
        <v>241</v>
      </c>
      <c r="I168">
        <v>1</v>
      </c>
      <c r="J168" s="10">
        <v>0.3215277777777778</v>
      </c>
      <c r="K168" s="10">
        <v>0.40486111111111112</v>
      </c>
      <c r="L168" s="10">
        <f t="shared" si="0"/>
        <v>8.3333333333333315E-2</v>
      </c>
      <c r="M168" s="12">
        <f t="shared" si="1"/>
        <v>1.9999999999999996</v>
      </c>
      <c r="N168" s="12">
        <f>InterviewsRaw[[#This Row],[Trip Hours]]*InterviewsRaw[[#This Row],['#Angler]]</f>
        <v>1.9999999999999996</v>
      </c>
      <c r="O168" t="s">
        <v>342</v>
      </c>
      <c r="P168" t="s">
        <v>29</v>
      </c>
      <c r="Q168" t="s">
        <v>224</v>
      </c>
      <c r="R168" s="11">
        <v>0</v>
      </c>
      <c r="S168">
        <v>0</v>
      </c>
      <c r="T168">
        <v>0</v>
      </c>
      <c r="U168">
        <v>0</v>
      </c>
      <c r="V168" s="11">
        <v>0</v>
      </c>
      <c r="W168">
        <v>0</v>
      </c>
      <c r="X168">
        <v>0</v>
      </c>
      <c r="Y168">
        <v>0</v>
      </c>
      <c r="Z168" s="11">
        <f>InterviewsRaw[[#This Row],[Chi Kept]]+InterviewsRaw[[#This Row],[Chi Released]]</f>
        <v>0</v>
      </c>
      <c r="AA168">
        <f>InterviewsRaw[[#This Row],[Co Kept]]+InterviewsRaw[[#This Row],[Co Released ]]</f>
        <v>0</v>
      </c>
      <c r="AB168">
        <f>InterviewsRaw[[#This Row],[Pink Kept]]+InterviewsRaw[[#This Row],[Pink Released]]</f>
        <v>0</v>
      </c>
      <c r="AC168">
        <f>InterviewsRaw[[#This Row],[Chu Kept]]+InterviewsRaw[[#This Row],[Chu Released]]</f>
        <v>0</v>
      </c>
    </row>
    <row r="169" spans="1:31" x14ac:dyDescent="0.3">
      <c r="A169" s="7">
        <v>45981</v>
      </c>
      <c r="B169">
        <v>14</v>
      </c>
      <c r="C169" t="s">
        <v>236</v>
      </c>
      <c r="D169" t="s">
        <v>26</v>
      </c>
      <c r="E169">
        <v>3</v>
      </c>
      <c r="F169">
        <v>4</v>
      </c>
      <c r="G169">
        <v>3</v>
      </c>
      <c r="H169" t="s">
        <v>241</v>
      </c>
      <c r="I169">
        <v>1</v>
      </c>
      <c r="J169" s="10">
        <v>0.27083333333333331</v>
      </c>
      <c r="K169" s="10">
        <v>0.50208333333333333</v>
      </c>
      <c r="L169" s="10">
        <f t="shared" si="0"/>
        <v>0.23125000000000001</v>
      </c>
      <c r="M169" s="12">
        <f t="shared" si="1"/>
        <v>5.5500000000000007</v>
      </c>
      <c r="N169" s="12">
        <f>InterviewsRaw[[#This Row],[Trip Hours]]*InterviewsRaw[[#This Row],['#Angler]]</f>
        <v>5.5500000000000007</v>
      </c>
      <c r="O169" t="s">
        <v>342</v>
      </c>
      <c r="P169" t="s">
        <v>29</v>
      </c>
      <c r="R169" s="11">
        <v>0</v>
      </c>
      <c r="S169">
        <v>0</v>
      </c>
      <c r="T169">
        <v>0</v>
      </c>
      <c r="U169">
        <v>2</v>
      </c>
      <c r="V169" s="11">
        <v>0</v>
      </c>
      <c r="W169">
        <v>1</v>
      </c>
      <c r="X169">
        <v>0</v>
      </c>
      <c r="Y169">
        <v>0</v>
      </c>
      <c r="Z169" s="11">
        <f>InterviewsRaw[[#This Row],[Chi Kept]]+InterviewsRaw[[#This Row],[Chi Released]]</f>
        <v>0</v>
      </c>
      <c r="AA169">
        <f>InterviewsRaw[[#This Row],[Co Kept]]+InterviewsRaw[[#This Row],[Co Released ]]</f>
        <v>1</v>
      </c>
      <c r="AB169">
        <f>InterviewsRaw[[#This Row],[Pink Kept]]+InterviewsRaw[[#This Row],[Pink Released]]</f>
        <v>0</v>
      </c>
      <c r="AC169">
        <f>InterviewsRaw[[#This Row],[Chu Kept]]+InterviewsRaw[[#This Row],[Chu Released]]</f>
        <v>2</v>
      </c>
      <c r="AE169" t="s">
        <v>374</v>
      </c>
    </row>
    <row r="170" spans="1:31" x14ac:dyDescent="0.3">
      <c r="A170" s="7">
        <v>45981</v>
      </c>
      <c r="B170">
        <v>14</v>
      </c>
      <c r="C170" t="s">
        <v>236</v>
      </c>
      <c r="D170" t="s">
        <v>26</v>
      </c>
      <c r="E170">
        <v>4</v>
      </c>
      <c r="F170">
        <v>4</v>
      </c>
      <c r="G170">
        <v>3</v>
      </c>
      <c r="H170" t="s">
        <v>241</v>
      </c>
      <c r="I170">
        <v>1</v>
      </c>
      <c r="J170" s="10">
        <v>0.4375</v>
      </c>
      <c r="K170" s="10">
        <v>0.50694444444444442</v>
      </c>
      <c r="L170" s="10">
        <f t="shared" si="0"/>
        <v>6.944444444444442E-2</v>
      </c>
      <c r="M170" s="12">
        <f t="shared" si="1"/>
        <v>1.6666666666666661</v>
      </c>
      <c r="N170" s="12">
        <f>InterviewsRaw[[#This Row],[Trip Hours]]*InterviewsRaw[[#This Row],['#Angler]]</f>
        <v>1.6666666666666661</v>
      </c>
      <c r="O170" t="s">
        <v>342</v>
      </c>
      <c r="P170" t="s">
        <v>29</v>
      </c>
      <c r="R170" s="11">
        <v>0</v>
      </c>
      <c r="S170">
        <v>0</v>
      </c>
      <c r="T170">
        <v>0</v>
      </c>
      <c r="U170">
        <v>0</v>
      </c>
      <c r="V170" s="11">
        <v>0</v>
      </c>
      <c r="W170">
        <v>0</v>
      </c>
      <c r="X170">
        <v>0</v>
      </c>
      <c r="Y170">
        <v>0</v>
      </c>
      <c r="Z170" s="11">
        <f>InterviewsRaw[[#This Row],[Chi Kept]]+InterviewsRaw[[#This Row],[Chi Released]]</f>
        <v>0</v>
      </c>
      <c r="AA170">
        <f>InterviewsRaw[[#This Row],[Co Kept]]+InterviewsRaw[[#This Row],[Co Released ]]</f>
        <v>0</v>
      </c>
      <c r="AB170">
        <f>InterviewsRaw[[#This Row],[Pink Kept]]+InterviewsRaw[[#This Row],[Pink Released]]</f>
        <v>0</v>
      </c>
      <c r="AC170">
        <f>InterviewsRaw[[#This Row],[Chu Kept]]+InterviewsRaw[[#This Row],[Chu Released]]</f>
        <v>0</v>
      </c>
    </row>
    <row r="171" spans="1:31" x14ac:dyDescent="0.3">
      <c r="A171" s="7">
        <v>45981</v>
      </c>
      <c r="B171">
        <v>14</v>
      </c>
      <c r="C171" t="s">
        <v>236</v>
      </c>
      <c r="D171" t="s">
        <v>42</v>
      </c>
      <c r="E171">
        <v>5</v>
      </c>
      <c r="F171">
        <v>4</v>
      </c>
      <c r="G171">
        <v>5</v>
      </c>
      <c r="H171" t="s">
        <v>241</v>
      </c>
      <c r="I171">
        <v>2</v>
      </c>
      <c r="J171" s="10">
        <v>0.45833333333333331</v>
      </c>
      <c r="K171" s="10">
        <v>0.53333333333333333</v>
      </c>
      <c r="L171" s="10">
        <f t="shared" si="0"/>
        <v>7.5000000000000011E-2</v>
      </c>
      <c r="M171" s="12">
        <f t="shared" si="1"/>
        <v>1.8000000000000003</v>
      </c>
      <c r="N171" s="12">
        <f>InterviewsRaw[[#This Row],[Trip Hours]]*InterviewsRaw[[#This Row],['#Angler]]</f>
        <v>3.6000000000000005</v>
      </c>
      <c r="O171" t="s">
        <v>342</v>
      </c>
      <c r="P171" t="s">
        <v>112</v>
      </c>
      <c r="R171" s="11">
        <v>0</v>
      </c>
      <c r="S171">
        <v>0</v>
      </c>
      <c r="T171">
        <v>0</v>
      </c>
      <c r="U171">
        <v>0</v>
      </c>
      <c r="V171" s="11">
        <v>0</v>
      </c>
      <c r="W171">
        <v>0</v>
      </c>
      <c r="X171">
        <v>0</v>
      </c>
      <c r="Y171">
        <v>2</v>
      </c>
      <c r="Z171" s="11">
        <f>InterviewsRaw[[#This Row],[Chi Kept]]+InterviewsRaw[[#This Row],[Chi Released]]</f>
        <v>0</v>
      </c>
      <c r="AA171">
        <f>InterviewsRaw[[#This Row],[Co Kept]]+InterviewsRaw[[#This Row],[Co Released ]]</f>
        <v>0</v>
      </c>
      <c r="AB171">
        <f>InterviewsRaw[[#This Row],[Pink Kept]]+InterviewsRaw[[#This Row],[Pink Released]]</f>
        <v>0</v>
      </c>
      <c r="AC171">
        <f>InterviewsRaw[[#This Row],[Chu Kept]]+InterviewsRaw[[#This Row],[Chu Released]]</f>
        <v>2</v>
      </c>
      <c r="AE171" t="s">
        <v>375</v>
      </c>
    </row>
    <row r="172" spans="1:31" x14ac:dyDescent="0.3">
      <c r="A172" s="7">
        <v>45981</v>
      </c>
      <c r="B172">
        <v>14</v>
      </c>
      <c r="C172" t="s">
        <v>236</v>
      </c>
      <c r="D172" t="s">
        <v>42</v>
      </c>
      <c r="E172">
        <v>6</v>
      </c>
      <c r="F172">
        <v>3</v>
      </c>
      <c r="G172">
        <v>8</v>
      </c>
      <c r="H172" t="s">
        <v>241</v>
      </c>
      <c r="I172">
        <v>2</v>
      </c>
      <c r="J172" s="10">
        <v>0.55208333333333337</v>
      </c>
      <c r="K172" s="10">
        <v>0.59722222222222221</v>
      </c>
      <c r="L172" s="10">
        <f t="shared" si="0"/>
        <v>4.513888888888884E-2</v>
      </c>
      <c r="M172" s="12">
        <f t="shared" si="1"/>
        <v>1.0833333333333321</v>
      </c>
      <c r="N172" s="12">
        <f>InterviewsRaw[[#This Row],[Trip Hours]]*InterviewsRaw[[#This Row],['#Angler]]</f>
        <v>2.1666666666666643</v>
      </c>
      <c r="O172" t="s">
        <v>342</v>
      </c>
      <c r="P172" t="s">
        <v>29</v>
      </c>
      <c r="Q172" t="s">
        <v>364</v>
      </c>
      <c r="R172" s="11">
        <v>0</v>
      </c>
      <c r="S172">
        <v>0</v>
      </c>
      <c r="T172">
        <v>0</v>
      </c>
      <c r="U172">
        <v>0</v>
      </c>
      <c r="V172" s="11">
        <v>0</v>
      </c>
      <c r="W172">
        <v>0</v>
      </c>
      <c r="X172">
        <v>0</v>
      </c>
      <c r="Y172">
        <v>0</v>
      </c>
      <c r="Z172" s="11">
        <f>InterviewsRaw[[#This Row],[Chi Kept]]+InterviewsRaw[[#This Row],[Chi Released]]</f>
        <v>0</v>
      </c>
      <c r="AA172">
        <f>InterviewsRaw[[#This Row],[Co Kept]]+InterviewsRaw[[#This Row],[Co Released ]]</f>
        <v>0</v>
      </c>
      <c r="AB172">
        <f>InterviewsRaw[[#This Row],[Pink Kept]]+InterviewsRaw[[#This Row],[Pink Released]]</f>
        <v>0</v>
      </c>
      <c r="AC172">
        <f>InterviewsRaw[[#This Row],[Chu Kept]]+InterviewsRaw[[#This Row],[Chu Released]]</f>
        <v>0</v>
      </c>
    </row>
    <row r="173" spans="1:31" x14ac:dyDescent="0.3">
      <c r="A173" s="7">
        <v>45981</v>
      </c>
      <c r="B173">
        <v>14</v>
      </c>
      <c r="C173" t="s">
        <v>236</v>
      </c>
      <c r="D173" t="s">
        <v>42</v>
      </c>
      <c r="E173">
        <v>7</v>
      </c>
      <c r="F173">
        <v>3</v>
      </c>
      <c r="G173">
        <v>8</v>
      </c>
      <c r="H173" t="s">
        <v>241</v>
      </c>
      <c r="I173">
        <v>2</v>
      </c>
      <c r="J173" s="10">
        <v>0.45833333333333331</v>
      </c>
      <c r="K173" s="10">
        <v>0.625</v>
      </c>
      <c r="L173" s="10">
        <f t="shared" si="0"/>
        <v>0.16666666666666669</v>
      </c>
      <c r="M173" s="12">
        <f t="shared" si="1"/>
        <v>4</v>
      </c>
      <c r="N173" s="12">
        <f>InterviewsRaw[[#This Row],[Trip Hours]]*InterviewsRaw[[#This Row],['#Angler]]</f>
        <v>8</v>
      </c>
      <c r="O173" t="s">
        <v>342</v>
      </c>
      <c r="P173" t="s">
        <v>29</v>
      </c>
      <c r="R173" s="11">
        <v>0</v>
      </c>
      <c r="S173">
        <v>0</v>
      </c>
      <c r="T173">
        <v>0</v>
      </c>
      <c r="U173">
        <v>6</v>
      </c>
      <c r="V173" s="11">
        <v>0</v>
      </c>
      <c r="W173">
        <v>0</v>
      </c>
      <c r="X173">
        <v>0</v>
      </c>
      <c r="Y173">
        <v>5</v>
      </c>
      <c r="Z173" s="11">
        <f>InterviewsRaw[[#This Row],[Chi Kept]]+InterviewsRaw[[#This Row],[Chi Released]]</f>
        <v>0</v>
      </c>
      <c r="AA173">
        <f>InterviewsRaw[[#This Row],[Co Kept]]+InterviewsRaw[[#This Row],[Co Released ]]</f>
        <v>0</v>
      </c>
      <c r="AB173">
        <f>InterviewsRaw[[#This Row],[Pink Kept]]+InterviewsRaw[[#This Row],[Pink Released]]</f>
        <v>0</v>
      </c>
      <c r="AC173">
        <f>InterviewsRaw[[#This Row],[Chu Kept]]+InterviewsRaw[[#This Row],[Chu Released]]</f>
        <v>11</v>
      </c>
    </row>
    <row r="174" spans="1:31" x14ac:dyDescent="0.3">
      <c r="A174" s="7">
        <v>45982</v>
      </c>
      <c r="B174">
        <v>14</v>
      </c>
      <c r="C174" t="s">
        <v>236</v>
      </c>
      <c r="D174" t="s">
        <v>42</v>
      </c>
      <c r="E174">
        <v>1</v>
      </c>
      <c r="F174">
        <v>4</v>
      </c>
      <c r="G174">
        <v>3</v>
      </c>
      <c r="H174" t="s">
        <v>241</v>
      </c>
      <c r="I174">
        <v>2</v>
      </c>
      <c r="J174" s="10">
        <v>0.4375</v>
      </c>
      <c r="K174" s="10">
        <v>0.52083333333333337</v>
      </c>
      <c r="L174" s="10">
        <f t="shared" si="0"/>
        <v>8.333333333333337E-2</v>
      </c>
      <c r="M174" s="12">
        <f t="shared" si="1"/>
        <v>2.0000000000000009</v>
      </c>
      <c r="N174" s="12">
        <f>InterviewsRaw[[#This Row],[Trip Hours]]*InterviewsRaw[[#This Row],['#Angler]]</f>
        <v>4.0000000000000018</v>
      </c>
      <c r="O174" t="s">
        <v>342</v>
      </c>
      <c r="P174" t="s">
        <v>186</v>
      </c>
      <c r="R174" s="11">
        <v>0</v>
      </c>
      <c r="S174">
        <v>0</v>
      </c>
      <c r="T174">
        <v>0</v>
      </c>
      <c r="U174">
        <v>0</v>
      </c>
      <c r="V174" s="11">
        <v>0</v>
      </c>
      <c r="W174">
        <v>0</v>
      </c>
      <c r="X174">
        <v>0</v>
      </c>
      <c r="Y174">
        <v>0</v>
      </c>
      <c r="Z174" s="11">
        <f>InterviewsRaw[[#This Row],[Chi Kept]]+InterviewsRaw[[#This Row],[Chi Released]]</f>
        <v>0</v>
      </c>
      <c r="AA174">
        <f>InterviewsRaw[[#This Row],[Co Kept]]+InterviewsRaw[[#This Row],[Co Released ]]</f>
        <v>0</v>
      </c>
      <c r="AB174">
        <f>InterviewsRaw[[#This Row],[Pink Kept]]+InterviewsRaw[[#This Row],[Pink Released]]</f>
        <v>0</v>
      </c>
      <c r="AC174">
        <f>InterviewsRaw[[#This Row],[Chu Kept]]+InterviewsRaw[[#This Row],[Chu Released]]</f>
        <v>0</v>
      </c>
    </row>
    <row r="175" spans="1:31" x14ac:dyDescent="0.3">
      <c r="A175" s="7">
        <v>45982</v>
      </c>
      <c r="B175">
        <v>14</v>
      </c>
      <c r="C175" t="s">
        <v>236</v>
      </c>
      <c r="D175" t="s">
        <v>42</v>
      </c>
      <c r="E175">
        <v>2</v>
      </c>
      <c r="F175">
        <v>4</v>
      </c>
      <c r="G175">
        <v>3</v>
      </c>
      <c r="H175" t="s">
        <v>241</v>
      </c>
      <c r="I175">
        <v>2</v>
      </c>
      <c r="J175" s="10">
        <v>0.27083333333333331</v>
      </c>
      <c r="K175" s="10">
        <v>0.52152777777777781</v>
      </c>
      <c r="L175" s="10">
        <f t="shared" si="0"/>
        <v>0.2506944444444445</v>
      </c>
      <c r="M175" s="12">
        <f t="shared" si="1"/>
        <v>6.0166666666666675</v>
      </c>
      <c r="N175" s="12">
        <f>InterviewsRaw[[#This Row],[Trip Hours]]*InterviewsRaw[[#This Row],['#Angler]]</f>
        <v>12.033333333333335</v>
      </c>
      <c r="O175" t="s">
        <v>342</v>
      </c>
      <c r="P175" t="s">
        <v>29</v>
      </c>
      <c r="R175" s="11">
        <v>0</v>
      </c>
      <c r="S175">
        <v>0</v>
      </c>
      <c r="T175">
        <v>0</v>
      </c>
      <c r="U175">
        <v>0</v>
      </c>
      <c r="V175" s="11">
        <v>0</v>
      </c>
      <c r="W175">
        <v>0</v>
      </c>
      <c r="X175">
        <v>0</v>
      </c>
      <c r="Y175">
        <v>4</v>
      </c>
      <c r="Z175" s="11">
        <f>InterviewsRaw[[#This Row],[Chi Kept]]+InterviewsRaw[[#This Row],[Chi Released]]</f>
        <v>0</v>
      </c>
      <c r="AA175">
        <f>InterviewsRaw[[#This Row],[Co Kept]]+InterviewsRaw[[#This Row],[Co Released ]]</f>
        <v>0</v>
      </c>
      <c r="AB175">
        <f>InterviewsRaw[[#This Row],[Pink Kept]]+InterviewsRaw[[#This Row],[Pink Released]]</f>
        <v>0</v>
      </c>
      <c r="AC175">
        <f>InterviewsRaw[[#This Row],[Chu Kept]]+InterviewsRaw[[#This Row],[Chu Released]]</f>
        <v>4</v>
      </c>
    </row>
    <row r="176" spans="1:31" x14ac:dyDescent="0.3">
      <c r="A176" s="7">
        <v>45982</v>
      </c>
      <c r="B176">
        <v>14</v>
      </c>
      <c r="C176" t="s">
        <v>236</v>
      </c>
      <c r="D176" t="s">
        <v>42</v>
      </c>
      <c r="E176">
        <v>3</v>
      </c>
      <c r="F176">
        <v>4</v>
      </c>
      <c r="G176">
        <v>3</v>
      </c>
      <c r="H176" t="s">
        <v>241</v>
      </c>
      <c r="I176">
        <v>1</v>
      </c>
      <c r="J176" s="10">
        <v>0.4375</v>
      </c>
      <c r="K176" s="10">
        <v>0.52222222222222225</v>
      </c>
      <c r="L176" s="10">
        <f t="shared" si="0"/>
        <v>8.4722222222222254E-2</v>
      </c>
      <c r="M176" s="12">
        <f t="shared" si="1"/>
        <v>2.0333333333333341</v>
      </c>
      <c r="N176" s="12">
        <f>InterviewsRaw[[#This Row],[Trip Hours]]*InterviewsRaw[[#This Row],['#Angler]]</f>
        <v>2.0333333333333341</v>
      </c>
      <c r="O176" t="s">
        <v>342</v>
      </c>
      <c r="R176" s="11">
        <v>0</v>
      </c>
      <c r="S176">
        <v>0</v>
      </c>
      <c r="T176">
        <v>0</v>
      </c>
      <c r="U176">
        <v>0</v>
      </c>
      <c r="V176" s="11">
        <v>0</v>
      </c>
      <c r="W176">
        <v>0</v>
      </c>
      <c r="X176">
        <v>0</v>
      </c>
      <c r="Y176">
        <v>0</v>
      </c>
      <c r="Z176" s="11">
        <f>InterviewsRaw[[#This Row],[Chi Kept]]+InterviewsRaw[[#This Row],[Chi Released]]</f>
        <v>0</v>
      </c>
      <c r="AA176">
        <f>InterviewsRaw[[#This Row],[Co Kept]]+InterviewsRaw[[#This Row],[Co Released ]]</f>
        <v>0</v>
      </c>
      <c r="AB176">
        <f>InterviewsRaw[[#This Row],[Pink Kept]]+InterviewsRaw[[#This Row],[Pink Released]]</f>
        <v>0</v>
      </c>
      <c r="AC176">
        <f>InterviewsRaw[[#This Row],[Chu Kept]]+InterviewsRaw[[#This Row],[Chu Released]]</f>
        <v>0</v>
      </c>
    </row>
    <row r="177" spans="1:30" x14ac:dyDescent="0.3">
      <c r="A177" s="7">
        <v>45982</v>
      </c>
      <c r="B177">
        <v>14</v>
      </c>
      <c r="C177" t="s">
        <v>236</v>
      </c>
      <c r="D177" t="s">
        <v>42</v>
      </c>
      <c r="E177">
        <v>4</v>
      </c>
      <c r="F177">
        <v>4</v>
      </c>
      <c r="G177">
        <v>3</v>
      </c>
      <c r="H177" t="s">
        <v>241</v>
      </c>
      <c r="I177">
        <v>1</v>
      </c>
      <c r="J177" s="10">
        <v>0.47916666666666669</v>
      </c>
      <c r="K177" s="10">
        <v>0.52430555555555558</v>
      </c>
      <c r="L177" s="10">
        <f t="shared" si="0"/>
        <v>4.5138888888888895E-2</v>
      </c>
      <c r="M177" s="12">
        <f t="shared" si="1"/>
        <v>1.0833333333333335</v>
      </c>
      <c r="N177" s="12">
        <f>InterviewsRaw[[#This Row],[Trip Hours]]*InterviewsRaw[[#This Row],['#Angler]]</f>
        <v>1.0833333333333335</v>
      </c>
      <c r="O177" t="s">
        <v>342</v>
      </c>
      <c r="R177" s="11">
        <v>0</v>
      </c>
      <c r="S177">
        <v>0</v>
      </c>
      <c r="T177">
        <v>0</v>
      </c>
      <c r="U177">
        <v>0</v>
      </c>
      <c r="V177" s="11">
        <v>0</v>
      </c>
      <c r="W177">
        <v>0</v>
      </c>
      <c r="X177">
        <v>0</v>
      </c>
      <c r="Y177">
        <v>0</v>
      </c>
      <c r="Z177" s="11">
        <f>InterviewsRaw[[#This Row],[Chi Kept]]+InterviewsRaw[[#This Row],[Chi Released]]</f>
        <v>0</v>
      </c>
      <c r="AA177">
        <f>InterviewsRaw[[#This Row],[Co Kept]]+InterviewsRaw[[#This Row],[Co Released ]]</f>
        <v>0</v>
      </c>
      <c r="AB177">
        <f>InterviewsRaw[[#This Row],[Pink Kept]]+InterviewsRaw[[#This Row],[Pink Released]]</f>
        <v>0</v>
      </c>
      <c r="AC177">
        <f>InterviewsRaw[[#This Row],[Chu Kept]]+InterviewsRaw[[#This Row],[Chu Released]]</f>
        <v>0</v>
      </c>
    </row>
    <row r="178" spans="1:30" x14ac:dyDescent="0.3">
      <c r="A178" s="7">
        <v>45982</v>
      </c>
      <c r="B178">
        <v>14</v>
      </c>
      <c r="C178" t="s">
        <v>236</v>
      </c>
      <c r="D178" t="s">
        <v>42</v>
      </c>
      <c r="E178">
        <v>5</v>
      </c>
      <c r="F178">
        <v>4</v>
      </c>
      <c r="G178">
        <v>3</v>
      </c>
      <c r="H178" t="s">
        <v>241</v>
      </c>
      <c r="I178">
        <v>1</v>
      </c>
      <c r="J178" s="10">
        <v>0.52083333333333337</v>
      </c>
      <c r="K178" s="10">
        <v>0.53680555555555554</v>
      </c>
      <c r="L178" s="10">
        <f t="shared" si="0"/>
        <v>1.5972222222222165E-2</v>
      </c>
      <c r="M178" s="12">
        <f t="shared" si="1"/>
        <v>0.38333333333333197</v>
      </c>
      <c r="N178" s="12">
        <f>InterviewsRaw[[#This Row],[Trip Hours]]*InterviewsRaw[[#This Row],['#Angler]]</f>
        <v>0.38333333333333197</v>
      </c>
      <c r="O178" t="s">
        <v>342</v>
      </c>
      <c r="R178" s="11">
        <v>0</v>
      </c>
      <c r="S178">
        <v>0</v>
      </c>
      <c r="T178">
        <v>0</v>
      </c>
      <c r="U178">
        <v>0</v>
      </c>
      <c r="V178" s="11">
        <v>0</v>
      </c>
      <c r="W178">
        <v>0</v>
      </c>
      <c r="X178">
        <v>0</v>
      </c>
      <c r="Y178">
        <v>0</v>
      </c>
      <c r="Z178" s="11">
        <f>InterviewsRaw[[#This Row],[Chi Kept]]+InterviewsRaw[[#This Row],[Chi Released]]</f>
        <v>0</v>
      </c>
      <c r="AA178">
        <f>InterviewsRaw[[#This Row],[Co Kept]]+InterviewsRaw[[#This Row],[Co Released ]]</f>
        <v>0</v>
      </c>
      <c r="AB178">
        <f>InterviewsRaw[[#This Row],[Pink Kept]]+InterviewsRaw[[#This Row],[Pink Released]]</f>
        <v>0</v>
      </c>
      <c r="AC178">
        <f>InterviewsRaw[[#This Row],[Chu Kept]]+InterviewsRaw[[#This Row],[Chu Released]]</f>
        <v>0</v>
      </c>
    </row>
    <row r="179" spans="1:30" x14ac:dyDescent="0.3">
      <c r="A179" s="7">
        <v>45982</v>
      </c>
      <c r="B179">
        <v>14</v>
      </c>
      <c r="C179" t="s">
        <v>236</v>
      </c>
      <c r="D179" t="s">
        <v>42</v>
      </c>
      <c r="E179">
        <v>6</v>
      </c>
      <c r="F179">
        <v>4</v>
      </c>
      <c r="G179">
        <v>3</v>
      </c>
      <c r="H179" t="s">
        <v>241</v>
      </c>
      <c r="I179">
        <v>2</v>
      </c>
      <c r="J179" s="10">
        <v>0.29166666666666669</v>
      </c>
      <c r="K179" s="10">
        <v>0.54305555555555551</v>
      </c>
      <c r="L179" s="10">
        <f t="shared" si="0"/>
        <v>0.25138888888888883</v>
      </c>
      <c r="M179" s="12">
        <f t="shared" si="1"/>
        <v>6.0333333333333314</v>
      </c>
      <c r="N179" s="12">
        <f>InterviewsRaw[[#This Row],[Trip Hours]]*InterviewsRaw[[#This Row],['#Angler]]</f>
        <v>12.066666666666663</v>
      </c>
      <c r="O179" t="s">
        <v>342</v>
      </c>
      <c r="P179" t="s">
        <v>29</v>
      </c>
      <c r="R179" s="11">
        <v>0</v>
      </c>
      <c r="S179">
        <v>0</v>
      </c>
      <c r="T179">
        <v>0</v>
      </c>
      <c r="U179">
        <v>0</v>
      </c>
      <c r="V179" s="11">
        <v>0</v>
      </c>
      <c r="W179">
        <v>0</v>
      </c>
      <c r="X179">
        <v>0</v>
      </c>
      <c r="Y179">
        <v>0</v>
      </c>
      <c r="Z179" s="11">
        <f>InterviewsRaw[[#This Row],[Chi Kept]]+InterviewsRaw[[#This Row],[Chi Released]]</f>
        <v>0</v>
      </c>
      <c r="AA179">
        <f>InterviewsRaw[[#This Row],[Co Kept]]+InterviewsRaw[[#This Row],[Co Released ]]</f>
        <v>0</v>
      </c>
      <c r="AB179">
        <f>InterviewsRaw[[#This Row],[Pink Kept]]+InterviewsRaw[[#This Row],[Pink Released]]</f>
        <v>0</v>
      </c>
      <c r="AC179">
        <f>InterviewsRaw[[#This Row],[Chu Kept]]+InterviewsRaw[[#This Row],[Chu Released]]</f>
        <v>0</v>
      </c>
    </row>
    <row r="180" spans="1:30" x14ac:dyDescent="0.3">
      <c r="A180" s="7">
        <v>45982</v>
      </c>
      <c r="B180">
        <v>14</v>
      </c>
      <c r="C180" t="s">
        <v>236</v>
      </c>
      <c r="D180" t="s">
        <v>42</v>
      </c>
      <c r="E180">
        <v>7</v>
      </c>
      <c r="F180">
        <v>4</v>
      </c>
      <c r="G180">
        <v>3</v>
      </c>
      <c r="H180" t="s">
        <v>344</v>
      </c>
      <c r="I180">
        <v>2</v>
      </c>
      <c r="J180" s="10">
        <v>0.375</v>
      </c>
      <c r="K180" s="10">
        <v>0.54166666666666663</v>
      </c>
      <c r="L180" s="10">
        <f t="shared" si="0"/>
        <v>0.16666666666666663</v>
      </c>
      <c r="M180" s="12">
        <f t="shared" si="1"/>
        <v>3.9999999999999991</v>
      </c>
      <c r="N180" s="12">
        <f>InterviewsRaw[[#This Row],[Trip Hours]]*InterviewsRaw[[#This Row],['#Angler]]</f>
        <v>7.9999999999999982</v>
      </c>
      <c r="O180" t="s">
        <v>342</v>
      </c>
      <c r="P180" t="s">
        <v>112</v>
      </c>
      <c r="Q180" t="s">
        <v>238</v>
      </c>
      <c r="R180" s="11">
        <v>0</v>
      </c>
      <c r="S180">
        <v>0</v>
      </c>
      <c r="T180">
        <v>0</v>
      </c>
      <c r="U180">
        <v>0</v>
      </c>
      <c r="V180" s="11">
        <v>0</v>
      </c>
      <c r="W180">
        <v>0</v>
      </c>
      <c r="X180">
        <v>0</v>
      </c>
      <c r="Y180">
        <v>0</v>
      </c>
      <c r="Z180" s="11">
        <f>InterviewsRaw[[#This Row],[Chi Kept]]+InterviewsRaw[[#This Row],[Chi Released]]</f>
        <v>0</v>
      </c>
      <c r="AA180">
        <f>InterviewsRaw[[#This Row],[Co Kept]]+InterviewsRaw[[#This Row],[Co Released ]]</f>
        <v>0</v>
      </c>
      <c r="AB180">
        <f>InterviewsRaw[[#This Row],[Pink Kept]]+InterviewsRaw[[#This Row],[Pink Released]]</f>
        <v>0</v>
      </c>
      <c r="AC180">
        <f>InterviewsRaw[[#This Row],[Chu Kept]]+InterviewsRaw[[#This Row],[Chu Released]]</f>
        <v>0</v>
      </c>
    </row>
    <row r="181" spans="1:30" x14ac:dyDescent="0.3">
      <c r="A181" s="7">
        <v>45982</v>
      </c>
      <c r="B181">
        <v>14</v>
      </c>
      <c r="C181" t="s">
        <v>236</v>
      </c>
      <c r="D181" t="s">
        <v>42</v>
      </c>
      <c r="E181">
        <v>8</v>
      </c>
      <c r="F181">
        <v>4</v>
      </c>
      <c r="G181">
        <v>2</v>
      </c>
      <c r="H181" t="s">
        <v>241</v>
      </c>
      <c r="I181">
        <v>2</v>
      </c>
      <c r="J181" s="10">
        <v>0.5</v>
      </c>
      <c r="K181" s="10">
        <v>0.56388888888888888</v>
      </c>
      <c r="L181" s="10">
        <f t="shared" si="0"/>
        <v>6.3888888888888884E-2</v>
      </c>
      <c r="M181" s="12">
        <f t="shared" si="1"/>
        <v>1.5333333333333332</v>
      </c>
      <c r="N181" s="12">
        <f>InterviewsRaw[[#This Row],[Trip Hours]]*InterviewsRaw[[#This Row],['#Angler]]</f>
        <v>3.0666666666666664</v>
      </c>
      <c r="O181" t="s">
        <v>342</v>
      </c>
      <c r="P181" t="s">
        <v>29</v>
      </c>
      <c r="R181" s="11">
        <v>0</v>
      </c>
      <c r="S181">
        <v>0</v>
      </c>
      <c r="T181">
        <v>0</v>
      </c>
      <c r="U181">
        <v>0</v>
      </c>
      <c r="V181" s="11">
        <v>0</v>
      </c>
      <c r="W181">
        <v>0</v>
      </c>
      <c r="X181">
        <v>0</v>
      </c>
      <c r="Y181">
        <v>1</v>
      </c>
      <c r="Z181" s="11">
        <f>InterviewsRaw[[#This Row],[Chi Kept]]+InterviewsRaw[[#This Row],[Chi Released]]</f>
        <v>0</v>
      </c>
      <c r="AA181">
        <f>InterviewsRaw[[#This Row],[Co Kept]]+InterviewsRaw[[#This Row],[Co Released ]]</f>
        <v>0</v>
      </c>
      <c r="AB181">
        <f>InterviewsRaw[[#This Row],[Pink Kept]]+InterviewsRaw[[#This Row],[Pink Released]]</f>
        <v>0</v>
      </c>
      <c r="AC181">
        <f>InterviewsRaw[[#This Row],[Chu Kept]]+InterviewsRaw[[#This Row],[Chu Released]]</f>
        <v>1</v>
      </c>
    </row>
    <row r="182" spans="1:30" x14ac:dyDescent="0.3">
      <c r="A182" s="7">
        <v>45982</v>
      </c>
      <c r="B182">
        <v>14</v>
      </c>
      <c r="C182" t="s">
        <v>236</v>
      </c>
      <c r="D182" t="s">
        <v>42</v>
      </c>
      <c r="E182">
        <v>9</v>
      </c>
      <c r="F182">
        <v>3</v>
      </c>
      <c r="G182">
        <v>8</v>
      </c>
      <c r="H182" t="s">
        <v>241</v>
      </c>
      <c r="I182">
        <v>1</v>
      </c>
      <c r="J182" s="10">
        <v>0.47916666666666669</v>
      </c>
      <c r="K182" s="10">
        <v>0.60069444444444442</v>
      </c>
      <c r="L182" s="10">
        <f t="shared" si="0"/>
        <v>0.12152777777777773</v>
      </c>
      <c r="M182" s="12">
        <f t="shared" si="1"/>
        <v>2.9166666666666656</v>
      </c>
      <c r="N182" s="12">
        <f>InterviewsRaw[[#This Row],[Trip Hours]]*InterviewsRaw[[#This Row],['#Angler]]</f>
        <v>2.9166666666666656</v>
      </c>
      <c r="O182" t="s">
        <v>342</v>
      </c>
      <c r="R182" s="11">
        <v>0</v>
      </c>
      <c r="S182">
        <v>0</v>
      </c>
      <c r="T182">
        <v>0</v>
      </c>
      <c r="U182">
        <v>0</v>
      </c>
      <c r="V182" s="11">
        <v>0</v>
      </c>
      <c r="W182">
        <v>0</v>
      </c>
      <c r="X182">
        <v>1</v>
      </c>
      <c r="Y182">
        <v>0</v>
      </c>
      <c r="Z182" s="11">
        <f>InterviewsRaw[[#This Row],[Chi Kept]]+InterviewsRaw[[#This Row],[Chi Released]]</f>
        <v>0</v>
      </c>
      <c r="AA182">
        <f>InterviewsRaw[[#This Row],[Co Kept]]+InterviewsRaw[[#This Row],[Co Released ]]</f>
        <v>0</v>
      </c>
      <c r="AB182">
        <f>InterviewsRaw[[#This Row],[Pink Kept]]+InterviewsRaw[[#This Row],[Pink Released]]</f>
        <v>1</v>
      </c>
      <c r="AC182">
        <f>InterviewsRaw[[#This Row],[Chu Kept]]+InterviewsRaw[[#This Row],[Chu Released]]</f>
        <v>0</v>
      </c>
    </row>
    <row r="183" spans="1:30" x14ac:dyDescent="0.3">
      <c r="A183" s="7">
        <v>45983</v>
      </c>
      <c r="B183">
        <v>14</v>
      </c>
      <c r="C183" t="s">
        <v>250</v>
      </c>
      <c r="D183" t="s">
        <v>26</v>
      </c>
      <c r="E183">
        <v>1</v>
      </c>
      <c r="F183">
        <v>3</v>
      </c>
      <c r="G183">
        <v>8</v>
      </c>
      <c r="H183" t="s">
        <v>241</v>
      </c>
      <c r="I183">
        <v>2</v>
      </c>
      <c r="J183" s="10">
        <v>0.3125</v>
      </c>
      <c r="K183" s="10">
        <v>0.38750000000000001</v>
      </c>
      <c r="L183" s="10">
        <f t="shared" si="0"/>
        <v>7.5000000000000011E-2</v>
      </c>
      <c r="M183" s="12">
        <f t="shared" si="1"/>
        <v>1.8000000000000003</v>
      </c>
      <c r="N183" s="12">
        <f>InterviewsRaw[[#This Row],[Trip Hours]]*InterviewsRaw[[#This Row],['#Angler]]</f>
        <v>3.6000000000000005</v>
      </c>
      <c r="O183" t="s">
        <v>342</v>
      </c>
      <c r="P183" t="s">
        <v>29</v>
      </c>
      <c r="R183" s="11">
        <v>0</v>
      </c>
      <c r="S183">
        <v>0</v>
      </c>
      <c r="T183">
        <v>0</v>
      </c>
      <c r="U183">
        <v>0</v>
      </c>
      <c r="V183" s="11">
        <v>0</v>
      </c>
      <c r="W183">
        <v>0</v>
      </c>
      <c r="X183">
        <v>0</v>
      </c>
      <c r="Y183">
        <v>0</v>
      </c>
      <c r="Z183" s="11">
        <f>InterviewsRaw[[#This Row],[Chi Kept]]+InterviewsRaw[[#This Row],[Chi Released]]</f>
        <v>0</v>
      </c>
      <c r="AA183">
        <f>InterviewsRaw[[#This Row],[Co Kept]]+InterviewsRaw[[#This Row],[Co Released ]]</f>
        <v>0</v>
      </c>
      <c r="AB183">
        <f>InterviewsRaw[[#This Row],[Pink Kept]]+InterviewsRaw[[#This Row],[Pink Released]]</f>
        <v>0</v>
      </c>
      <c r="AC183">
        <f>InterviewsRaw[[#This Row],[Chu Kept]]+InterviewsRaw[[#This Row],[Chu Released]]</f>
        <v>0</v>
      </c>
    </row>
    <row r="184" spans="1:30" x14ac:dyDescent="0.3">
      <c r="A184" s="7">
        <v>45983</v>
      </c>
      <c r="B184">
        <v>14</v>
      </c>
      <c r="C184" t="s">
        <v>250</v>
      </c>
      <c r="D184" t="s">
        <v>26</v>
      </c>
      <c r="E184">
        <v>2</v>
      </c>
      <c r="F184">
        <v>4</v>
      </c>
      <c r="G184">
        <v>2</v>
      </c>
      <c r="H184" t="s">
        <v>241</v>
      </c>
      <c r="I184">
        <v>1</v>
      </c>
      <c r="J184" s="10">
        <v>0.3125</v>
      </c>
      <c r="K184" s="10">
        <v>0.40694444444444444</v>
      </c>
      <c r="L184" s="10">
        <f t="shared" si="0"/>
        <v>9.4444444444444442E-2</v>
      </c>
      <c r="M184" s="12">
        <f t="shared" si="1"/>
        <v>2.2666666666666666</v>
      </c>
      <c r="N184" s="12">
        <f>InterviewsRaw[[#This Row],[Trip Hours]]*InterviewsRaw[[#This Row],['#Angler]]</f>
        <v>2.2666666666666666</v>
      </c>
      <c r="O184" t="s">
        <v>342</v>
      </c>
      <c r="P184" t="s">
        <v>112</v>
      </c>
      <c r="R184" s="11">
        <v>0</v>
      </c>
      <c r="S184">
        <v>0</v>
      </c>
      <c r="T184">
        <v>0</v>
      </c>
      <c r="U184">
        <v>0</v>
      </c>
      <c r="V184" s="11">
        <v>0</v>
      </c>
      <c r="W184">
        <v>0</v>
      </c>
      <c r="X184">
        <v>0</v>
      </c>
      <c r="Y184">
        <v>0</v>
      </c>
      <c r="Z184" s="11">
        <f>InterviewsRaw[[#This Row],[Chi Kept]]+InterviewsRaw[[#This Row],[Chi Released]]</f>
        <v>0</v>
      </c>
      <c r="AA184">
        <f>InterviewsRaw[[#This Row],[Co Kept]]+InterviewsRaw[[#This Row],[Co Released ]]</f>
        <v>0</v>
      </c>
      <c r="AB184">
        <f>InterviewsRaw[[#This Row],[Pink Kept]]+InterviewsRaw[[#This Row],[Pink Released]]</f>
        <v>0</v>
      </c>
      <c r="AC184">
        <f>InterviewsRaw[[#This Row],[Chu Kept]]+InterviewsRaw[[#This Row],[Chu Released]]</f>
        <v>0</v>
      </c>
      <c r="AD184" s="11" t="s">
        <v>376</v>
      </c>
    </row>
    <row r="185" spans="1:30" x14ac:dyDescent="0.3">
      <c r="A185" s="7">
        <v>45983</v>
      </c>
      <c r="B185">
        <v>14</v>
      </c>
      <c r="C185" t="s">
        <v>250</v>
      </c>
      <c r="D185" t="s">
        <v>26</v>
      </c>
      <c r="E185">
        <v>3</v>
      </c>
      <c r="F185">
        <v>4</v>
      </c>
      <c r="G185">
        <v>3</v>
      </c>
      <c r="H185" t="s">
        <v>241</v>
      </c>
      <c r="I185">
        <v>1</v>
      </c>
      <c r="J185" s="10">
        <v>0.27083333333333331</v>
      </c>
      <c r="K185" s="10">
        <v>0.42916666666666664</v>
      </c>
      <c r="L185" s="10">
        <f t="shared" si="0"/>
        <v>0.15833333333333333</v>
      </c>
      <c r="M185" s="12">
        <f t="shared" si="1"/>
        <v>3.8</v>
      </c>
      <c r="N185" s="12">
        <f>InterviewsRaw[[#This Row],[Trip Hours]]*InterviewsRaw[[#This Row],['#Angler]]</f>
        <v>3.8</v>
      </c>
      <c r="O185" t="s">
        <v>342</v>
      </c>
      <c r="P185" t="s">
        <v>186</v>
      </c>
      <c r="R185" s="11">
        <v>0</v>
      </c>
      <c r="S185">
        <v>0</v>
      </c>
      <c r="T185">
        <v>0</v>
      </c>
      <c r="U185">
        <v>0</v>
      </c>
      <c r="V185" s="11">
        <v>0</v>
      </c>
      <c r="W185">
        <v>0</v>
      </c>
      <c r="X185">
        <v>0</v>
      </c>
      <c r="Y185">
        <v>0</v>
      </c>
      <c r="Z185" s="11">
        <f>InterviewsRaw[[#This Row],[Chi Kept]]+InterviewsRaw[[#This Row],[Chi Released]]</f>
        <v>0</v>
      </c>
      <c r="AA185">
        <f>InterviewsRaw[[#This Row],[Co Kept]]+InterviewsRaw[[#This Row],[Co Released ]]</f>
        <v>0</v>
      </c>
      <c r="AB185">
        <f>InterviewsRaw[[#This Row],[Pink Kept]]+InterviewsRaw[[#This Row],[Pink Released]]</f>
        <v>0</v>
      </c>
      <c r="AC185">
        <f>InterviewsRaw[[#This Row],[Chu Kept]]+InterviewsRaw[[#This Row],[Chu Released]]</f>
        <v>0</v>
      </c>
    </row>
    <row r="186" spans="1:30" x14ac:dyDescent="0.3">
      <c r="A186" s="7">
        <v>45983</v>
      </c>
      <c r="B186">
        <v>14</v>
      </c>
      <c r="C186" t="s">
        <v>250</v>
      </c>
      <c r="D186" t="s">
        <v>26</v>
      </c>
      <c r="E186">
        <v>4</v>
      </c>
      <c r="F186">
        <v>4</v>
      </c>
      <c r="G186">
        <v>3</v>
      </c>
      <c r="H186" t="s">
        <v>241</v>
      </c>
      <c r="I186">
        <v>2</v>
      </c>
      <c r="J186" s="10">
        <v>0.33333333333333331</v>
      </c>
      <c r="K186" s="10">
        <v>0.43194444444444446</v>
      </c>
      <c r="L186" s="10">
        <f t="shared" si="0"/>
        <v>9.8611111111111149E-2</v>
      </c>
      <c r="M186" s="12">
        <f t="shared" si="1"/>
        <v>2.3666666666666676</v>
      </c>
      <c r="N186" s="12">
        <f>InterviewsRaw[[#This Row],[Trip Hours]]*InterviewsRaw[[#This Row],['#Angler]]</f>
        <v>4.7333333333333352</v>
      </c>
      <c r="O186" t="s">
        <v>342</v>
      </c>
      <c r="P186" t="s">
        <v>29</v>
      </c>
      <c r="R186" s="11">
        <v>0</v>
      </c>
      <c r="S186">
        <v>0</v>
      </c>
      <c r="T186">
        <v>0</v>
      </c>
      <c r="U186">
        <v>0</v>
      </c>
      <c r="V186" s="11">
        <v>0</v>
      </c>
      <c r="W186">
        <v>0</v>
      </c>
      <c r="X186">
        <v>0</v>
      </c>
      <c r="Y186">
        <v>0</v>
      </c>
      <c r="Z186" s="11">
        <f>InterviewsRaw[[#This Row],[Chi Kept]]+InterviewsRaw[[#This Row],[Chi Released]]</f>
        <v>0</v>
      </c>
      <c r="AA186">
        <f>InterviewsRaw[[#This Row],[Co Kept]]+InterviewsRaw[[#This Row],[Co Released ]]</f>
        <v>0</v>
      </c>
      <c r="AB186">
        <f>InterviewsRaw[[#This Row],[Pink Kept]]+InterviewsRaw[[#This Row],[Pink Released]]</f>
        <v>0</v>
      </c>
      <c r="AC186">
        <f>InterviewsRaw[[#This Row],[Chu Kept]]+InterviewsRaw[[#This Row],[Chu Released]]</f>
        <v>0</v>
      </c>
    </row>
    <row r="187" spans="1:30" x14ac:dyDescent="0.3">
      <c r="A187" s="7">
        <v>45983</v>
      </c>
      <c r="B187">
        <v>14</v>
      </c>
      <c r="C187" t="s">
        <v>250</v>
      </c>
      <c r="D187" t="s">
        <v>26</v>
      </c>
      <c r="E187">
        <v>5</v>
      </c>
      <c r="F187">
        <v>4</v>
      </c>
      <c r="G187">
        <v>3</v>
      </c>
      <c r="H187" t="s">
        <v>241</v>
      </c>
      <c r="I187">
        <v>1</v>
      </c>
      <c r="J187" s="10">
        <v>0.33333333333333331</v>
      </c>
      <c r="K187" s="10">
        <v>0.43263888888888891</v>
      </c>
      <c r="L187" s="10">
        <f t="shared" si="0"/>
        <v>9.9305555555555591E-2</v>
      </c>
      <c r="M187" s="12">
        <f t="shared" si="1"/>
        <v>2.3833333333333342</v>
      </c>
      <c r="N187" s="12">
        <f>InterviewsRaw[[#This Row],[Trip Hours]]*InterviewsRaw[[#This Row],['#Angler]]</f>
        <v>2.3833333333333342</v>
      </c>
      <c r="O187" t="s">
        <v>342</v>
      </c>
      <c r="P187" t="s">
        <v>29</v>
      </c>
      <c r="R187" s="11">
        <v>0</v>
      </c>
      <c r="S187">
        <v>0</v>
      </c>
      <c r="T187">
        <v>0</v>
      </c>
      <c r="U187">
        <v>0</v>
      </c>
      <c r="V187" s="11">
        <v>0</v>
      </c>
      <c r="W187">
        <v>0</v>
      </c>
      <c r="X187">
        <v>0</v>
      </c>
      <c r="Y187">
        <v>0</v>
      </c>
      <c r="Z187" s="11">
        <f>InterviewsRaw[[#This Row],[Chi Kept]]+InterviewsRaw[[#This Row],[Chi Released]]</f>
        <v>0</v>
      </c>
      <c r="AA187">
        <f>InterviewsRaw[[#This Row],[Co Kept]]+InterviewsRaw[[#This Row],[Co Released ]]</f>
        <v>0</v>
      </c>
      <c r="AB187">
        <f>InterviewsRaw[[#This Row],[Pink Kept]]+InterviewsRaw[[#This Row],[Pink Released]]</f>
        <v>0</v>
      </c>
      <c r="AC187">
        <f>InterviewsRaw[[#This Row],[Chu Kept]]+InterviewsRaw[[#This Row],[Chu Released]]</f>
        <v>0</v>
      </c>
    </row>
    <row r="188" spans="1:30" x14ac:dyDescent="0.3">
      <c r="A188" s="7">
        <v>45983</v>
      </c>
      <c r="B188">
        <v>14</v>
      </c>
      <c r="C188" t="s">
        <v>250</v>
      </c>
      <c r="D188" t="s">
        <v>26</v>
      </c>
      <c r="E188">
        <v>6</v>
      </c>
      <c r="F188">
        <v>4</v>
      </c>
      <c r="G188">
        <v>3</v>
      </c>
      <c r="H188" t="s">
        <v>241</v>
      </c>
      <c r="I188">
        <v>1</v>
      </c>
      <c r="J188" s="10">
        <v>0.3125</v>
      </c>
      <c r="K188" s="10">
        <v>0.43333333333333335</v>
      </c>
      <c r="L188" s="10">
        <f t="shared" si="0"/>
        <v>0.12083333333333335</v>
      </c>
      <c r="M188" s="12">
        <f t="shared" si="1"/>
        <v>2.9000000000000004</v>
      </c>
      <c r="N188" s="12">
        <f>InterviewsRaw[[#This Row],[Trip Hours]]*InterviewsRaw[[#This Row],['#Angler]]</f>
        <v>2.9000000000000004</v>
      </c>
      <c r="O188" t="s">
        <v>342</v>
      </c>
      <c r="P188" t="s">
        <v>29</v>
      </c>
      <c r="R188" s="11">
        <v>0</v>
      </c>
      <c r="S188">
        <v>0</v>
      </c>
      <c r="T188">
        <v>0</v>
      </c>
      <c r="U188">
        <v>0</v>
      </c>
      <c r="V188" s="11">
        <v>0</v>
      </c>
      <c r="W188">
        <v>0</v>
      </c>
      <c r="X188">
        <v>0</v>
      </c>
      <c r="Y188">
        <v>0</v>
      </c>
      <c r="Z188" s="11">
        <f>InterviewsRaw[[#This Row],[Chi Kept]]+InterviewsRaw[[#This Row],[Chi Released]]</f>
        <v>0</v>
      </c>
      <c r="AA188">
        <f>InterviewsRaw[[#This Row],[Co Kept]]+InterviewsRaw[[#This Row],[Co Released ]]</f>
        <v>0</v>
      </c>
      <c r="AB188">
        <f>InterviewsRaw[[#This Row],[Pink Kept]]+InterviewsRaw[[#This Row],[Pink Released]]</f>
        <v>0</v>
      </c>
      <c r="AC188">
        <f>InterviewsRaw[[#This Row],[Chu Kept]]+InterviewsRaw[[#This Row],[Chu Released]]</f>
        <v>0</v>
      </c>
    </row>
    <row r="189" spans="1:30" x14ac:dyDescent="0.3">
      <c r="A189" s="7">
        <v>45983</v>
      </c>
      <c r="B189">
        <v>14</v>
      </c>
      <c r="C189" t="s">
        <v>250</v>
      </c>
      <c r="D189" t="s">
        <v>26</v>
      </c>
      <c r="E189">
        <v>7</v>
      </c>
      <c r="F189">
        <v>4</v>
      </c>
      <c r="G189">
        <v>3</v>
      </c>
      <c r="H189" t="s">
        <v>241</v>
      </c>
      <c r="I189">
        <v>1</v>
      </c>
      <c r="J189" s="10">
        <v>0.33333333333333331</v>
      </c>
      <c r="K189" s="10">
        <v>0.4375</v>
      </c>
      <c r="L189" s="10">
        <f t="shared" si="0"/>
        <v>0.10416666666666669</v>
      </c>
      <c r="M189" s="12">
        <f t="shared" si="1"/>
        <v>2.5000000000000004</v>
      </c>
      <c r="N189" s="12">
        <f>InterviewsRaw[[#This Row],[Trip Hours]]*InterviewsRaw[[#This Row],['#Angler]]</f>
        <v>2.5000000000000004</v>
      </c>
      <c r="O189" t="s">
        <v>342</v>
      </c>
      <c r="P189" t="s">
        <v>29</v>
      </c>
      <c r="R189" s="11">
        <v>0</v>
      </c>
      <c r="S189">
        <v>0</v>
      </c>
      <c r="T189">
        <v>0</v>
      </c>
      <c r="U189">
        <v>0</v>
      </c>
      <c r="V189" s="11">
        <v>0</v>
      </c>
      <c r="W189">
        <v>0</v>
      </c>
      <c r="X189">
        <v>0</v>
      </c>
      <c r="Y189">
        <v>0</v>
      </c>
      <c r="Z189" s="11">
        <f>InterviewsRaw[[#This Row],[Chi Kept]]+InterviewsRaw[[#This Row],[Chi Released]]</f>
        <v>0</v>
      </c>
      <c r="AA189">
        <f>InterviewsRaw[[#This Row],[Co Kept]]+InterviewsRaw[[#This Row],[Co Released ]]</f>
        <v>0</v>
      </c>
      <c r="AB189">
        <f>InterviewsRaw[[#This Row],[Pink Kept]]+InterviewsRaw[[#This Row],[Pink Released]]</f>
        <v>0</v>
      </c>
      <c r="AC189">
        <f>InterviewsRaw[[#This Row],[Chu Kept]]+InterviewsRaw[[#This Row],[Chu Released]]</f>
        <v>0</v>
      </c>
    </row>
    <row r="190" spans="1:30" x14ac:dyDescent="0.3">
      <c r="A190" s="7">
        <v>45983</v>
      </c>
      <c r="B190">
        <v>14</v>
      </c>
      <c r="C190" t="s">
        <v>250</v>
      </c>
      <c r="D190" t="s">
        <v>26</v>
      </c>
      <c r="E190">
        <v>8</v>
      </c>
      <c r="F190">
        <v>4</v>
      </c>
      <c r="G190">
        <v>3</v>
      </c>
      <c r="H190" t="s">
        <v>241</v>
      </c>
      <c r="I190">
        <v>1</v>
      </c>
      <c r="J190" s="10">
        <v>0.3125</v>
      </c>
      <c r="K190" s="10">
        <v>0.4375</v>
      </c>
      <c r="L190" s="10">
        <f t="shared" si="0"/>
        <v>0.125</v>
      </c>
      <c r="M190" s="12">
        <f t="shared" si="1"/>
        <v>3</v>
      </c>
      <c r="N190" s="12">
        <f>InterviewsRaw[[#This Row],[Trip Hours]]*InterviewsRaw[[#This Row],['#Angler]]</f>
        <v>3</v>
      </c>
      <c r="O190" t="s">
        <v>342</v>
      </c>
      <c r="P190" t="s">
        <v>29</v>
      </c>
      <c r="R190" s="11">
        <v>0</v>
      </c>
      <c r="S190">
        <v>0</v>
      </c>
      <c r="T190">
        <v>0</v>
      </c>
      <c r="U190">
        <v>0</v>
      </c>
      <c r="V190" s="11">
        <v>0</v>
      </c>
      <c r="W190">
        <v>0</v>
      </c>
      <c r="X190">
        <v>0</v>
      </c>
      <c r="Y190">
        <v>0</v>
      </c>
      <c r="Z190" s="11">
        <f>InterviewsRaw[[#This Row],[Chi Kept]]+InterviewsRaw[[#This Row],[Chi Released]]</f>
        <v>0</v>
      </c>
      <c r="AA190">
        <f>InterviewsRaw[[#This Row],[Co Kept]]+InterviewsRaw[[#This Row],[Co Released ]]</f>
        <v>0</v>
      </c>
      <c r="AB190">
        <f>InterviewsRaw[[#This Row],[Pink Kept]]+InterviewsRaw[[#This Row],[Pink Released]]</f>
        <v>0</v>
      </c>
      <c r="AC190">
        <f>InterviewsRaw[[#This Row],[Chu Kept]]+InterviewsRaw[[#This Row],[Chu Released]]</f>
        <v>0</v>
      </c>
    </row>
    <row r="191" spans="1:30" x14ac:dyDescent="0.3">
      <c r="A191" s="7">
        <v>45983</v>
      </c>
      <c r="B191">
        <v>14</v>
      </c>
      <c r="C191" t="s">
        <v>250</v>
      </c>
      <c r="D191" t="s">
        <v>26</v>
      </c>
      <c r="E191">
        <v>9</v>
      </c>
      <c r="F191">
        <v>4</v>
      </c>
      <c r="G191">
        <v>3</v>
      </c>
      <c r="H191" t="s">
        <v>241</v>
      </c>
      <c r="I191">
        <v>2</v>
      </c>
      <c r="J191" s="10">
        <v>0.33333333333333331</v>
      </c>
      <c r="K191" s="10">
        <v>0.44722222222222224</v>
      </c>
      <c r="L191" s="10">
        <f t="shared" si="0"/>
        <v>0.11388888888888893</v>
      </c>
      <c r="M191" s="12">
        <f t="shared" si="1"/>
        <v>2.7333333333333343</v>
      </c>
      <c r="N191" s="12">
        <f>InterviewsRaw[[#This Row],[Trip Hours]]*InterviewsRaw[[#This Row],['#Angler]]</f>
        <v>5.4666666666666686</v>
      </c>
      <c r="O191" t="s">
        <v>342</v>
      </c>
      <c r="R191" s="11">
        <v>0</v>
      </c>
      <c r="S191">
        <v>0</v>
      </c>
      <c r="T191">
        <v>0</v>
      </c>
      <c r="U191">
        <v>0</v>
      </c>
      <c r="V191" s="11">
        <v>0</v>
      </c>
      <c r="W191">
        <v>0</v>
      </c>
      <c r="X191">
        <v>0</v>
      </c>
      <c r="Y191">
        <v>0</v>
      </c>
      <c r="Z191" s="11">
        <f>InterviewsRaw[[#This Row],[Chi Kept]]+InterviewsRaw[[#This Row],[Chi Released]]</f>
        <v>0</v>
      </c>
      <c r="AA191">
        <f>InterviewsRaw[[#This Row],[Co Kept]]+InterviewsRaw[[#This Row],[Co Released ]]</f>
        <v>0</v>
      </c>
      <c r="AB191">
        <f>InterviewsRaw[[#This Row],[Pink Kept]]+InterviewsRaw[[#This Row],[Pink Released]]</f>
        <v>0</v>
      </c>
      <c r="AC191">
        <f>InterviewsRaw[[#This Row],[Chu Kept]]+InterviewsRaw[[#This Row],[Chu Released]]</f>
        <v>0</v>
      </c>
    </row>
    <row r="192" spans="1:30" x14ac:dyDescent="0.3">
      <c r="A192" s="7">
        <v>45983</v>
      </c>
      <c r="B192">
        <v>14</v>
      </c>
      <c r="C192" t="s">
        <v>250</v>
      </c>
      <c r="D192" t="s">
        <v>26</v>
      </c>
      <c r="E192">
        <v>10</v>
      </c>
      <c r="F192">
        <v>4</v>
      </c>
      <c r="G192">
        <v>5</v>
      </c>
      <c r="H192" t="s">
        <v>241</v>
      </c>
      <c r="I192">
        <v>1</v>
      </c>
      <c r="J192" s="10">
        <v>0.375</v>
      </c>
      <c r="K192" s="10">
        <v>0.47499999999999998</v>
      </c>
      <c r="L192" s="10">
        <f t="shared" si="0"/>
        <v>9.9999999999999978E-2</v>
      </c>
      <c r="M192" s="12">
        <f t="shared" si="1"/>
        <v>2.3999999999999995</v>
      </c>
      <c r="N192" s="12">
        <f>InterviewsRaw[[#This Row],[Trip Hours]]*InterviewsRaw[[#This Row],['#Angler]]</f>
        <v>2.3999999999999995</v>
      </c>
      <c r="O192" t="s">
        <v>342</v>
      </c>
      <c r="P192" t="s">
        <v>217</v>
      </c>
      <c r="R192" s="11">
        <v>0</v>
      </c>
      <c r="S192">
        <v>0</v>
      </c>
      <c r="T192">
        <v>0</v>
      </c>
      <c r="U192">
        <v>0</v>
      </c>
      <c r="V192" s="11">
        <v>0</v>
      </c>
      <c r="W192">
        <v>0</v>
      </c>
      <c r="X192">
        <v>0</v>
      </c>
      <c r="Y192">
        <v>0</v>
      </c>
      <c r="Z192" s="11">
        <f>InterviewsRaw[[#This Row],[Chi Kept]]+InterviewsRaw[[#This Row],[Chi Released]]</f>
        <v>0</v>
      </c>
      <c r="AA192">
        <f>InterviewsRaw[[#This Row],[Co Kept]]+InterviewsRaw[[#This Row],[Co Released ]]</f>
        <v>0</v>
      </c>
      <c r="AB192">
        <f>InterviewsRaw[[#This Row],[Pink Kept]]+InterviewsRaw[[#This Row],[Pink Released]]</f>
        <v>0</v>
      </c>
      <c r="AC192">
        <f>InterviewsRaw[[#This Row],[Chu Kept]]+InterviewsRaw[[#This Row],[Chu Released]]</f>
        <v>0</v>
      </c>
    </row>
    <row r="193" spans="1:30" x14ac:dyDescent="0.3">
      <c r="A193" s="7">
        <v>45983</v>
      </c>
      <c r="B193">
        <v>14</v>
      </c>
      <c r="C193" t="s">
        <v>250</v>
      </c>
      <c r="D193" t="s">
        <v>26</v>
      </c>
      <c r="E193">
        <v>11</v>
      </c>
      <c r="F193">
        <v>4</v>
      </c>
      <c r="G193">
        <v>5</v>
      </c>
      <c r="H193" t="s">
        <v>241</v>
      </c>
      <c r="I193">
        <v>2</v>
      </c>
      <c r="J193" s="10">
        <v>0.40625</v>
      </c>
      <c r="K193" s="10">
        <v>0.4777777777777778</v>
      </c>
      <c r="L193" s="10">
        <f t="shared" si="0"/>
        <v>7.1527777777777801E-2</v>
      </c>
      <c r="M193" s="12">
        <f t="shared" si="1"/>
        <v>1.7166666666666672</v>
      </c>
      <c r="N193" s="12">
        <f>InterviewsRaw[[#This Row],[Trip Hours]]*InterviewsRaw[[#This Row],['#Angler]]</f>
        <v>3.4333333333333345</v>
      </c>
      <c r="O193" t="s">
        <v>342</v>
      </c>
      <c r="R193" s="11">
        <v>0</v>
      </c>
      <c r="S193">
        <v>0</v>
      </c>
      <c r="T193">
        <v>0</v>
      </c>
      <c r="U193">
        <v>0</v>
      </c>
      <c r="V193" s="11">
        <v>0</v>
      </c>
      <c r="W193">
        <v>0</v>
      </c>
      <c r="X193">
        <v>0</v>
      </c>
      <c r="Y193">
        <v>0</v>
      </c>
      <c r="Z193" s="11">
        <f>InterviewsRaw[[#This Row],[Chi Kept]]+InterviewsRaw[[#This Row],[Chi Released]]</f>
        <v>0</v>
      </c>
      <c r="AA193">
        <f>InterviewsRaw[[#This Row],[Co Kept]]+InterviewsRaw[[#This Row],[Co Released ]]</f>
        <v>0</v>
      </c>
      <c r="AB193">
        <f>InterviewsRaw[[#This Row],[Pink Kept]]+InterviewsRaw[[#This Row],[Pink Released]]</f>
        <v>0</v>
      </c>
      <c r="AC193">
        <f>InterviewsRaw[[#This Row],[Chu Kept]]+InterviewsRaw[[#This Row],[Chu Released]]</f>
        <v>0</v>
      </c>
    </row>
    <row r="194" spans="1:30" x14ac:dyDescent="0.3">
      <c r="A194" s="7">
        <v>45983</v>
      </c>
      <c r="B194">
        <v>14</v>
      </c>
      <c r="C194" t="s">
        <v>250</v>
      </c>
      <c r="D194" t="s">
        <v>42</v>
      </c>
      <c r="E194">
        <v>12</v>
      </c>
      <c r="F194">
        <v>4</v>
      </c>
      <c r="G194">
        <v>2</v>
      </c>
      <c r="H194" t="s">
        <v>241</v>
      </c>
      <c r="I194">
        <v>1</v>
      </c>
      <c r="J194" s="10">
        <v>0.5</v>
      </c>
      <c r="K194" s="10">
        <v>0.59930555555555554</v>
      </c>
      <c r="L194" s="10">
        <f t="shared" ref="L194:L216" si="2">K194-J194</f>
        <v>9.9305555555555536E-2</v>
      </c>
      <c r="M194" s="12">
        <f t="shared" si="1"/>
        <v>2.3833333333333329</v>
      </c>
      <c r="N194" s="12">
        <f>InterviewsRaw[[#This Row],[Trip Hours]]*InterviewsRaw[[#This Row],['#Angler]]</f>
        <v>2.3833333333333329</v>
      </c>
      <c r="O194" t="s">
        <v>342</v>
      </c>
      <c r="R194" s="11">
        <v>0</v>
      </c>
      <c r="S194">
        <v>0</v>
      </c>
      <c r="T194">
        <v>0</v>
      </c>
      <c r="U194">
        <v>0</v>
      </c>
      <c r="V194" s="11">
        <v>0</v>
      </c>
      <c r="W194">
        <v>0</v>
      </c>
      <c r="X194">
        <v>0</v>
      </c>
      <c r="Y194">
        <v>0</v>
      </c>
      <c r="Z194" s="11">
        <f>InterviewsRaw[[#This Row],[Chi Kept]]+InterviewsRaw[[#This Row],[Chi Released]]</f>
        <v>0</v>
      </c>
      <c r="AA194">
        <f>InterviewsRaw[[#This Row],[Co Kept]]+InterviewsRaw[[#This Row],[Co Released ]]</f>
        <v>0</v>
      </c>
      <c r="AB194">
        <f>InterviewsRaw[[#This Row],[Pink Kept]]+InterviewsRaw[[#This Row],[Pink Released]]</f>
        <v>0</v>
      </c>
      <c r="AC194">
        <f>InterviewsRaw[[#This Row],[Chu Kept]]+InterviewsRaw[[#This Row],[Chu Released]]</f>
        <v>0</v>
      </c>
    </row>
    <row r="195" spans="1:30" x14ac:dyDescent="0.3">
      <c r="A195" s="7">
        <v>45983</v>
      </c>
      <c r="B195">
        <v>14</v>
      </c>
      <c r="C195" t="s">
        <v>250</v>
      </c>
      <c r="D195" t="s">
        <v>42</v>
      </c>
      <c r="E195">
        <v>13</v>
      </c>
      <c r="F195">
        <v>4</v>
      </c>
      <c r="G195">
        <v>3</v>
      </c>
      <c r="H195" t="s">
        <v>241</v>
      </c>
      <c r="I195">
        <v>1</v>
      </c>
      <c r="J195" s="10">
        <v>0.4375</v>
      </c>
      <c r="K195" s="10">
        <v>0.61319444444444449</v>
      </c>
      <c r="L195" s="10">
        <f t="shared" si="2"/>
        <v>0.17569444444444449</v>
      </c>
      <c r="M195" s="12">
        <f t="shared" si="1"/>
        <v>4.2166666666666677</v>
      </c>
      <c r="N195" s="12">
        <f>InterviewsRaw[[#This Row],[Trip Hours]]*InterviewsRaw[[#This Row],['#Angler]]</f>
        <v>4.2166666666666677</v>
      </c>
      <c r="O195" t="s">
        <v>342</v>
      </c>
      <c r="P195" t="s">
        <v>377</v>
      </c>
      <c r="R195" s="11">
        <v>0</v>
      </c>
      <c r="S195">
        <v>0</v>
      </c>
      <c r="T195">
        <v>0</v>
      </c>
      <c r="U195">
        <v>1</v>
      </c>
      <c r="V195" s="11">
        <v>0</v>
      </c>
      <c r="W195">
        <v>0</v>
      </c>
      <c r="X195">
        <v>0</v>
      </c>
      <c r="Y195">
        <v>1</v>
      </c>
      <c r="Z195" s="11">
        <f>InterviewsRaw[[#This Row],[Chi Kept]]+InterviewsRaw[[#This Row],[Chi Released]]</f>
        <v>0</v>
      </c>
      <c r="AA195">
        <f>InterviewsRaw[[#This Row],[Co Kept]]+InterviewsRaw[[#This Row],[Co Released ]]</f>
        <v>0</v>
      </c>
      <c r="AB195">
        <f>InterviewsRaw[[#This Row],[Pink Kept]]+InterviewsRaw[[#This Row],[Pink Released]]</f>
        <v>0</v>
      </c>
      <c r="AC195">
        <f>InterviewsRaw[[#This Row],[Chu Kept]]+InterviewsRaw[[#This Row],[Chu Released]]</f>
        <v>2</v>
      </c>
    </row>
    <row r="196" spans="1:30" x14ac:dyDescent="0.3">
      <c r="A196" s="7">
        <v>45983</v>
      </c>
      <c r="B196">
        <v>14</v>
      </c>
      <c r="C196" t="s">
        <v>250</v>
      </c>
      <c r="D196" t="s">
        <v>42</v>
      </c>
      <c r="E196">
        <v>14</v>
      </c>
      <c r="F196">
        <v>4</v>
      </c>
      <c r="G196">
        <v>3</v>
      </c>
      <c r="H196" t="s">
        <v>241</v>
      </c>
      <c r="I196">
        <v>1</v>
      </c>
      <c r="J196" s="10">
        <v>0.45833333333333331</v>
      </c>
      <c r="K196" s="10">
        <v>0.61388888888888893</v>
      </c>
      <c r="L196" s="10">
        <f t="shared" si="2"/>
        <v>0.15555555555555561</v>
      </c>
      <c r="M196" s="12">
        <f t="shared" si="1"/>
        <v>3.7333333333333347</v>
      </c>
      <c r="N196" s="12">
        <f>InterviewsRaw[[#This Row],[Trip Hours]]*InterviewsRaw[[#This Row],['#Angler]]</f>
        <v>3.7333333333333347</v>
      </c>
      <c r="O196" t="s">
        <v>342</v>
      </c>
      <c r="R196" s="11">
        <v>0</v>
      </c>
      <c r="S196">
        <v>0</v>
      </c>
      <c r="T196">
        <v>0</v>
      </c>
      <c r="U196">
        <v>0</v>
      </c>
      <c r="V196" s="11">
        <v>0</v>
      </c>
      <c r="W196">
        <v>0</v>
      </c>
      <c r="X196">
        <v>0</v>
      </c>
      <c r="Y196">
        <v>0</v>
      </c>
      <c r="Z196" s="11">
        <f>InterviewsRaw[[#This Row],[Chi Kept]]+InterviewsRaw[[#This Row],[Chi Released]]</f>
        <v>0</v>
      </c>
      <c r="AA196">
        <f>InterviewsRaw[[#This Row],[Co Kept]]+InterviewsRaw[[#This Row],[Co Released ]]</f>
        <v>0</v>
      </c>
      <c r="AB196">
        <f>InterviewsRaw[[#This Row],[Pink Kept]]+InterviewsRaw[[#This Row],[Pink Released]]</f>
        <v>0</v>
      </c>
      <c r="AC196">
        <f>InterviewsRaw[[#This Row],[Chu Kept]]+InterviewsRaw[[#This Row],[Chu Released]]</f>
        <v>0</v>
      </c>
    </row>
    <row r="197" spans="1:30" x14ac:dyDescent="0.3">
      <c r="A197" s="7">
        <v>45983</v>
      </c>
      <c r="B197">
        <v>14</v>
      </c>
      <c r="C197" t="s">
        <v>250</v>
      </c>
      <c r="D197" t="s">
        <v>42</v>
      </c>
      <c r="E197">
        <v>15</v>
      </c>
      <c r="F197">
        <v>4</v>
      </c>
      <c r="G197">
        <v>3</v>
      </c>
      <c r="H197" t="s">
        <v>241</v>
      </c>
      <c r="I197">
        <v>2</v>
      </c>
      <c r="J197" s="10">
        <v>0.4826388888888889</v>
      </c>
      <c r="K197" s="10">
        <v>0.61388888888888893</v>
      </c>
      <c r="L197" s="10">
        <f t="shared" si="2"/>
        <v>0.13125000000000003</v>
      </c>
      <c r="M197" s="12">
        <f t="shared" si="1"/>
        <v>3.1500000000000008</v>
      </c>
      <c r="N197" s="12">
        <f>InterviewsRaw[[#This Row],[Trip Hours]]*InterviewsRaw[[#This Row],['#Angler]]</f>
        <v>6.3000000000000016</v>
      </c>
      <c r="O197" t="s">
        <v>342</v>
      </c>
      <c r="R197" s="11">
        <v>0</v>
      </c>
      <c r="S197">
        <v>0</v>
      </c>
      <c r="T197">
        <v>0</v>
      </c>
      <c r="U197">
        <v>0</v>
      </c>
      <c r="V197" s="11">
        <v>0</v>
      </c>
      <c r="W197">
        <v>0</v>
      </c>
      <c r="X197">
        <v>0</v>
      </c>
      <c r="Y197">
        <v>1</v>
      </c>
      <c r="Z197" s="11">
        <f>InterviewsRaw[[#This Row],[Chi Kept]]+InterviewsRaw[[#This Row],[Chi Released]]</f>
        <v>0</v>
      </c>
      <c r="AA197">
        <f>InterviewsRaw[[#This Row],[Co Kept]]+InterviewsRaw[[#This Row],[Co Released ]]</f>
        <v>0</v>
      </c>
      <c r="AB197">
        <f>InterviewsRaw[[#This Row],[Pink Kept]]+InterviewsRaw[[#This Row],[Pink Released]]</f>
        <v>0</v>
      </c>
      <c r="AC197">
        <f>InterviewsRaw[[#This Row],[Chu Kept]]+InterviewsRaw[[#This Row],[Chu Released]]</f>
        <v>1</v>
      </c>
    </row>
    <row r="198" spans="1:30" x14ac:dyDescent="0.3">
      <c r="A198" s="7">
        <v>45983</v>
      </c>
      <c r="B198">
        <v>14</v>
      </c>
      <c r="C198" t="s">
        <v>250</v>
      </c>
      <c r="D198" t="s">
        <v>42</v>
      </c>
      <c r="E198">
        <v>16</v>
      </c>
      <c r="F198">
        <v>4</v>
      </c>
      <c r="G198">
        <v>3</v>
      </c>
      <c r="H198" t="s">
        <v>241</v>
      </c>
      <c r="I198">
        <v>2</v>
      </c>
      <c r="J198" s="10">
        <v>0.58333333333333337</v>
      </c>
      <c r="K198" s="10">
        <v>0.61458333333333337</v>
      </c>
      <c r="L198" s="10">
        <f t="shared" si="2"/>
        <v>3.125E-2</v>
      </c>
      <c r="M198" s="12">
        <f t="shared" si="1"/>
        <v>0.75</v>
      </c>
      <c r="N198" s="12">
        <f>InterviewsRaw[[#This Row],[Trip Hours]]*InterviewsRaw[[#This Row],['#Angler]]</f>
        <v>1.5</v>
      </c>
      <c r="O198" t="s">
        <v>342</v>
      </c>
      <c r="R198" s="11">
        <v>0</v>
      </c>
      <c r="S198">
        <v>0</v>
      </c>
      <c r="T198">
        <v>0</v>
      </c>
      <c r="U198">
        <v>0</v>
      </c>
      <c r="V198" s="11">
        <v>0</v>
      </c>
      <c r="W198">
        <v>0</v>
      </c>
      <c r="X198">
        <v>0</v>
      </c>
      <c r="Y198">
        <v>0</v>
      </c>
      <c r="Z198" s="11">
        <f>InterviewsRaw[[#This Row],[Chi Kept]]+InterviewsRaw[[#This Row],[Chi Released]]</f>
        <v>0</v>
      </c>
      <c r="AA198">
        <f>InterviewsRaw[[#This Row],[Co Kept]]+InterviewsRaw[[#This Row],[Co Released ]]</f>
        <v>0</v>
      </c>
      <c r="AB198">
        <f>InterviewsRaw[[#This Row],[Pink Kept]]+InterviewsRaw[[#This Row],[Pink Released]]</f>
        <v>0</v>
      </c>
      <c r="AC198">
        <f>InterviewsRaw[[#This Row],[Chu Kept]]+InterviewsRaw[[#This Row],[Chu Released]]</f>
        <v>0</v>
      </c>
    </row>
    <row r="199" spans="1:30" x14ac:dyDescent="0.3">
      <c r="A199" s="7">
        <v>45983</v>
      </c>
      <c r="B199">
        <v>14</v>
      </c>
      <c r="C199" t="s">
        <v>250</v>
      </c>
      <c r="D199" t="s">
        <v>42</v>
      </c>
      <c r="E199">
        <v>17</v>
      </c>
      <c r="F199">
        <v>4</v>
      </c>
      <c r="G199">
        <v>3</v>
      </c>
      <c r="H199" t="s">
        <v>241</v>
      </c>
      <c r="I199">
        <v>1</v>
      </c>
      <c r="J199" s="10">
        <v>0.58333333333333337</v>
      </c>
      <c r="K199" s="10">
        <v>0.63055555555555554</v>
      </c>
      <c r="L199" s="10">
        <f t="shared" si="2"/>
        <v>4.7222222222222165E-2</v>
      </c>
      <c r="M199" s="12">
        <f t="shared" si="1"/>
        <v>1.133333333333332</v>
      </c>
      <c r="N199" s="12">
        <f>InterviewsRaw[[#This Row],[Trip Hours]]*InterviewsRaw[[#This Row],['#Angler]]</f>
        <v>1.133333333333332</v>
      </c>
      <c r="O199" t="s">
        <v>342</v>
      </c>
      <c r="R199" s="11">
        <v>0</v>
      </c>
      <c r="S199">
        <v>0</v>
      </c>
      <c r="T199">
        <v>0</v>
      </c>
      <c r="U199">
        <v>0</v>
      </c>
      <c r="V199" s="11">
        <v>0</v>
      </c>
      <c r="W199">
        <v>0</v>
      </c>
      <c r="X199">
        <v>0</v>
      </c>
      <c r="Y199">
        <v>1</v>
      </c>
      <c r="Z199" s="11">
        <f>InterviewsRaw[[#This Row],[Chi Kept]]+InterviewsRaw[[#This Row],[Chi Released]]</f>
        <v>0</v>
      </c>
      <c r="AA199">
        <f>InterviewsRaw[[#This Row],[Co Kept]]+InterviewsRaw[[#This Row],[Co Released ]]</f>
        <v>0</v>
      </c>
      <c r="AB199">
        <f>InterviewsRaw[[#This Row],[Pink Kept]]+InterviewsRaw[[#This Row],[Pink Released]]</f>
        <v>0</v>
      </c>
      <c r="AC199">
        <f>InterviewsRaw[[#This Row],[Chu Kept]]+InterviewsRaw[[#This Row],[Chu Released]]</f>
        <v>1</v>
      </c>
    </row>
    <row r="200" spans="1:30" x14ac:dyDescent="0.3">
      <c r="A200" s="7">
        <v>45983</v>
      </c>
      <c r="B200">
        <v>14</v>
      </c>
      <c r="C200" t="s">
        <v>250</v>
      </c>
      <c r="D200" t="s">
        <v>42</v>
      </c>
      <c r="E200">
        <v>18</v>
      </c>
      <c r="F200">
        <v>4</v>
      </c>
      <c r="G200">
        <v>5</v>
      </c>
      <c r="H200" t="s">
        <v>241</v>
      </c>
      <c r="I200">
        <v>1</v>
      </c>
      <c r="J200" s="10">
        <v>0.54166666666666663</v>
      </c>
      <c r="K200" s="10">
        <v>0.66111111111111109</v>
      </c>
      <c r="L200" s="10">
        <f t="shared" si="2"/>
        <v>0.11944444444444446</v>
      </c>
      <c r="M200" s="12">
        <f t="shared" si="1"/>
        <v>2.8666666666666671</v>
      </c>
      <c r="N200" s="12">
        <f>InterviewsRaw[[#This Row],[Trip Hours]]*InterviewsRaw[[#This Row],['#Angler]]</f>
        <v>2.8666666666666671</v>
      </c>
      <c r="O200" t="s">
        <v>342</v>
      </c>
      <c r="P200" t="s">
        <v>112</v>
      </c>
      <c r="R200" s="11">
        <v>0</v>
      </c>
      <c r="S200">
        <v>0</v>
      </c>
      <c r="T200">
        <v>0</v>
      </c>
      <c r="U200">
        <v>0</v>
      </c>
      <c r="V200" s="11">
        <v>0</v>
      </c>
      <c r="W200">
        <v>0</v>
      </c>
      <c r="X200">
        <v>0</v>
      </c>
      <c r="Y200">
        <v>0</v>
      </c>
      <c r="Z200" s="11">
        <f>InterviewsRaw[[#This Row],[Chi Kept]]+InterviewsRaw[[#This Row],[Chi Released]]</f>
        <v>0</v>
      </c>
      <c r="AA200">
        <f>InterviewsRaw[[#This Row],[Co Kept]]+InterviewsRaw[[#This Row],[Co Released ]]</f>
        <v>0</v>
      </c>
      <c r="AB200">
        <f>InterviewsRaw[[#This Row],[Pink Kept]]+InterviewsRaw[[#This Row],[Pink Released]]</f>
        <v>0</v>
      </c>
      <c r="AC200">
        <f>InterviewsRaw[[#This Row],[Chu Kept]]+InterviewsRaw[[#This Row],[Chu Released]]</f>
        <v>0</v>
      </c>
      <c r="AD200" s="11" t="s">
        <v>378</v>
      </c>
    </row>
    <row r="201" spans="1:30" x14ac:dyDescent="0.3">
      <c r="A201" s="7">
        <v>45983</v>
      </c>
      <c r="B201">
        <v>14</v>
      </c>
      <c r="C201" t="s">
        <v>250</v>
      </c>
      <c r="D201" t="s">
        <v>42</v>
      </c>
      <c r="E201">
        <v>19</v>
      </c>
      <c r="F201">
        <v>4</v>
      </c>
      <c r="G201">
        <v>5</v>
      </c>
      <c r="H201" t="s">
        <v>241</v>
      </c>
      <c r="I201">
        <v>1</v>
      </c>
      <c r="J201" s="10">
        <v>0.54166666666666663</v>
      </c>
      <c r="K201" s="10">
        <v>0.67500000000000004</v>
      </c>
      <c r="L201" s="10">
        <f t="shared" si="2"/>
        <v>0.13333333333333341</v>
      </c>
      <c r="M201" s="12">
        <f t="shared" si="1"/>
        <v>3.200000000000002</v>
      </c>
      <c r="N201" s="12">
        <f>InterviewsRaw[[#This Row],[Trip Hours]]*InterviewsRaw[[#This Row],['#Angler]]</f>
        <v>3.200000000000002</v>
      </c>
      <c r="O201" t="s">
        <v>342</v>
      </c>
      <c r="Q201" t="s">
        <v>238</v>
      </c>
      <c r="R201" s="11">
        <v>0</v>
      </c>
      <c r="S201">
        <v>0</v>
      </c>
      <c r="T201">
        <v>0</v>
      </c>
      <c r="U201">
        <v>0</v>
      </c>
      <c r="V201" s="11">
        <v>0</v>
      </c>
      <c r="W201">
        <v>0</v>
      </c>
      <c r="X201">
        <v>0</v>
      </c>
      <c r="Y201">
        <v>0</v>
      </c>
      <c r="Z201" s="11">
        <f>InterviewsRaw[[#This Row],[Chi Kept]]+InterviewsRaw[[#This Row],[Chi Released]]</f>
        <v>0</v>
      </c>
      <c r="AA201">
        <f>InterviewsRaw[[#This Row],[Co Kept]]+InterviewsRaw[[#This Row],[Co Released ]]</f>
        <v>0</v>
      </c>
      <c r="AB201">
        <f>InterviewsRaw[[#This Row],[Pink Kept]]+InterviewsRaw[[#This Row],[Pink Released]]</f>
        <v>0</v>
      </c>
      <c r="AC201">
        <f>InterviewsRaw[[#This Row],[Chu Kept]]+InterviewsRaw[[#This Row],[Chu Released]]</f>
        <v>0</v>
      </c>
    </row>
    <row r="202" spans="1:30" x14ac:dyDescent="0.3">
      <c r="A202" s="7">
        <v>45987</v>
      </c>
      <c r="B202">
        <v>15</v>
      </c>
      <c r="C202" t="s">
        <v>236</v>
      </c>
      <c r="D202" t="s">
        <v>26</v>
      </c>
      <c r="E202">
        <v>1</v>
      </c>
      <c r="F202">
        <v>4</v>
      </c>
      <c r="G202">
        <v>3</v>
      </c>
      <c r="H202" t="s">
        <v>241</v>
      </c>
      <c r="I202">
        <v>2</v>
      </c>
      <c r="J202" s="10">
        <v>0.39583333333333331</v>
      </c>
      <c r="K202" s="10">
        <v>0.4375</v>
      </c>
      <c r="L202" s="10">
        <f t="shared" si="2"/>
        <v>4.1666666666666685E-2</v>
      </c>
      <c r="M202" s="12">
        <f t="shared" si="1"/>
        <v>1.0000000000000004</v>
      </c>
      <c r="N202" s="12">
        <f>InterviewsRaw[[#This Row],[Trip Hours]]*InterviewsRaw[[#This Row],['#Angler]]</f>
        <v>2.0000000000000009</v>
      </c>
      <c r="O202" t="s">
        <v>342</v>
      </c>
      <c r="Q202" t="s">
        <v>224</v>
      </c>
      <c r="R202" s="11">
        <v>0</v>
      </c>
      <c r="S202">
        <v>0</v>
      </c>
      <c r="T202">
        <v>0</v>
      </c>
      <c r="U202">
        <v>0</v>
      </c>
      <c r="V202" s="11">
        <v>0</v>
      </c>
      <c r="W202">
        <v>0</v>
      </c>
      <c r="X202">
        <v>0</v>
      </c>
      <c r="Y202">
        <v>0</v>
      </c>
      <c r="Z202" s="11">
        <f>InterviewsRaw[[#This Row],[Chi Kept]]+InterviewsRaw[[#This Row],[Chi Released]]</f>
        <v>0</v>
      </c>
      <c r="AA202">
        <f>InterviewsRaw[[#This Row],[Co Kept]]+InterviewsRaw[[#This Row],[Co Released ]]</f>
        <v>0</v>
      </c>
      <c r="AB202">
        <f>InterviewsRaw[[#This Row],[Pink Kept]]+InterviewsRaw[[#This Row],[Pink Released]]</f>
        <v>0</v>
      </c>
      <c r="AC202">
        <f>InterviewsRaw[[#This Row],[Chu Kept]]+InterviewsRaw[[#This Row],[Chu Released]]</f>
        <v>0</v>
      </c>
    </row>
    <row r="203" spans="1:30" x14ac:dyDescent="0.3">
      <c r="A203" s="7">
        <v>45987</v>
      </c>
      <c r="B203">
        <v>15</v>
      </c>
      <c r="C203" t="s">
        <v>236</v>
      </c>
      <c r="D203" t="s">
        <v>42</v>
      </c>
      <c r="E203">
        <v>2</v>
      </c>
      <c r="F203">
        <v>4</v>
      </c>
      <c r="G203">
        <v>3</v>
      </c>
      <c r="H203" t="s">
        <v>241</v>
      </c>
      <c r="I203">
        <v>1</v>
      </c>
      <c r="J203" s="10">
        <v>0.54166666666666663</v>
      </c>
      <c r="K203" s="10">
        <v>0.64444444444444449</v>
      </c>
      <c r="L203" s="10">
        <f t="shared" si="2"/>
        <v>0.10277777777777786</v>
      </c>
      <c r="M203" s="12">
        <f t="shared" si="1"/>
        <v>2.4666666666666686</v>
      </c>
      <c r="N203" s="12">
        <f>InterviewsRaw[[#This Row],[Trip Hours]]*InterviewsRaw[[#This Row],['#Angler]]</f>
        <v>2.4666666666666686</v>
      </c>
      <c r="O203" t="s">
        <v>342</v>
      </c>
      <c r="P203" t="s">
        <v>112</v>
      </c>
      <c r="Q203" t="s">
        <v>238</v>
      </c>
      <c r="R203" s="11">
        <v>0</v>
      </c>
      <c r="S203">
        <v>0</v>
      </c>
      <c r="T203">
        <v>0</v>
      </c>
      <c r="U203">
        <v>0</v>
      </c>
      <c r="V203" s="11">
        <v>0</v>
      </c>
      <c r="W203">
        <v>0</v>
      </c>
      <c r="X203">
        <v>0</v>
      </c>
      <c r="Y203">
        <v>0</v>
      </c>
      <c r="Z203" s="11">
        <f>InterviewsRaw[[#This Row],[Chi Kept]]+InterviewsRaw[[#This Row],[Chi Released]]</f>
        <v>0</v>
      </c>
      <c r="AA203">
        <f>InterviewsRaw[[#This Row],[Co Kept]]+InterviewsRaw[[#This Row],[Co Released ]]</f>
        <v>0</v>
      </c>
      <c r="AB203">
        <f>InterviewsRaw[[#This Row],[Pink Kept]]+InterviewsRaw[[#This Row],[Pink Released]]</f>
        <v>0</v>
      </c>
      <c r="AC203">
        <f>InterviewsRaw[[#This Row],[Chu Kept]]+InterviewsRaw[[#This Row],[Chu Released]]</f>
        <v>0</v>
      </c>
    </row>
    <row r="204" spans="1:30" x14ac:dyDescent="0.3">
      <c r="A204" s="7">
        <v>45987</v>
      </c>
      <c r="B204">
        <v>15</v>
      </c>
      <c r="C204" t="s">
        <v>236</v>
      </c>
      <c r="D204" t="s">
        <v>42</v>
      </c>
      <c r="E204">
        <v>3</v>
      </c>
      <c r="F204">
        <v>4</v>
      </c>
      <c r="G204">
        <v>3</v>
      </c>
      <c r="H204" t="s">
        <v>241</v>
      </c>
      <c r="I204">
        <v>3</v>
      </c>
      <c r="J204" s="10">
        <v>0.625</v>
      </c>
      <c r="K204" s="10">
        <v>0.64722222222222225</v>
      </c>
      <c r="L204" s="10">
        <f t="shared" si="2"/>
        <v>2.2222222222222254E-2</v>
      </c>
      <c r="M204" s="12">
        <f t="shared" si="1"/>
        <v>0.5333333333333341</v>
      </c>
      <c r="N204" s="12">
        <f>InterviewsRaw[[#This Row],[Trip Hours]]*InterviewsRaw[[#This Row],['#Angler]]</f>
        <v>1.6000000000000023</v>
      </c>
      <c r="O204" t="s">
        <v>342</v>
      </c>
      <c r="P204" t="s">
        <v>29</v>
      </c>
      <c r="Q204" t="s">
        <v>224</v>
      </c>
      <c r="R204" s="11">
        <v>0</v>
      </c>
      <c r="S204">
        <v>0</v>
      </c>
      <c r="T204">
        <v>0</v>
      </c>
      <c r="U204">
        <v>0</v>
      </c>
      <c r="V204" s="11">
        <v>0</v>
      </c>
      <c r="W204">
        <v>0</v>
      </c>
      <c r="X204">
        <v>0</v>
      </c>
      <c r="Y204">
        <v>0</v>
      </c>
      <c r="Z204" s="11">
        <f>InterviewsRaw[[#This Row],[Chi Kept]]+InterviewsRaw[[#This Row],[Chi Released]]</f>
        <v>0</v>
      </c>
      <c r="AA204">
        <f>InterviewsRaw[[#This Row],[Co Kept]]+InterviewsRaw[[#This Row],[Co Released ]]</f>
        <v>0</v>
      </c>
      <c r="AB204">
        <f>InterviewsRaw[[#This Row],[Pink Kept]]+InterviewsRaw[[#This Row],[Pink Released]]</f>
        <v>0</v>
      </c>
      <c r="AC204">
        <f>InterviewsRaw[[#This Row],[Chu Kept]]+InterviewsRaw[[#This Row],[Chu Released]]</f>
        <v>0</v>
      </c>
    </row>
    <row r="205" spans="1:30" x14ac:dyDescent="0.3">
      <c r="A205" s="7">
        <v>45987</v>
      </c>
      <c r="B205">
        <v>15</v>
      </c>
      <c r="C205" t="s">
        <v>236</v>
      </c>
      <c r="D205" t="s">
        <v>42</v>
      </c>
      <c r="E205">
        <v>4</v>
      </c>
      <c r="F205">
        <v>4</v>
      </c>
      <c r="G205">
        <v>3</v>
      </c>
      <c r="H205" t="s">
        <v>241</v>
      </c>
      <c r="I205">
        <v>1</v>
      </c>
      <c r="J205" s="10">
        <v>0.54166666666666663</v>
      </c>
      <c r="K205" s="10">
        <v>0.64861111111111114</v>
      </c>
      <c r="L205" s="10">
        <f t="shared" si="2"/>
        <v>0.10694444444444451</v>
      </c>
      <c r="M205" s="12">
        <f t="shared" si="1"/>
        <v>2.5666666666666682</v>
      </c>
      <c r="N205" s="12">
        <f>InterviewsRaw[[#This Row],[Trip Hours]]*InterviewsRaw[[#This Row],['#Angler]]</f>
        <v>2.5666666666666682</v>
      </c>
      <c r="O205" t="s">
        <v>342</v>
      </c>
      <c r="R205" s="11">
        <v>0</v>
      </c>
      <c r="S205">
        <v>0</v>
      </c>
      <c r="T205">
        <v>0</v>
      </c>
      <c r="U205">
        <v>0</v>
      </c>
      <c r="V205" s="11">
        <v>0</v>
      </c>
      <c r="W205">
        <v>0</v>
      </c>
      <c r="X205">
        <v>0</v>
      </c>
      <c r="Y205">
        <v>0</v>
      </c>
      <c r="Z205" s="11">
        <f>InterviewsRaw[[#This Row],[Chi Kept]]+InterviewsRaw[[#This Row],[Chi Released]]</f>
        <v>0</v>
      </c>
      <c r="AA205">
        <f>InterviewsRaw[[#This Row],[Co Kept]]+InterviewsRaw[[#This Row],[Co Released ]]</f>
        <v>0</v>
      </c>
      <c r="AB205">
        <f>InterviewsRaw[[#This Row],[Pink Kept]]+InterviewsRaw[[#This Row],[Pink Released]]</f>
        <v>0</v>
      </c>
      <c r="AC205">
        <f>InterviewsRaw[[#This Row],[Chu Kept]]+InterviewsRaw[[#This Row],[Chu Released]]</f>
        <v>0</v>
      </c>
    </row>
    <row r="206" spans="1:30" x14ac:dyDescent="0.3">
      <c r="A206" s="7">
        <v>45987</v>
      </c>
      <c r="B206">
        <v>15</v>
      </c>
      <c r="C206" t="s">
        <v>236</v>
      </c>
      <c r="D206" t="s">
        <v>42</v>
      </c>
      <c r="E206">
        <v>5</v>
      </c>
      <c r="F206">
        <v>4</v>
      </c>
      <c r="G206">
        <v>3</v>
      </c>
      <c r="H206" t="s">
        <v>241</v>
      </c>
      <c r="I206">
        <v>1</v>
      </c>
      <c r="J206" s="10">
        <v>0.54166666666666663</v>
      </c>
      <c r="K206" s="10">
        <v>0.67013888888888884</v>
      </c>
      <c r="L206" s="10">
        <f t="shared" si="2"/>
        <v>0.12847222222222221</v>
      </c>
      <c r="M206" s="12">
        <f t="shared" si="1"/>
        <v>3.083333333333333</v>
      </c>
      <c r="N206" s="12">
        <f>InterviewsRaw[[#This Row],[Trip Hours]]*InterviewsRaw[[#This Row],['#Angler]]</f>
        <v>3.083333333333333</v>
      </c>
      <c r="O206" t="s">
        <v>342</v>
      </c>
      <c r="Q206" t="s">
        <v>224</v>
      </c>
      <c r="R206" s="11">
        <v>0</v>
      </c>
      <c r="S206">
        <v>0</v>
      </c>
      <c r="T206">
        <v>0</v>
      </c>
      <c r="U206">
        <v>0</v>
      </c>
      <c r="V206" s="11">
        <v>0</v>
      </c>
      <c r="W206">
        <v>0</v>
      </c>
      <c r="X206">
        <v>0</v>
      </c>
      <c r="Y206">
        <v>0</v>
      </c>
      <c r="Z206" s="11">
        <f>InterviewsRaw[[#This Row],[Chi Kept]]+InterviewsRaw[[#This Row],[Chi Released]]</f>
        <v>0</v>
      </c>
      <c r="AA206">
        <f>InterviewsRaw[[#This Row],[Co Kept]]+InterviewsRaw[[#This Row],[Co Released ]]</f>
        <v>0</v>
      </c>
      <c r="AB206">
        <f>InterviewsRaw[[#This Row],[Pink Kept]]+InterviewsRaw[[#This Row],[Pink Released]]</f>
        <v>0</v>
      </c>
      <c r="AC206">
        <f>InterviewsRaw[[#This Row],[Chu Kept]]+InterviewsRaw[[#This Row],[Chu Released]]</f>
        <v>0</v>
      </c>
    </row>
    <row r="207" spans="1:30" x14ac:dyDescent="0.3">
      <c r="A207" s="7">
        <v>45990</v>
      </c>
      <c r="B207">
        <v>15</v>
      </c>
      <c r="C207" t="s">
        <v>250</v>
      </c>
      <c r="D207" t="s">
        <v>26</v>
      </c>
      <c r="E207">
        <v>1</v>
      </c>
      <c r="F207">
        <v>4</v>
      </c>
      <c r="G207">
        <v>5</v>
      </c>
      <c r="H207" t="s">
        <v>241</v>
      </c>
      <c r="I207">
        <v>2</v>
      </c>
      <c r="J207" s="10">
        <v>0.33333333333333331</v>
      </c>
      <c r="K207" s="10">
        <v>0.43333333333333335</v>
      </c>
      <c r="L207" s="10">
        <f t="shared" si="2"/>
        <v>0.10000000000000003</v>
      </c>
      <c r="M207" s="12">
        <f t="shared" si="1"/>
        <v>2.4000000000000008</v>
      </c>
      <c r="N207" s="12">
        <f>InterviewsRaw[[#This Row],[Trip Hours]]*InterviewsRaw[[#This Row],['#Angler]]</f>
        <v>4.8000000000000016</v>
      </c>
      <c r="O207" t="s">
        <v>342</v>
      </c>
      <c r="R207" s="11">
        <v>0</v>
      </c>
      <c r="S207">
        <v>0</v>
      </c>
      <c r="T207">
        <v>0</v>
      </c>
      <c r="U207">
        <v>0</v>
      </c>
      <c r="V207" s="11">
        <v>0</v>
      </c>
      <c r="W207">
        <v>0</v>
      </c>
      <c r="X207">
        <v>0</v>
      </c>
      <c r="Y207">
        <v>3</v>
      </c>
      <c r="Z207" s="11">
        <f>InterviewsRaw[[#This Row],[Chi Kept]]+InterviewsRaw[[#This Row],[Chi Released]]</f>
        <v>0</v>
      </c>
      <c r="AA207">
        <f>InterviewsRaw[[#This Row],[Co Kept]]+InterviewsRaw[[#This Row],[Co Released ]]</f>
        <v>0</v>
      </c>
      <c r="AB207">
        <f>InterviewsRaw[[#This Row],[Pink Kept]]+InterviewsRaw[[#This Row],[Pink Released]]</f>
        <v>0</v>
      </c>
      <c r="AC207">
        <f>InterviewsRaw[[#This Row],[Chu Kept]]+InterviewsRaw[[#This Row],[Chu Released]]</f>
        <v>3</v>
      </c>
    </row>
    <row r="208" spans="1:30" x14ac:dyDescent="0.3">
      <c r="A208" s="7">
        <v>45990</v>
      </c>
      <c r="B208">
        <v>15</v>
      </c>
      <c r="C208" t="s">
        <v>250</v>
      </c>
      <c r="D208" t="s">
        <v>26</v>
      </c>
      <c r="E208">
        <v>2</v>
      </c>
      <c r="F208">
        <v>4</v>
      </c>
      <c r="G208">
        <v>5</v>
      </c>
      <c r="H208" t="s">
        <v>241</v>
      </c>
      <c r="I208">
        <v>1</v>
      </c>
      <c r="J208" s="10">
        <v>0.31319444444444444</v>
      </c>
      <c r="K208" s="10">
        <v>0.43819444444444444</v>
      </c>
      <c r="L208" s="10">
        <f t="shared" si="2"/>
        <v>0.125</v>
      </c>
      <c r="M208" s="12">
        <f t="shared" si="1"/>
        <v>3</v>
      </c>
      <c r="N208" s="12">
        <f>InterviewsRaw[[#This Row],[Trip Hours]]*InterviewsRaw[[#This Row],['#Angler]]</f>
        <v>3</v>
      </c>
      <c r="O208" t="s">
        <v>342</v>
      </c>
      <c r="P208" t="s">
        <v>377</v>
      </c>
      <c r="Q208" t="s">
        <v>64</v>
      </c>
      <c r="R208" s="11">
        <v>0</v>
      </c>
      <c r="S208">
        <v>0</v>
      </c>
      <c r="T208">
        <v>0</v>
      </c>
      <c r="U208">
        <v>0</v>
      </c>
      <c r="V208" s="11">
        <v>0</v>
      </c>
      <c r="W208">
        <v>0</v>
      </c>
      <c r="X208">
        <v>0</v>
      </c>
      <c r="Y208">
        <v>0</v>
      </c>
      <c r="Z208" s="11">
        <f>InterviewsRaw[[#This Row],[Chi Kept]]+InterviewsRaw[[#This Row],[Chi Released]]</f>
        <v>0</v>
      </c>
      <c r="AA208">
        <f>InterviewsRaw[[#This Row],[Co Kept]]+InterviewsRaw[[#This Row],[Co Released ]]</f>
        <v>0</v>
      </c>
      <c r="AB208">
        <f>InterviewsRaw[[#This Row],[Pink Kept]]+InterviewsRaw[[#This Row],[Pink Released]]</f>
        <v>0</v>
      </c>
      <c r="AC208">
        <f>InterviewsRaw[[#This Row],[Chu Kept]]+InterviewsRaw[[#This Row],[Chu Released]]</f>
        <v>0</v>
      </c>
      <c r="AD208" s="11" t="s">
        <v>379</v>
      </c>
    </row>
    <row r="209" spans="1:30" x14ac:dyDescent="0.3">
      <c r="A209" s="7">
        <v>45990</v>
      </c>
      <c r="B209">
        <v>15</v>
      </c>
      <c r="C209" t="s">
        <v>250</v>
      </c>
      <c r="D209" t="s">
        <v>26</v>
      </c>
      <c r="E209">
        <v>3</v>
      </c>
      <c r="F209">
        <v>4</v>
      </c>
      <c r="G209">
        <v>5</v>
      </c>
      <c r="H209" t="s">
        <v>241</v>
      </c>
      <c r="I209">
        <v>2</v>
      </c>
      <c r="J209" s="10">
        <v>0.34375</v>
      </c>
      <c r="K209" s="10">
        <v>0.45208333333333334</v>
      </c>
      <c r="L209" s="10">
        <f t="shared" si="2"/>
        <v>0.10833333333333334</v>
      </c>
      <c r="M209" s="12">
        <f t="shared" si="1"/>
        <v>2.6</v>
      </c>
      <c r="N209" s="12">
        <f>InterviewsRaw[[#This Row],[Trip Hours]]*InterviewsRaw[[#This Row],['#Angler]]</f>
        <v>5.2</v>
      </c>
      <c r="O209" t="s">
        <v>342</v>
      </c>
      <c r="P209" t="s">
        <v>112</v>
      </c>
      <c r="R209" s="11">
        <v>0</v>
      </c>
      <c r="S209">
        <v>0</v>
      </c>
      <c r="T209">
        <v>0</v>
      </c>
      <c r="U209">
        <v>0</v>
      </c>
      <c r="V209" s="11">
        <v>0</v>
      </c>
      <c r="W209">
        <v>0</v>
      </c>
      <c r="X209">
        <v>0</v>
      </c>
      <c r="Y209">
        <v>0</v>
      </c>
      <c r="Z209" s="11">
        <f>InterviewsRaw[[#This Row],[Chi Kept]]+InterviewsRaw[[#This Row],[Chi Released]]</f>
        <v>0</v>
      </c>
      <c r="AA209">
        <f>InterviewsRaw[[#This Row],[Co Kept]]+InterviewsRaw[[#This Row],[Co Released ]]</f>
        <v>0</v>
      </c>
      <c r="AB209">
        <f>InterviewsRaw[[#This Row],[Pink Kept]]+InterviewsRaw[[#This Row],[Pink Released]]</f>
        <v>0</v>
      </c>
      <c r="AC209">
        <f>InterviewsRaw[[#This Row],[Chu Kept]]+InterviewsRaw[[#This Row],[Chu Released]]</f>
        <v>0</v>
      </c>
    </row>
    <row r="210" spans="1:30" x14ac:dyDescent="0.3">
      <c r="A210" s="7">
        <v>45990</v>
      </c>
      <c r="B210">
        <v>15</v>
      </c>
      <c r="C210" t="s">
        <v>250</v>
      </c>
      <c r="D210" t="s">
        <v>42</v>
      </c>
      <c r="E210">
        <v>4</v>
      </c>
      <c r="F210">
        <v>4</v>
      </c>
      <c r="G210">
        <v>5</v>
      </c>
      <c r="H210" t="s">
        <v>241</v>
      </c>
      <c r="I210">
        <v>1</v>
      </c>
      <c r="J210" s="10">
        <v>0.4375</v>
      </c>
      <c r="K210" s="10">
        <v>0.46319444444444446</v>
      </c>
      <c r="L210" s="10">
        <f t="shared" si="2"/>
        <v>2.5694444444444464E-2</v>
      </c>
      <c r="M210" s="12">
        <f t="shared" si="1"/>
        <v>0.61666666666666714</v>
      </c>
      <c r="N210" s="12">
        <f>InterviewsRaw[[#This Row],[Trip Hours]]*InterviewsRaw[[#This Row],['#Angler]]</f>
        <v>0.61666666666666714</v>
      </c>
      <c r="O210" t="s">
        <v>342</v>
      </c>
      <c r="P210" t="s">
        <v>29</v>
      </c>
      <c r="R210" s="11">
        <v>0</v>
      </c>
      <c r="S210">
        <v>0</v>
      </c>
      <c r="T210">
        <v>0</v>
      </c>
      <c r="U210">
        <v>0</v>
      </c>
      <c r="V210" s="11">
        <v>0</v>
      </c>
      <c r="W210">
        <v>0</v>
      </c>
      <c r="X210">
        <v>0</v>
      </c>
      <c r="Y210">
        <v>0</v>
      </c>
      <c r="Z210" s="11">
        <f>InterviewsRaw[[#This Row],[Chi Kept]]+InterviewsRaw[[#This Row],[Chi Released]]</f>
        <v>0</v>
      </c>
      <c r="AA210">
        <f>InterviewsRaw[[#This Row],[Co Kept]]+InterviewsRaw[[#This Row],[Co Released ]]</f>
        <v>0</v>
      </c>
      <c r="AB210">
        <f>InterviewsRaw[[#This Row],[Pink Kept]]+InterviewsRaw[[#This Row],[Pink Released]]</f>
        <v>0</v>
      </c>
      <c r="AC210">
        <f>InterviewsRaw[[#This Row],[Chu Kept]]+InterviewsRaw[[#This Row],[Chu Released]]</f>
        <v>0</v>
      </c>
    </row>
    <row r="211" spans="1:30" x14ac:dyDescent="0.3">
      <c r="A211" s="7">
        <v>45990</v>
      </c>
      <c r="B211">
        <v>15</v>
      </c>
      <c r="C211" t="s">
        <v>250</v>
      </c>
      <c r="D211" t="s">
        <v>42</v>
      </c>
      <c r="E211">
        <v>5</v>
      </c>
      <c r="F211">
        <v>4</v>
      </c>
      <c r="G211">
        <v>3</v>
      </c>
      <c r="H211" t="s">
        <v>241</v>
      </c>
      <c r="I211">
        <v>2</v>
      </c>
      <c r="J211" s="10">
        <v>0.59027777777777779</v>
      </c>
      <c r="K211" s="10">
        <v>0.60486111111111107</v>
      </c>
      <c r="L211" s="10">
        <f t="shared" si="2"/>
        <v>1.4583333333333282E-2</v>
      </c>
      <c r="M211" s="12">
        <f t="shared" si="1"/>
        <v>0.34999999999999876</v>
      </c>
      <c r="N211" s="12">
        <f>InterviewsRaw[[#This Row],[Trip Hours]]*InterviewsRaw[[#This Row],['#Angler]]</f>
        <v>0.69999999999999751</v>
      </c>
      <c r="O211" t="s">
        <v>342</v>
      </c>
      <c r="P211" t="s">
        <v>29</v>
      </c>
      <c r="Q211" t="s">
        <v>224</v>
      </c>
      <c r="R211" s="11">
        <v>0</v>
      </c>
      <c r="S211">
        <v>0</v>
      </c>
      <c r="T211">
        <v>0</v>
      </c>
      <c r="U211">
        <v>0</v>
      </c>
      <c r="V211" s="11">
        <v>0</v>
      </c>
      <c r="W211">
        <v>0</v>
      </c>
      <c r="X211">
        <v>0</v>
      </c>
      <c r="Y211">
        <v>0</v>
      </c>
      <c r="Z211" s="11">
        <f>InterviewsRaw[[#This Row],[Chi Kept]]+InterviewsRaw[[#This Row],[Chi Released]]</f>
        <v>0</v>
      </c>
      <c r="AA211">
        <f>InterviewsRaw[[#This Row],[Co Kept]]+InterviewsRaw[[#This Row],[Co Released ]]</f>
        <v>0</v>
      </c>
      <c r="AB211">
        <f>InterviewsRaw[[#This Row],[Pink Kept]]+InterviewsRaw[[#This Row],[Pink Released]]</f>
        <v>0</v>
      </c>
      <c r="AC211">
        <f>InterviewsRaw[[#This Row],[Chu Kept]]+InterviewsRaw[[#This Row],[Chu Released]]</f>
        <v>0</v>
      </c>
    </row>
    <row r="212" spans="1:30" x14ac:dyDescent="0.3">
      <c r="A212" s="7">
        <v>45990</v>
      </c>
      <c r="B212">
        <v>15</v>
      </c>
      <c r="C212" t="s">
        <v>250</v>
      </c>
      <c r="D212" t="s">
        <v>42</v>
      </c>
      <c r="E212">
        <v>6</v>
      </c>
      <c r="F212">
        <v>4</v>
      </c>
      <c r="G212">
        <v>5</v>
      </c>
      <c r="H212" t="s">
        <v>241</v>
      </c>
      <c r="I212">
        <v>1</v>
      </c>
      <c r="J212" s="10">
        <v>0.55208333333333337</v>
      </c>
      <c r="K212" s="10">
        <v>0.6381944444444444</v>
      </c>
      <c r="L212" s="10">
        <f t="shared" si="2"/>
        <v>8.6111111111111027E-2</v>
      </c>
      <c r="M212" s="12">
        <f t="shared" si="1"/>
        <v>2.0666666666666647</v>
      </c>
      <c r="N212" s="12">
        <f>InterviewsRaw[[#This Row],[Trip Hours]]*InterviewsRaw[[#This Row],['#Angler]]</f>
        <v>2.0666666666666647</v>
      </c>
      <c r="O212" t="s">
        <v>342</v>
      </c>
      <c r="Q212" t="s">
        <v>238</v>
      </c>
      <c r="R212" s="11">
        <v>0</v>
      </c>
      <c r="S212">
        <v>0</v>
      </c>
      <c r="T212">
        <v>0</v>
      </c>
      <c r="U212">
        <v>0</v>
      </c>
      <c r="V212" s="11">
        <v>0</v>
      </c>
      <c r="W212">
        <v>0</v>
      </c>
      <c r="X212">
        <v>0</v>
      </c>
      <c r="Y212">
        <v>0</v>
      </c>
      <c r="Z212" s="11">
        <f>InterviewsRaw[[#This Row],[Chi Kept]]+InterviewsRaw[[#This Row],[Chi Released]]</f>
        <v>0</v>
      </c>
      <c r="AA212">
        <f>InterviewsRaw[[#This Row],[Co Kept]]+InterviewsRaw[[#This Row],[Co Released ]]</f>
        <v>0</v>
      </c>
      <c r="AB212">
        <f>InterviewsRaw[[#This Row],[Pink Kept]]+InterviewsRaw[[#This Row],[Pink Released]]</f>
        <v>0</v>
      </c>
      <c r="AC212">
        <f>InterviewsRaw[[#This Row],[Chu Kept]]+InterviewsRaw[[#This Row],[Chu Released]]</f>
        <v>0</v>
      </c>
    </row>
    <row r="213" spans="1:30" x14ac:dyDescent="0.3">
      <c r="A213" s="7">
        <v>45994</v>
      </c>
      <c r="B213">
        <v>16</v>
      </c>
      <c r="C213" t="s">
        <v>236</v>
      </c>
      <c r="D213" t="s">
        <v>42</v>
      </c>
      <c r="E213">
        <v>1</v>
      </c>
      <c r="F213">
        <v>4</v>
      </c>
      <c r="G213">
        <v>5</v>
      </c>
      <c r="H213" t="s">
        <v>241</v>
      </c>
      <c r="I213">
        <v>1</v>
      </c>
      <c r="J213" s="10">
        <v>0.5625</v>
      </c>
      <c r="K213" s="10">
        <v>0.65277777777777779</v>
      </c>
      <c r="L213" s="10">
        <f t="shared" si="2"/>
        <v>9.027777777777779E-2</v>
      </c>
      <c r="M213" s="12">
        <f t="shared" si="1"/>
        <v>2.166666666666667</v>
      </c>
      <c r="N213" s="12">
        <f>InterviewsRaw[[#This Row],[Trip Hours]]*InterviewsRaw[[#This Row],['#Angler]]</f>
        <v>2.166666666666667</v>
      </c>
      <c r="O213" t="s">
        <v>342</v>
      </c>
      <c r="P213" t="s">
        <v>112</v>
      </c>
      <c r="Q213" t="s">
        <v>357</v>
      </c>
      <c r="R213" s="11">
        <v>0</v>
      </c>
      <c r="S213">
        <v>0</v>
      </c>
      <c r="T213">
        <v>0</v>
      </c>
      <c r="U213">
        <v>0</v>
      </c>
      <c r="V213" s="11">
        <v>0</v>
      </c>
      <c r="W213">
        <v>0</v>
      </c>
      <c r="X213">
        <v>0</v>
      </c>
      <c r="Y213">
        <v>0</v>
      </c>
      <c r="Z213" s="11">
        <f>InterviewsRaw[[#This Row],[Chi Kept]]+InterviewsRaw[[#This Row],[Chi Released]]</f>
        <v>0</v>
      </c>
      <c r="AA213">
        <f>InterviewsRaw[[#This Row],[Co Kept]]+InterviewsRaw[[#This Row],[Co Released ]]</f>
        <v>0</v>
      </c>
      <c r="AB213">
        <f>InterviewsRaw[[#This Row],[Pink Kept]]+InterviewsRaw[[#This Row],[Pink Released]]</f>
        <v>0</v>
      </c>
      <c r="AC213">
        <f>InterviewsRaw[[#This Row],[Chu Kept]]+InterviewsRaw[[#This Row],[Chu Released]]</f>
        <v>0</v>
      </c>
      <c r="AD213" s="11" t="s">
        <v>380</v>
      </c>
    </row>
    <row r="214" spans="1:30" x14ac:dyDescent="0.3">
      <c r="A214" s="7">
        <v>45994</v>
      </c>
      <c r="B214">
        <v>16</v>
      </c>
      <c r="C214" t="s">
        <v>236</v>
      </c>
      <c r="D214" t="s">
        <v>42</v>
      </c>
      <c r="E214">
        <v>2</v>
      </c>
      <c r="F214">
        <v>4</v>
      </c>
      <c r="G214">
        <v>2</v>
      </c>
      <c r="H214" t="s">
        <v>344</v>
      </c>
      <c r="I214">
        <v>2</v>
      </c>
      <c r="J214" s="10">
        <v>0.3125</v>
      </c>
      <c r="K214" s="10">
        <v>0.59305555555555556</v>
      </c>
      <c r="L214" s="10">
        <f t="shared" si="2"/>
        <v>0.28055555555555556</v>
      </c>
      <c r="M214" s="12">
        <f t="shared" si="1"/>
        <v>6.7333333333333334</v>
      </c>
      <c r="N214" s="12">
        <f>InterviewsRaw[[#This Row],[Trip Hours]]*InterviewsRaw[[#This Row],['#Angler]]</f>
        <v>13.466666666666667</v>
      </c>
      <c r="O214" t="s">
        <v>342</v>
      </c>
      <c r="Q214" t="s">
        <v>357</v>
      </c>
      <c r="R214" s="11">
        <v>0</v>
      </c>
      <c r="S214">
        <v>0</v>
      </c>
      <c r="T214">
        <v>0</v>
      </c>
      <c r="U214">
        <v>0</v>
      </c>
      <c r="V214" s="11">
        <v>0</v>
      </c>
      <c r="W214">
        <v>0</v>
      </c>
      <c r="X214">
        <v>0</v>
      </c>
      <c r="Y214">
        <v>0</v>
      </c>
      <c r="Z214" s="11">
        <f>InterviewsRaw[[#This Row],[Chi Kept]]+InterviewsRaw[[#This Row],[Chi Released]]</f>
        <v>0</v>
      </c>
      <c r="AA214">
        <f>InterviewsRaw[[#This Row],[Co Kept]]+InterviewsRaw[[#This Row],[Co Released ]]</f>
        <v>0</v>
      </c>
      <c r="AB214">
        <f>InterviewsRaw[[#This Row],[Pink Kept]]+InterviewsRaw[[#This Row],[Pink Released]]</f>
        <v>0</v>
      </c>
      <c r="AC214">
        <f>InterviewsRaw[[#This Row],[Chu Kept]]+InterviewsRaw[[#This Row],[Chu Released]]</f>
        <v>0</v>
      </c>
      <c r="AD214" s="11" t="s">
        <v>381</v>
      </c>
    </row>
    <row r="215" spans="1:30" x14ac:dyDescent="0.3">
      <c r="A215" s="7">
        <v>45995</v>
      </c>
      <c r="B215">
        <v>16</v>
      </c>
      <c r="C215" t="s">
        <v>236</v>
      </c>
      <c r="D215" t="s">
        <v>42</v>
      </c>
      <c r="E215">
        <v>1</v>
      </c>
      <c r="F215">
        <v>4</v>
      </c>
      <c r="G215">
        <v>3</v>
      </c>
      <c r="H215" t="s">
        <v>241</v>
      </c>
      <c r="I215">
        <v>1</v>
      </c>
      <c r="J215" s="10">
        <v>0.54166666666666663</v>
      </c>
      <c r="K215" s="10">
        <v>0.59027777777777779</v>
      </c>
      <c r="L215" s="10">
        <f t="shared" si="2"/>
        <v>4.861111111111116E-2</v>
      </c>
      <c r="M215" s="12">
        <f t="shared" si="1"/>
        <v>1.1666666666666679</v>
      </c>
      <c r="N215" s="12">
        <f>InterviewsRaw[[#This Row],[Trip Hours]]*InterviewsRaw[[#This Row],['#Angler]]</f>
        <v>1.1666666666666679</v>
      </c>
      <c r="O215" t="s">
        <v>342</v>
      </c>
      <c r="P215" t="s">
        <v>29</v>
      </c>
      <c r="Q215" t="s">
        <v>382</v>
      </c>
      <c r="R215" s="11">
        <v>0</v>
      </c>
      <c r="S215">
        <v>0</v>
      </c>
      <c r="T215">
        <v>0</v>
      </c>
      <c r="U215">
        <v>0</v>
      </c>
      <c r="V215" s="11">
        <v>0</v>
      </c>
      <c r="W215">
        <v>0</v>
      </c>
      <c r="X215">
        <v>0</v>
      </c>
      <c r="Y215">
        <v>0</v>
      </c>
      <c r="Z215" s="11">
        <f>InterviewsRaw[[#This Row],[Chi Kept]]+InterviewsRaw[[#This Row],[Chi Released]]</f>
        <v>0</v>
      </c>
      <c r="AA215">
        <f>InterviewsRaw[[#This Row],[Co Kept]]+InterviewsRaw[[#This Row],[Co Released ]]</f>
        <v>0</v>
      </c>
      <c r="AB215">
        <f>InterviewsRaw[[#This Row],[Pink Kept]]+InterviewsRaw[[#This Row],[Pink Released]]</f>
        <v>0</v>
      </c>
      <c r="AC215">
        <f>InterviewsRaw[[#This Row],[Chu Kept]]+InterviewsRaw[[#This Row],[Chu Released]]</f>
        <v>0</v>
      </c>
      <c r="AD215" s="11" t="s">
        <v>383</v>
      </c>
    </row>
    <row r="216" spans="1:30" x14ac:dyDescent="0.3">
      <c r="A216" s="7">
        <v>45995</v>
      </c>
      <c r="B216">
        <v>16</v>
      </c>
      <c r="C216" t="s">
        <v>236</v>
      </c>
      <c r="D216" t="s">
        <v>42</v>
      </c>
      <c r="E216">
        <v>2</v>
      </c>
      <c r="F216">
        <v>4</v>
      </c>
      <c r="G216">
        <v>5</v>
      </c>
      <c r="H216" t="s">
        <v>241</v>
      </c>
      <c r="I216">
        <v>1</v>
      </c>
      <c r="J216" s="10">
        <v>0.54166666666666663</v>
      </c>
      <c r="K216" s="10">
        <v>0.61736111111111114</v>
      </c>
      <c r="L216" s="10">
        <f t="shared" si="2"/>
        <v>7.5694444444444509E-2</v>
      </c>
      <c r="M216" s="12">
        <f t="shared" si="1"/>
        <v>1.8166666666666682</v>
      </c>
      <c r="N216" s="12">
        <f>InterviewsRaw[[#This Row],[Trip Hours]]*InterviewsRaw[[#This Row],['#Angler]]</f>
        <v>1.8166666666666682</v>
      </c>
      <c r="O216" t="s">
        <v>342</v>
      </c>
      <c r="P216" t="s">
        <v>112</v>
      </c>
      <c r="Q216" t="s">
        <v>64</v>
      </c>
      <c r="R216" s="11">
        <v>0</v>
      </c>
      <c r="S216">
        <v>0</v>
      </c>
      <c r="T216">
        <v>0</v>
      </c>
      <c r="U216">
        <v>0</v>
      </c>
      <c r="V216" s="11">
        <v>0</v>
      </c>
      <c r="W216">
        <v>0</v>
      </c>
      <c r="X216">
        <v>0</v>
      </c>
      <c r="Y216">
        <v>0</v>
      </c>
      <c r="Z216" s="11">
        <f>InterviewsRaw[[#This Row],[Chi Kept]]+InterviewsRaw[[#This Row],[Chi Released]]</f>
        <v>0</v>
      </c>
      <c r="AA216">
        <f>InterviewsRaw[[#This Row],[Co Kept]]+InterviewsRaw[[#This Row],[Co Released ]]</f>
        <v>0</v>
      </c>
      <c r="AB216">
        <f>InterviewsRaw[[#This Row],[Pink Kept]]+InterviewsRaw[[#This Row],[Pink Released]]</f>
        <v>0</v>
      </c>
      <c r="AC216">
        <f>InterviewsRaw[[#This Row],[Chu Kept]]+InterviewsRaw[[#This Row],[Chu Released]]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58F8-7704-449E-B12B-F53A0554FC50}">
  <dimension ref="A1:AB634"/>
  <sheetViews>
    <sheetView workbookViewId="0">
      <pane ySplit="1" topLeftCell="A2" activePane="bottomLeft" state="frozen"/>
      <selection activeCell="B1" sqref="B1"/>
      <selection pane="bottomLeft" activeCell="A2" sqref="A2"/>
    </sheetView>
  </sheetViews>
  <sheetFormatPr defaultRowHeight="14.4" x14ac:dyDescent="0.3"/>
  <cols>
    <col min="1" max="1" width="10.44140625" style="7" bestFit="1" customWidth="1"/>
    <col min="7" max="7" width="9.77734375" customWidth="1"/>
    <col min="8" max="8" width="12.21875" customWidth="1"/>
    <col min="9" max="9" width="9.21875" customWidth="1"/>
    <col min="10" max="10" width="8.77734375" style="10" customWidth="1"/>
    <col min="11" max="11" width="8.88671875" style="10"/>
    <col min="12" max="12" width="10.21875" customWidth="1"/>
    <col min="13" max="13" width="13.5546875" customWidth="1"/>
    <col min="15" max="15" width="20.44140625" customWidth="1"/>
    <col min="16" max="16" width="10.44140625" customWidth="1"/>
    <col min="17" max="17" width="9.5546875" style="11" customWidth="1"/>
    <col min="18" max="18" width="9.21875" customWidth="1"/>
    <col min="19" max="19" width="10.21875" customWidth="1"/>
    <col min="20" max="20" width="14.5546875" style="11" customWidth="1"/>
    <col min="21" max="21" width="14.77734375" customWidth="1"/>
    <col min="22" max="22" width="14" customWidth="1"/>
    <col min="23" max="23" width="15.21875" style="11" customWidth="1"/>
    <col min="24" max="24" width="14.77734375" customWidth="1"/>
    <col min="25" max="25" width="15.77734375" customWidth="1"/>
    <col min="26" max="26" width="9.5546875" style="11" customWidth="1"/>
    <col min="27" max="27" width="11.77734375" customWidth="1"/>
  </cols>
  <sheetData>
    <row r="1" spans="1:28" x14ac:dyDescent="0.3">
      <c r="A1" s="7" t="s">
        <v>1</v>
      </c>
      <c r="B1" t="s">
        <v>225</v>
      </c>
      <c r="C1" t="s">
        <v>226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227</v>
      </c>
      <c r="J1" s="10" t="s">
        <v>8</v>
      </c>
      <c r="K1" s="10" t="s">
        <v>9</v>
      </c>
      <c r="L1" t="s">
        <v>228</v>
      </c>
      <c r="M1" t="s">
        <v>229</v>
      </c>
      <c r="N1" t="s">
        <v>230</v>
      </c>
      <c r="O1" t="s">
        <v>11</v>
      </c>
      <c r="P1" t="s">
        <v>12</v>
      </c>
      <c r="Q1" t="s">
        <v>13</v>
      </c>
      <c r="R1" s="11" t="s">
        <v>14</v>
      </c>
      <c r="S1" t="s">
        <v>15</v>
      </c>
      <c r="T1" t="s">
        <v>17</v>
      </c>
      <c r="U1" s="11" t="s">
        <v>18</v>
      </c>
      <c r="V1" t="s">
        <v>231</v>
      </c>
      <c r="W1" t="s">
        <v>21</v>
      </c>
      <c r="X1" s="11" t="s">
        <v>232</v>
      </c>
      <c r="Y1" t="s">
        <v>233</v>
      </c>
      <c r="Z1" t="s">
        <v>234</v>
      </c>
      <c r="AA1" s="11" t="s">
        <v>235</v>
      </c>
      <c r="AB1" t="s">
        <v>24</v>
      </c>
    </row>
    <row r="2" spans="1:28" x14ac:dyDescent="0.3">
      <c r="A2" s="7">
        <v>45524</v>
      </c>
      <c r="B2">
        <v>1</v>
      </c>
      <c r="C2" t="s">
        <v>236</v>
      </c>
      <c r="D2" t="s">
        <v>26</v>
      </c>
      <c r="E2">
        <v>1</v>
      </c>
      <c r="F2">
        <v>2</v>
      </c>
      <c r="G2">
        <v>5</v>
      </c>
      <c r="H2" t="s">
        <v>27</v>
      </c>
      <c r="I2">
        <v>1</v>
      </c>
      <c r="J2" s="10">
        <v>0.26180555555555557</v>
      </c>
      <c r="K2" s="10">
        <v>0.26874999999999999</v>
      </c>
      <c r="L2" s="10">
        <f>K2-J2</f>
        <v>6.9444444444444198E-3</v>
      </c>
      <c r="M2" s="12">
        <f t="shared" ref="M2:M65" si="0">L2*24</f>
        <v>0.16666666666666607</v>
      </c>
      <c r="N2" s="12">
        <f>Table35[[#This Row],[Trip Hours]]*Table35[[#This Row],['#Angler]]</f>
        <v>0.16666666666666607</v>
      </c>
      <c r="O2" t="s">
        <v>25</v>
      </c>
      <c r="P2" t="s">
        <v>29</v>
      </c>
      <c r="Q2" t="s">
        <v>237</v>
      </c>
      <c r="R2" s="11">
        <v>0</v>
      </c>
      <c r="S2">
        <v>0</v>
      </c>
      <c r="T2">
        <v>0</v>
      </c>
      <c r="U2" s="11">
        <v>0</v>
      </c>
      <c r="V2">
        <v>0</v>
      </c>
      <c r="W2">
        <v>0</v>
      </c>
      <c r="X2" s="11">
        <f>R2+U2</f>
        <v>0</v>
      </c>
      <c r="Y2">
        <f>S2+V2</f>
        <v>0</v>
      </c>
      <c r="Z2">
        <f>T2+W2</f>
        <v>0</v>
      </c>
      <c r="AA2" s="11"/>
    </row>
    <row r="3" spans="1:28" x14ac:dyDescent="0.3">
      <c r="A3" s="7">
        <v>45524</v>
      </c>
      <c r="B3">
        <v>1</v>
      </c>
      <c r="C3" t="s">
        <v>236</v>
      </c>
      <c r="D3" t="s">
        <v>26</v>
      </c>
      <c r="E3">
        <v>2</v>
      </c>
      <c r="F3">
        <v>2</v>
      </c>
      <c r="G3">
        <v>3</v>
      </c>
      <c r="H3" t="s">
        <v>27</v>
      </c>
      <c r="I3">
        <v>2</v>
      </c>
      <c r="J3" s="10">
        <v>0.3125</v>
      </c>
      <c r="K3" s="10">
        <v>0.37152777777777773</v>
      </c>
      <c r="L3" s="10">
        <f>K3-J3</f>
        <v>5.9027777777777735E-2</v>
      </c>
      <c r="M3" s="12">
        <f t="shared" si="0"/>
        <v>1.4166666666666656</v>
      </c>
      <c r="N3" s="12">
        <f>Table35[[#This Row],[Trip Hours]]*Table35[[#This Row],['#Angler]]</f>
        <v>2.8333333333333313</v>
      </c>
      <c r="O3" t="s">
        <v>28</v>
      </c>
      <c r="P3" t="s">
        <v>29</v>
      </c>
      <c r="Q3" t="s">
        <v>238</v>
      </c>
      <c r="R3" s="11">
        <v>0</v>
      </c>
      <c r="S3">
        <v>0</v>
      </c>
      <c r="T3">
        <v>0</v>
      </c>
      <c r="U3" s="11">
        <v>0</v>
      </c>
      <c r="V3">
        <v>0</v>
      </c>
      <c r="W3">
        <v>0</v>
      </c>
      <c r="X3" s="11">
        <f t="shared" ref="X3:Z18" si="1">R3+U3</f>
        <v>0</v>
      </c>
      <c r="Y3">
        <f t="shared" si="1"/>
        <v>0</v>
      </c>
      <c r="Z3">
        <f t="shared" si="1"/>
        <v>0</v>
      </c>
      <c r="AA3" s="11"/>
    </row>
    <row r="4" spans="1:28" x14ac:dyDescent="0.3">
      <c r="A4" s="7">
        <v>45524</v>
      </c>
      <c r="B4">
        <v>1</v>
      </c>
      <c r="C4" t="s">
        <v>236</v>
      </c>
      <c r="D4" t="s">
        <v>26</v>
      </c>
      <c r="E4">
        <v>3</v>
      </c>
      <c r="F4">
        <v>2</v>
      </c>
      <c r="G4">
        <v>2</v>
      </c>
      <c r="H4" t="s">
        <v>27</v>
      </c>
      <c r="I4">
        <v>1</v>
      </c>
      <c r="J4" s="10">
        <v>0.41319444444444442</v>
      </c>
      <c r="K4" s="10">
        <v>0.41319444444444442</v>
      </c>
      <c r="L4" s="10">
        <f t="shared" ref="L4:L67" si="2">K4-J4</f>
        <v>0</v>
      </c>
      <c r="M4" s="12">
        <f t="shared" si="0"/>
        <v>0</v>
      </c>
      <c r="N4" s="12">
        <f>Table35[[#This Row],[Trip Hours]]*Table35[[#This Row],['#Angler]]</f>
        <v>0</v>
      </c>
      <c r="O4" t="s">
        <v>28</v>
      </c>
      <c r="P4" t="s">
        <v>239</v>
      </c>
      <c r="Q4" t="s">
        <v>238</v>
      </c>
      <c r="R4" s="11">
        <v>0</v>
      </c>
      <c r="S4">
        <v>0</v>
      </c>
      <c r="T4">
        <v>0</v>
      </c>
      <c r="U4" s="11">
        <v>0</v>
      </c>
      <c r="V4">
        <v>0</v>
      </c>
      <c r="W4">
        <v>0</v>
      </c>
      <c r="X4" s="11">
        <f t="shared" si="1"/>
        <v>0</v>
      </c>
      <c r="Y4">
        <f t="shared" si="1"/>
        <v>0</v>
      </c>
      <c r="Z4">
        <f t="shared" si="1"/>
        <v>0</v>
      </c>
      <c r="AA4" s="11"/>
    </row>
    <row r="5" spans="1:28" x14ac:dyDescent="0.3">
      <c r="A5" s="7">
        <v>45524</v>
      </c>
      <c r="B5">
        <v>1</v>
      </c>
      <c r="C5" t="s">
        <v>236</v>
      </c>
      <c r="D5" t="s">
        <v>26</v>
      </c>
      <c r="E5">
        <v>4</v>
      </c>
      <c r="F5">
        <v>2</v>
      </c>
      <c r="G5">
        <v>2</v>
      </c>
      <c r="H5" t="s">
        <v>27</v>
      </c>
      <c r="I5">
        <v>1</v>
      </c>
      <c r="J5" s="10">
        <v>0.40625</v>
      </c>
      <c r="K5" s="10">
        <v>0.42708333333333331</v>
      </c>
      <c r="L5" s="10">
        <f t="shared" si="2"/>
        <v>2.0833333333333315E-2</v>
      </c>
      <c r="M5" s="12">
        <f t="shared" si="0"/>
        <v>0.49999999999999956</v>
      </c>
      <c r="N5" s="12">
        <f>Table35[[#This Row],[Trip Hours]]*Table35[[#This Row],['#Angler]]</f>
        <v>0.49999999999999956</v>
      </c>
      <c r="O5" t="s">
        <v>25</v>
      </c>
      <c r="P5" t="s">
        <v>240</v>
      </c>
      <c r="Q5" t="s">
        <v>238</v>
      </c>
      <c r="R5" s="11">
        <v>0</v>
      </c>
      <c r="S5">
        <v>0</v>
      </c>
      <c r="T5">
        <v>0</v>
      </c>
      <c r="U5" s="11">
        <v>0</v>
      </c>
      <c r="V5">
        <v>0</v>
      </c>
      <c r="W5">
        <v>0</v>
      </c>
      <c r="X5" s="11">
        <f t="shared" si="1"/>
        <v>0</v>
      </c>
      <c r="Y5">
        <f t="shared" si="1"/>
        <v>0</v>
      </c>
      <c r="Z5">
        <f t="shared" si="1"/>
        <v>0</v>
      </c>
      <c r="AA5" s="11"/>
    </row>
    <row r="6" spans="1:28" x14ac:dyDescent="0.3">
      <c r="A6" s="7">
        <v>45524</v>
      </c>
      <c r="B6">
        <v>1</v>
      </c>
      <c r="C6" t="s">
        <v>236</v>
      </c>
      <c r="D6" t="s">
        <v>42</v>
      </c>
      <c r="E6">
        <v>5</v>
      </c>
      <c r="F6">
        <v>1</v>
      </c>
      <c r="G6">
        <v>2</v>
      </c>
      <c r="H6" t="s">
        <v>27</v>
      </c>
      <c r="I6">
        <v>5</v>
      </c>
      <c r="J6" s="10">
        <v>0.58333333333333337</v>
      </c>
      <c r="K6" s="10">
        <v>0.70833333333333337</v>
      </c>
      <c r="L6" s="10">
        <f t="shared" si="2"/>
        <v>0.125</v>
      </c>
      <c r="M6" s="12">
        <f t="shared" si="0"/>
        <v>3</v>
      </c>
      <c r="N6" s="12">
        <f>Table35[[#This Row],[Trip Hours]]*Table35[[#This Row],['#Angler]]</f>
        <v>15</v>
      </c>
      <c r="O6" t="s">
        <v>28</v>
      </c>
      <c r="P6" t="s">
        <v>91</v>
      </c>
      <c r="Q6" t="s">
        <v>241</v>
      </c>
      <c r="R6" s="11">
        <v>0</v>
      </c>
      <c r="S6">
        <v>0</v>
      </c>
      <c r="T6">
        <v>0</v>
      </c>
      <c r="U6" s="11">
        <v>0</v>
      </c>
      <c r="V6">
        <v>0</v>
      </c>
      <c r="W6">
        <v>0</v>
      </c>
      <c r="X6" s="11">
        <f t="shared" si="1"/>
        <v>0</v>
      </c>
      <c r="Y6">
        <f t="shared" si="1"/>
        <v>0</v>
      </c>
      <c r="Z6">
        <f t="shared" si="1"/>
        <v>0</v>
      </c>
      <c r="AA6" s="11"/>
    </row>
    <row r="7" spans="1:28" x14ac:dyDescent="0.3">
      <c r="A7" s="7">
        <v>45524</v>
      </c>
      <c r="B7">
        <v>1</v>
      </c>
      <c r="C7" t="s">
        <v>236</v>
      </c>
      <c r="D7" t="s">
        <v>42</v>
      </c>
      <c r="E7">
        <v>6</v>
      </c>
      <c r="F7">
        <v>1</v>
      </c>
      <c r="G7">
        <v>1</v>
      </c>
      <c r="H7" t="s">
        <v>35</v>
      </c>
      <c r="I7">
        <v>2</v>
      </c>
      <c r="J7" s="10">
        <v>0.6875</v>
      </c>
      <c r="K7" s="10">
        <v>0.80972222222222223</v>
      </c>
      <c r="L7" s="10">
        <f t="shared" si="2"/>
        <v>0.12222222222222223</v>
      </c>
      <c r="M7" s="12">
        <f t="shared" si="0"/>
        <v>2.9333333333333336</v>
      </c>
      <c r="N7" s="12">
        <f>Table35[[#This Row],[Trip Hours]]*Table35[[#This Row],['#Angler]]</f>
        <v>5.8666666666666671</v>
      </c>
      <c r="O7" t="s">
        <v>25</v>
      </c>
      <c r="P7" t="s">
        <v>242</v>
      </c>
      <c r="Q7" t="s">
        <v>237</v>
      </c>
      <c r="R7" s="11">
        <v>0</v>
      </c>
      <c r="S7">
        <v>1</v>
      </c>
      <c r="T7">
        <v>0</v>
      </c>
      <c r="U7" s="11">
        <v>0</v>
      </c>
      <c r="V7">
        <v>0</v>
      </c>
      <c r="W7">
        <v>0</v>
      </c>
      <c r="X7" s="11">
        <f t="shared" si="1"/>
        <v>0</v>
      </c>
      <c r="Y7">
        <f t="shared" si="1"/>
        <v>1</v>
      </c>
      <c r="Z7">
        <f t="shared" si="1"/>
        <v>0</v>
      </c>
      <c r="AA7" s="11"/>
    </row>
    <row r="8" spans="1:28" x14ac:dyDescent="0.3">
      <c r="A8" s="7">
        <v>45525</v>
      </c>
      <c r="B8">
        <v>1</v>
      </c>
      <c r="C8" t="s">
        <v>236</v>
      </c>
      <c r="D8" t="s">
        <v>26</v>
      </c>
      <c r="E8">
        <v>1</v>
      </c>
      <c r="F8">
        <v>2</v>
      </c>
      <c r="G8">
        <v>2</v>
      </c>
      <c r="H8" t="s">
        <v>27</v>
      </c>
      <c r="I8">
        <v>1</v>
      </c>
      <c r="J8" s="10">
        <v>0.28472222222222221</v>
      </c>
      <c r="K8" s="10">
        <v>0.28819444444444448</v>
      </c>
      <c r="L8" s="10">
        <f t="shared" si="2"/>
        <v>3.4722222222222654E-3</v>
      </c>
      <c r="M8" s="12">
        <f t="shared" si="0"/>
        <v>8.333333333333437E-2</v>
      </c>
      <c r="N8" s="12">
        <f>Table35[[#This Row],[Trip Hours]]*Table35[[#This Row],['#Angler]]</f>
        <v>8.333333333333437E-2</v>
      </c>
      <c r="O8" t="s">
        <v>28</v>
      </c>
      <c r="P8" t="s">
        <v>29</v>
      </c>
      <c r="Q8" t="s">
        <v>238</v>
      </c>
      <c r="R8" s="11">
        <v>0</v>
      </c>
      <c r="S8">
        <v>0</v>
      </c>
      <c r="T8">
        <v>0</v>
      </c>
      <c r="U8" s="11">
        <v>0</v>
      </c>
      <c r="V8">
        <v>0</v>
      </c>
      <c r="W8">
        <v>0</v>
      </c>
      <c r="X8" s="11">
        <f t="shared" si="1"/>
        <v>0</v>
      </c>
      <c r="Y8">
        <f t="shared" si="1"/>
        <v>0</v>
      </c>
      <c r="Z8">
        <f t="shared" si="1"/>
        <v>0</v>
      </c>
      <c r="AA8" s="11"/>
    </row>
    <row r="9" spans="1:28" x14ac:dyDescent="0.3">
      <c r="A9" s="7">
        <v>45525</v>
      </c>
      <c r="B9">
        <v>1</v>
      </c>
      <c r="C9" t="s">
        <v>236</v>
      </c>
      <c r="D9" t="s">
        <v>26</v>
      </c>
      <c r="E9">
        <v>2</v>
      </c>
      <c r="F9">
        <v>2</v>
      </c>
      <c r="G9">
        <v>2</v>
      </c>
      <c r="H9" t="s">
        <v>27</v>
      </c>
      <c r="I9">
        <v>2</v>
      </c>
      <c r="J9" s="10">
        <v>0.27083333333333331</v>
      </c>
      <c r="K9" s="10">
        <v>0.29166666666666669</v>
      </c>
      <c r="L9" s="10">
        <f t="shared" si="2"/>
        <v>2.083333333333337E-2</v>
      </c>
      <c r="M9" s="12">
        <f t="shared" si="0"/>
        <v>0.50000000000000089</v>
      </c>
      <c r="N9" s="12">
        <f>Table35[[#This Row],[Trip Hours]]*Table35[[#This Row],['#Angler]]</f>
        <v>1.0000000000000018</v>
      </c>
      <c r="O9" t="s">
        <v>28</v>
      </c>
      <c r="P9" t="s">
        <v>243</v>
      </c>
      <c r="Q9" t="s">
        <v>237</v>
      </c>
      <c r="R9" s="11">
        <v>0</v>
      </c>
      <c r="S9">
        <v>0</v>
      </c>
      <c r="T9">
        <v>0</v>
      </c>
      <c r="U9" s="11">
        <v>0</v>
      </c>
      <c r="V9">
        <v>0</v>
      </c>
      <c r="W9">
        <v>0</v>
      </c>
      <c r="X9" s="11">
        <f t="shared" si="1"/>
        <v>0</v>
      </c>
      <c r="Y9">
        <f t="shared" si="1"/>
        <v>0</v>
      </c>
      <c r="Z9">
        <f t="shared" si="1"/>
        <v>0</v>
      </c>
      <c r="AA9" s="11"/>
    </row>
    <row r="10" spans="1:28" x14ac:dyDescent="0.3">
      <c r="A10" s="7">
        <v>45525</v>
      </c>
      <c r="B10">
        <v>1</v>
      </c>
      <c r="C10" t="s">
        <v>236</v>
      </c>
      <c r="D10" t="s">
        <v>26</v>
      </c>
      <c r="E10">
        <v>3</v>
      </c>
      <c r="F10">
        <v>2</v>
      </c>
      <c r="G10">
        <v>2</v>
      </c>
      <c r="H10" t="s">
        <v>27</v>
      </c>
      <c r="I10">
        <v>2</v>
      </c>
      <c r="J10" s="10">
        <v>0.26041666666666669</v>
      </c>
      <c r="K10" s="10">
        <v>0.30208333333333331</v>
      </c>
      <c r="L10" s="10">
        <f t="shared" si="2"/>
        <v>4.166666666666663E-2</v>
      </c>
      <c r="M10" s="12">
        <f t="shared" si="0"/>
        <v>0.99999999999999911</v>
      </c>
      <c r="N10" s="12">
        <f>Table35[[#This Row],[Trip Hours]]*Table35[[#This Row],['#Angler]]</f>
        <v>1.9999999999999982</v>
      </c>
      <c r="O10" t="s">
        <v>28</v>
      </c>
      <c r="P10" t="s">
        <v>56</v>
      </c>
      <c r="Q10" t="s">
        <v>244</v>
      </c>
      <c r="R10" s="11">
        <v>0</v>
      </c>
      <c r="S10">
        <v>0</v>
      </c>
      <c r="T10">
        <v>0</v>
      </c>
      <c r="U10" s="11">
        <v>0</v>
      </c>
      <c r="V10">
        <v>0</v>
      </c>
      <c r="W10">
        <v>0</v>
      </c>
      <c r="X10" s="11">
        <f t="shared" si="1"/>
        <v>0</v>
      </c>
      <c r="Y10">
        <f t="shared" si="1"/>
        <v>0</v>
      </c>
      <c r="Z10">
        <f t="shared" si="1"/>
        <v>0</v>
      </c>
      <c r="AA10" s="11"/>
    </row>
    <row r="11" spans="1:28" x14ac:dyDescent="0.3">
      <c r="A11" s="7">
        <v>45525</v>
      </c>
      <c r="B11">
        <v>1</v>
      </c>
      <c r="C11" t="s">
        <v>236</v>
      </c>
      <c r="D11" t="s">
        <v>26</v>
      </c>
      <c r="E11">
        <v>4</v>
      </c>
      <c r="F11">
        <v>2</v>
      </c>
      <c r="G11">
        <v>2</v>
      </c>
      <c r="H11" t="s">
        <v>27</v>
      </c>
      <c r="I11">
        <v>1</v>
      </c>
      <c r="J11" s="10">
        <v>0.30555555555555552</v>
      </c>
      <c r="K11" s="10">
        <v>0.31180555555555556</v>
      </c>
      <c r="L11" s="10">
        <f t="shared" si="2"/>
        <v>6.2500000000000333E-3</v>
      </c>
      <c r="M11" s="12">
        <f t="shared" si="0"/>
        <v>0.1500000000000008</v>
      </c>
      <c r="N11" s="12">
        <f>Table35[[#This Row],[Trip Hours]]*Table35[[#This Row],['#Angler]]</f>
        <v>0.1500000000000008</v>
      </c>
      <c r="O11" t="s">
        <v>28</v>
      </c>
      <c r="P11" t="s">
        <v>56</v>
      </c>
      <c r="Q11" t="s">
        <v>244</v>
      </c>
      <c r="R11" s="11">
        <v>0</v>
      </c>
      <c r="S11">
        <v>0</v>
      </c>
      <c r="T11">
        <v>0</v>
      </c>
      <c r="U11" s="11">
        <v>0</v>
      </c>
      <c r="V11">
        <v>0</v>
      </c>
      <c r="W11">
        <v>0</v>
      </c>
      <c r="X11" s="11">
        <f t="shared" si="1"/>
        <v>0</v>
      </c>
      <c r="Y11">
        <f t="shared" si="1"/>
        <v>0</v>
      </c>
      <c r="Z11">
        <f t="shared" si="1"/>
        <v>0</v>
      </c>
      <c r="AA11" s="11"/>
    </row>
    <row r="12" spans="1:28" x14ac:dyDescent="0.3">
      <c r="A12" s="7">
        <v>45525</v>
      </c>
      <c r="B12">
        <v>1</v>
      </c>
      <c r="C12" t="s">
        <v>236</v>
      </c>
      <c r="D12" t="s">
        <v>26</v>
      </c>
      <c r="E12">
        <v>5</v>
      </c>
      <c r="F12">
        <v>2</v>
      </c>
      <c r="G12">
        <v>2</v>
      </c>
      <c r="H12" t="s">
        <v>27</v>
      </c>
      <c r="I12">
        <v>1</v>
      </c>
      <c r="J12" s="10">
        <v>0.29166666666666669</v>
      </c>
      <c r="K12" s="10">
        <v>0.33333333333333331</v>
      </c>
      <c r="L12" s="10">
        <f t="shared" si="2"/>
        <v>4.166666666666663E-2</v>
      </c>
      <c r="M12" s="12">
        <f t="shared" si="0"/>
        <v>0.99999999999999911</v>
      </c>
      <c r="N12" s="12">
        <f>Table35[[#This Row],[Trip Hours]]*Table35[[#This Row],['#Angler]]</f>
        <v>0.99999999999999911</v>
      </c>
      <c r="O12" t="s">
        <v>25</v>
      </c>
      <c r="P12" t="s">
        <v>29</v>
      </c>
      <c r="Q12" t="s">
        <v>238</v>
      </c>
      <c r="R12" s="11">
        <v>0</v>
      </c>
      <c r="S12">
        <v>0</v>
      </c>
      <c r="T12">
        <v>0</v>
      </c>
      <c r="U12" s="11">
        <v>0</v>
      </c>
      <c r="V12">
        <v>0</v>
      </c>
      <c r="W12">
        <v>0</v>
      </c>
      <c r="X12" s="11">
        <f t="shared" si="1"/>
        <v>0</v>
      </c>
      <c r="Y12">
        <f t="shared" si="1"/>
        <v>0</v>
      </c>
      <c r="Z12">
        <f t="shared" si="1"/>
        <v>0</v>
      </c>
      <c r="AA12" s="11"/>
    </row>
    <row r="13" spans="1:28" x14ac:dyDescent="0.3">
      <c r="A13" s="7">
        <v>45525</v>
      </c>
      <c r="B13">
        <v>1</v>
      </c>
      <c r="C13" t="s">
        <v>236</v>
      </c>
      <c r="D13" t="s">
        <v>26</v>
      </c>
      <c r="E13">
        <v>6</v>
      </c>
      <c r="F13">
        <v>2</v>
      </c>
      <c r="G13">
        <v>2</v>
      </c>
      <c r="H13" t="s">
        <v>27</v>
      </c>
      <c r="I13">
        <v>1</v>
      </c>
      <c r="J13" s="10">
        <v>0.21875</v>
      </c>
      <c r="K13" s="10">
        <v>0.34166666666666662</v>
      </c>
      <c r="L13" s="10">
        <f t="shared" si="2"/>
        <v>0.12291666666666662</v>
      </c>
      <c r="M13" s="12">
        <f t="shared" si="0"/>
        <v>2.9499999999999988</v>
      </c>
      <c r="N13" s="12">
        <f>Table35[[#This Row],[Trip Hours]]*Table35[[#This Row],['#Angler]]</f>
        <v>2.9499999999999988</v>
      </c>
      <c r="O13" t="s">
        <v>28</v>
      </c>
      <c r="P13" t="s">
        <v>56</v>
      </c>
      <c r="Q13" t="s">
        <v>241</v>
      </c>
      <c r="R13" s="11">
        <v>0</v>
      </c>
      <c r="S13">
        <v>0</v>
      </c>
      <c r="T13">
        <v>0</v>
      </c>
      <c r="U13" s="11">
        <v>0</v>
      </c>
      <c r="V13">
        <v>0</v>
      </c>
      <c r="W13">
        <v>0</v>
      </c>
      <c r="X13" s="11">
        <f t="shared" si="1"/>
        <v>0</v>
      </c>
      <c r="Y13">
        <f t="shared" si="1"/>
        <v>0</v>
      </c>
      <c r="Z13">
        <f t="shared" si="1"/>
        <v>0</v>
      </c>
      <c r="AA13" s="11"/>
    </row>
    <row r="14" spans="1:28" x14ac:dyDescent="0.3">
      <c r="A14" s="7">
        <v>45525</v>
      </c>
      <c r="B14">
        <v>1</v>
      </c>
      <c r="C14" t="s">
        <v>236</v>
      </c>
      <c r="D14" t="s">
        <v>26</v>
      </c>
      <c r="E14">
        <v>7</v>
      </c>
      <c r="F14">
        <v>2</v>
      </c>
      <c r="G14">
        <v>4</v>
      </c>
      <c r="H14" t="s">
        <v>27</v>
      </c>
      <c r="I14">
        <v>1</v>
      </c>
      <c r="J14" s="10">
        <v>0.3125</v>
      </c>
      <c r="K14" s="10">
        <v>0.37152777777777773</v>
      </c>
      <c r="L14" s="10">
        <f t="shared" si="2"/>
        <v>5.9027777777777735E-2</v>
      </c>
      <c r="M14" s="12">
        <f t="shared" si="0"/>
        <v>1.4166666666666656</v>
      </c>
      <c r="N14" s="12">
        <f>Table35[[#This Row],[Trip Hours]]*Table35[[#This Row],['#Angler]]</f>
        <v>1.4166666666666656</v>
      </c>
      <c r="O14" t="s">
        <v>28</v>
      </c>
      <c r="Q14" t="s">
        <v>238</v>
      </c>
      <c r="R14" s="11">
        <v>0</v>
      </c>
      <c r="S14">
        <v>0</v>
      </c>
      <c r="T14">
        <v>0</v>
      </c>
      <c r="U14" s="11">
        <v>0</v>
      </c>
      <c r="V14">
        <v>0</v>
      </c>
      <c r="W14">
        <v>0</v>
      </c>
      <c r="X14" s="11">
        <f t="shared" si="1"/>
        <v>0</v>
      </c>
      <c r="Y14">
        <f t="shared" si="1"/>
        <v>0</v>
      </c>
      <c r="Z14">
        <f t="shared" si="1"/>
        <v>0</v>
      </c>
      <c r="AA14" s="11"/>
    </row>
    <row r="15" spans="1:28" x14ac:dyDescent="0.3">
      <c r="A15" s="7">
        <v>45525</v>
      </c>
      <c r="B15">
        <v>1</v>
      </c>
      <c r="C15" t="s">
        <v>236</v>
      </c>
      <c r="D15" t="s">
        <v>26</v>
      </c>
      <c r="E15">
        <v>8</v>
      </c>
      <c r="F15">
        <v>2</v>
      </c>
      <c r="G15">
        <v>4</v>
      </c>
      <c r="H15" t="s">
        <v>27</v>
      </c>
      <c r="I15">
        <v>1</v>
      </c>
      <c r="J15" s="10">
        <v>0.35416666666666669</v>
      </c>
      <c r="K15" s="10">
        <v>0.40208333333333335</v>
      </c>
      <c r="L15" s="10">
        <f t="shared" si="2"/>
        <v>4.7916666666666663E-2</v>
      </c>
      <c r="M15" s="12">
        <f t="shared" si="0"/>
        <v>1.1499999999999999</v>
      </c>
      <c r="N15" s="12">
        <f>Table35[[#This Row],[Trip Hours]]*Table35[[#This Row],['#Angler]]</f>
        <v>1.1499999999999999</v>
      </c>
      <c r="O15" t="s">
        <v>28</v>
      </c>
      <c r="P15" t="s">
        <v>245</v>
      </c>
      <c r="Q15" t="s">
        <v>241</v>
      </c>
      <c r="R15" s="11">
        <v>0</v>
      </c>
      <c r="S15">
        <v>0</v>
      </c>
      <c r="T15">
        <v>0</v>
      </c>
      <c r="U15" s="11">
        <v>0</v>
      </c>
      <c r="V15">
        <v>0</v>
      </c>
      <c r="W15">
        <v>0</v>
      </c>
      <c r="X15" s="11">
        <f t="shared" si="1"/>
        <v>0</v>
      </c>
      <c r="Y15">
        <f t="shared" si="1"/>
        <v>0</v>
      </c>
      <c r="Z15">
        <f t="shared" si="1"/>
        <v>0</v>
      </c>
      <c r="AA15" s="11"/>
    </row>
    <row r="16" spans="1:28" x14ac:dyDescent="0.3">
      <c r="A16" s="7">
        <v>45525</v>
      </c>
      <c r="B16">
        <v>1</v>
      </c>
      <c r="C16" t="s">
        <v>236</v>
      </c>
      <c r="D16" t="s">
        <v>42</v>
      </c>
      <c r="E16">
        <v>9</v>
      </c>
      <c r="F16">
        <v>1</v>
      </c>
      <c r="G16">
        <v>2</v>
      </c>
      <c r="H16" t="s">
        <v>27</v>
      </c>
      <c r="I16">
        <v>1</v>
      </c>
      <c r="J16" s="10">
        <v>0.64583333333333337</v>
      </c>
      <c r="K16" s="10">
        <v>0.70833333333333337</v>
      </c>
      <c r="L16" s="10">
        <f t="shared" si="2"/>
        <v>6.25E-2</v>
      </c>
      <c r="M16" s="12">
        <f t="shared" si="0"/>
        <v>1.5</v>
      </c>
      <c r="N16" s="12">
        <f>Table35[[#This Row],[Trip Hours]]*Table35[[#This Row],['#Angler]]</f>
        <v>1.5</v>
      </c>
      <c r="O16" t="s">
        <v>28</v>
      </c>
      <c r="P16" t="s">
        <v>73</v>
      </c>
      <c r="Q16" t="s">
        <v>241</v>
      </c>
      <c r="R16" s="11">
        <v>0</v>
      </c>
      <c r="S16">
        <v>0</v>
      </c>
      <c r="T16">
        <v>0</v>
      </c>
      <c r="U16" s="11">
        <v>0</v>
      </c>
      <c r="V16">
        <v>0</v>
      </c>
      <c r="W16">
        <v>0</v>
      </c>
      <c r="X16" s="11">
        <f t="shared" si="1"/>
        <v>0</v>
      </c>
      <c r="Y16">
        <f t="shared" si="1"/>
        <v>0</v>
      </c>
      <c r="Z16">
        <f t="shared" si="1"/>
        <v>0</v>
      </c>
      <c r="AA16" s="11"/>
    </row>
    <row r="17" spans="1:28" x14ac:dyDescent="0.3">
      <c r="A17" s="7">
        <v>45525</v>
      </c>
      <c r="B17">
        <v>1</v>
      </c>
      <c r="C17" t="s">
        <v>236</v>
      </c>
      <c r="D17" t="s">
        <v>42</v>
      </c>
      <c r="E17">
        <v>10</v>
      </c>
      <c r="F17">
        <v>1</v>
      </c>
      <c r="G17">
        <v>4</v>
      </c>
      <c r="H17" t="s">
        <v>27</v>
      </c>
      <c r="I17">
        <v>1</v>
      </c>
      <c r="J17" s="10">
        <v>0.70833333333333337</v>
      </c>
      <c r="K17" s="10">
        <v>0.74305555555555547</v>
      </c>
      <c r="L17" s="10">
        <f t="shared" si="2"/>
        <v>3.4722222222222099E-2</v>
      </c>
      <c r="M17" s="12">
        <f t="shared" si="0"/>
        <v>0.83333333333333037</v>
      </c>
      <c r="N17" s="12">
        <f>Table35[[#This Row],[Trip Hours]]*Table35[[#This Row],['#Angler]]</f>
        <v>0.83333333333333037</v>
      </c>
      <c r="O17" t="s">
        <v>28</v>
      </c>
      <c r="P17" t="s">
        <v>73</v>
      </c>
      <c r="Q17" t="s">
        <v>237</v>
      </c>
      <c r="R17" s="11">
        <v>0</v>
      </c>
      <c r="S17">
        <v>0</v>
      </c>
      <c r="T17">
        <v>0</v>
      </c>
      <c r="U17" s="11">
        <v>0</v>
      </c>
      <c r="V17">
        <v>0</v>
      </c>
      <c r="W17">
        <v>0</v>
      </c>
      <c r="X17" s="11">
        <f t="shared" si="1"/>
        <v>0</v>
      </c>
      <c r="Y17">
        <f t="shared" si="1"/>
        <v>0</v>
      </c>
      <c r="Z17">
        <f t="shared" si="1"/>
        <v>0</v>
      </c>
      <c r="AA17" s="11"/>
    </row>
    <row r="18" spans="1:28" x14ac:dyDescent="0.3">
      <c r="A18" s="7">
        <v>45525</v>
      </c>
      <c r="B18">
        <v>1</v>
      </c>
      <c r="C18" t="s">
        <v>236</v>
      </c>
      <c r="D18" t="s">
        <v>42</v>
      </c>
      <c r="E18">
        <v>11</v>
      </c>
      <c r="F18">
        <v>2</v>
      </c>
      <c r="G18">
        <v>2</v>
      </c>
      <c r="H18" t="s">
        <v>27</v>
      </c>
      <c r="I18">
        <v>2</v>
      </c>
      <c r="J18" s="10">
        <v>0.80208333333333337</v>
      </c>
      <c r="K18" s="10">
        <v>0.80555555555555547</v>
      </c>
      <c r="L18" s="10">
        <f t="shared" si="2"/>
        <v>3.4722222222220989E-3</v>
      </c>
      <c r="M18" s="12">
        <f t="shared" si="0"/>
        <v>8.3333333333330373E-2</v>
      </c>
      <c r="N18" s="12">
        <f>Table35[[#This Row],[Trip Hours]]*Table35[[#This Row],['#Angler]]</f>
        <v>0.16666666666666075</v>
      </c>
      <c r="O18" t="s">
        <v>25</v>
      </c>
      <c r="P18" t="s">
        <v>29</v>
      </c>
      <c r="Q18" t="s">
        <v>241</v>
      </c>
      <c r="R18" s="11">
        <v>0</v>
      </c>
      <c r="S18">
        <v>0</v>
      </c>
      <c r="T18">
        <v>0</v>
      </c>
      <c r="U18" s="11">
        <v>0</v>
      </c>
      <c r="V18">
        <v>0</v>
      </c>
      <c r="W18">
        <v>0</v>
      </c>
      <c r="X18" s="11">
        <f t="shared" si="1"/>
        <v>0</v>
      </c>
      <c r="Y18">
        <f t="shared" si="1"/>
        <v>0</v>
      </c>
      <c r="Z18">
        <f t="shared" si="1"/>
        <v>0</v>
      </c>
      <c r="AA18" s="11"/>
    </row>
    <row r="19" spans="1:28" x14ac:dyDescent="0.3">
      <c r="A19" s="7">
        <v>45525</v>
      </c>
      <c r="B19">
        <v>1</v>
      </c>
      <c r="C19" t="s">
        <v>236</v>
      </c>
      <c r="D19" t="s">
        <v>42</v>
      </c>
      <c r="E19">
        <v>12</v>
      </c>
      <c r="F19">
        <v>2</v>
      </c>
      <c r="G19">
        <v>5</v>
      </c>
      <c r="H19" t="s">
        <v>27</v>
      </c>
      <c r="I19">
        <v>2</v>
      </c>
      <c r="J19" s="10">
        <v>0.8125</v>
      </c>
      <c r="K19" s="10">
        <v>0.84513888888888899</v>
      </c>
      <c r="L19" s="10">
        <f t="shared" si="2"/>
        <v>3.2638888888888995E-2</v>
      </c>
      <c r="M19" s="12">
        <f t="shared" si="0"/>
        <v>0.78333333333333588</v>
      </c>
      <c r="N19" s="12">
        <f>Table35[[#This Row],[Trip Hours]]*Table35[[#This Row],['#Angler]]</f>
        <v>1.5666666666666718</v>
      </c>
      <c r="O19" t="s">
        <v>25</v>
      </c>
      <c r="P19" t="s">
        <v>73</v>
      </c>
      <c r="Q19"/>
      <c r="R19" s="11">
        <v>0</v>
      </c>
      <c r="S19">
        <v>0</v>
      </c>
      <c r="T19">
        <v>0</v>
      </c>
      <c r="U19" s="11">
        <v>0</v>
      </c>
      <c r="V19">
        <v>0</v>
      </c>
      <c r="W19">
        <v>0</v>
      </c>
      <c r="X19" s="11">
        <f t="shared" ref="X19:Z82" si="3">R19+U19</f>
        <v>0</v>
      </c>
      <c r="Y19">
        <f t="shared" si="3"/>
        <v>0</v>
      </c>
      <c r="Z19">
        <f t="shared" si="3"/>
        <v>0</v>
      </c>
      <c r="AA19" s="11"/>
    </row>
    <row r="20" spans="1:28" x14ac:dyDescent="0.3">
      <c r="A20" s="7">
        <v>45527</v>
      </c>
      <c r="B20">
        <v>1</v>
      </c>
      <c r="C20" t="s">
        <v>236</v>
      </c>
      <c r="D20" t="s">
        <v>26</v>
      </c>
      <c r="E20">
        <v>1</v>
      </c>
      <c r="F20">
        <v>1</v>
      </c>
      <c r="G20">
        <v>1</v>
      </c>
      <c r="H20" t="s">
        <v>35</v>
      </c>
      <c r="I20">
        <v>3</v>
      </c>
      <c r="J20" s="10">
        <v>0.25</v>
      </c>
      <c r="K20" s="10">
        <v>0.39027777777777778</v>
      </c>
      <c r="L20" s="10">
        <f t="shared" si="2"/>
        <v>0.14027777777777778</v>
      </c>
      <c r="M20" s="12">
        <f t="shared" si="0"/>
        <v>3.3666666666666667</v>
      </c>
      <c r="N20" s="12">
        <f>Table35[[#This Row],[Trip Hours]]*Table35[[#This Row],['#Angler]]</f>
        <v>10.1</v>
      </c>
      <c r="O20" t="s">
        <v>25</v>
      </c>
      <c r="P20" t="s">
        <v>246</v>
      </c>
      <c r="Q20" t="s">
        <v>247</v>
      </c>
      <c r="R20" s="11">
        <v>0</v>
      </c>
      <c r="S20">
        <v>0</v>
      </c>
      <c r="T20">
        <v>0</v>
      </c>
      <c r="U20" s="11">
        <v>0</v>
      </c>
      <c r="V20">
        <v>0</v>
      </c>
      <c r="W20">
        <v>0</v>
      </c>
      <c r="X20" s="11">
        <f t="shared" si="3"/>
        <v>0</v>
      </c>
      <c r="Y20">
        <f t="shared" si="3"/>
        <v>0</v>
      </c>
      <c r="Z20">
        <f t="shared" si="3"/>
        <v>0</v>
      </c>
      <c r="AA20" s="11"/>
    </row>
    <row r="21" spans="1:28" x14ac:dyDescent="0.3">
      <c r="A21" s="7">
        <v>45527</v>
      </c>
      <c r="B21">
        <v>1</v>
      </c>
      <c r="C21" t="s">
        <v>236</v>
      </c>
      <c r="D21" t="s">
        <v>26</v>
      </c>
      <c r="E21">
        <v>2</v>
      </c>
      <c r="F21">
        <v>1</v>
      </c>
      <c r="G21">
        <v>1</v>
      </c>
      <c r="H21" t="s">
        <v>35</v>
      </c>
      <c r="I21">
        <v>1</v>
      </c>
      <c r="J21" s="10">
        <v>0.29166666666666669</v>
      </c>
      <c r="K21" s="10">
        <v>0.44027777777777777</v>
      </c>
      <c r="L21" s="10">
        <f t="shared" si="2"/>
        <v>0.14861111111111108</v>
      </c>
      <c r="M21" s="12">
        <f t="shared" si="0"/>
        <v>3.566666666666666</v>
      </c>
      <c r="N21" s="12">
        <f>Table35[[#This Row],[Trip Hours]]*Table35[[#This Row],['#Angler]]</f>
        <v>3.566666666666666</v>
      </c>
      <c r="O21" t="s">
        <v>25</v>
      </c>
      <c r="P21" t="s">
        <v>246</v>
      </c>
      <c r="Q21" t="s">
        <v>247</v>
      </c>
      <c r="R21" s="11">
        <v>0</v>
      </c>
      <c r="S21">
        <v>0</v>
      </c>
      <c r="T21">
        <v>0</v>
      </c>
      <c r="U21" s="11">
        <v>2</v>
      </c>
      <c r="V21">
        <v>0</v>
      </c>
      <c r="W21">
        <v>0</v>
      </c>
      <c r="X21" s="11">
        <f t="shared" si="3"/>
        <v>2</v>
      </c>
      <c r="Y21">
        <f t="shared" si="3"/>
        <v>0</v>
      </c>
      <c r="Z21">
        <f t="shared" si="3"/>
        <v>0</v>
      </c>
      <c r="AA21" s="11"/>
    </row>
    <row r="22" spans="1:28" x14ac:dyDescent="0.3">
      <c r="A22" s="7">
        <v>45527</v>
      </c>
      <c r="B22">
        <v>1</v>
      </c>
      <c r="C22" t="s">
        <v>236</v>
      </c>
      <c r="D22" t="s">
        <v>26</v>
      </c>
      <c r="E22">
        <v>3</v>
      </c>
      <c r="F22">
        <v>1</v>
      </c>
      <c r="G22">
        <v>1</v>
      </c>
      <c r="H22" t="s">
        <v>35</v>
      </c>
      <c r="I22">
        <v>2</v>
      </c>
      <c r="J22" s="10">
        <v>0.20833333333333334</v>
      </c>
      <c r="K22" s="10">
        <v>0.44861111111111113</v>
      </c>
      <c r="L22" s="10">
        <f t="shared" si="2"/>
        <v>0.24027777777777778</v>
      </c>
      <c r="M22" s="12">
        <f t="shared" si="0"/>
        <v>5.7666666666666666</v>
      </c>
      <c r="N22" s="12">
        <f>Table35[[#This Row],[Trip Hours]]*Table35[[#This Row],['#Angler]]</f>
        <v>11.533333333333333</v>
      </c>
      <c r="O22" t="s">
        <v>25</v>
      </c>
      <c r="P22" t="s">
        <v>248</v>
      </c>
      <c r="Q22" t="s">
        <v>247</v>
      </c>
      <c r="R22" s="11">
        <v>0</v>
      </c>
      <c r="S22">
        <v>0</v>
      </c>
      <c r="T22">
        <v>0</v>
      </c>
      <c r="U22" s="11">
        <v>0</v>
      </c>
      <c r="V22">
        <v>0</v>
      </c>
      <c r="W22">
        <v>0</v>
      </c>
      <c r="X22" s="11">
        <f t="shared" si="3"/>
        <v>0</v>
      </c>
      <c r="Y22">
        <f t="shared" si="3"/>
        <v>0</v>
      </c>
      <c r="Z22">
        <f t="shared" si="3"/>
        <v>0</v>
      </c>
      <c r="AA22" s="11"/>
    </row>
    <row r="23" spans="1:28" x14ac:dyDescent="0.3">
      <c r="A23" s="7">
        <v>45527</v>
      </c>
      <c r="B23">
        <v>1</v>
      </c>
      <c r="C23" t="s">
        <v>236</v>
      </c>
      <c r="D23" t="s">
        <v>26</v>
      </c>
      <c r="E23">
        <v>4</v>
      </c>
      <c r="F23">
        <v>1</v>
      </c>
      <c r="G23">
        <v>1</v>
      </c>
      <c r="H23" t="s">
        <v>35</v>
      </c>
      <c r="I23">
        <v>1</v>
      </c>
      <c r="J23" s="10">
        <v>0.27083333333333331</v>
      </c>
      <c r="K23" s="10">
        <v>0.45694444444444443</v>
      </c>
      <c r="L23" s="10">
        <f t="shared" si="2"/>
        <v>0.18611111111111112</v>
      </c>
      <c r="M23" s="12">
        <f t="shared" si="0"/>
        <v>4.4666666666666668</v>
      </c>
      <c r="N23" s="12">
        <f>Table35[[#This Row],[Trip Hours]]*Table35[[#This Row],['#Angler]]</f>
        <v>4.4666666666666668</v>
      </c>
      <c r="O23" t="s">
        <v>25</v>
      </c>
      <c r="P23" t="s">
        <v>248</v>
      </c>
      <c r="Q23" t="s">
        <v>247</v>
      </c>
      <c r="R23" s="11">
        <v>0</v>
      </c>
      <c r="S23">
        <v>4</v>
      </c>
      <c r="T23">
        <v>0</v>
      </c>
      <c r="U23" s="11">
        <v>1</v>
      </c>
      <c r="V23">
        <v>0</v>
      </c>
      <c r="W23">
        <v>0</v>
      </c>
      <c r="X23" s="11">
        <f t="shared" si="3"/>
        <v>1</v>
      </c>
      <c r="Y23">
        <f t="shared" si="3"/>
        <v>4</v>
      </c>
      <c r="Z23">
        <f t="shared" si="3"/>
        <v>0</v>
      </c>
      <c r="AA23" s="11"/>
      <c r="AB23" t="s">
        <v>249</v>
      </c>
    </row>
    <row r="24" spans="1:28" x14ac:dyDescent="0.3">
      <c r="A24" s="7">
        <v>45528</v>
      </c>
      <c r="B24">
        <v>1</v>
      </c>
      <c r="C24" t="s">
        <v>250</v>
      </c>
      <c r="D24" t="s">
        <v>42</v>
      </c>
      <c r="E24">
        <v>1</v>
      </c>
      <c r="F24">
        <v>2</v>
      </c>
      <c r="G24">
        <v>5</v>
      </c>
      <c r="H24" t="s">
        <v>27</v>
      </c>
      <c r="I24">
        <v>1</v>
      </c>
      <c r="J24" s="10">
        <v>0.66319444444444442</v>
      </c>
      <c r="K24" s="10">
        <v>0.68402777777777779</v>
      </c>
      <c r="L24" s="10">
        <f t="shared" si="2"/>
        <v>2.083333333333337E-2</v>
      </c>
      <c r="M24" s="12">
        <f t="shared" si="0"/>
        <v>0.50000000000000089</v>
      </c>
      <c r="N24" s="12">
        <f>Table35[[#This Row],[Trip Hours]]*Table35[[#This Row],['#Angler]]</f>
        <v>0.50000000000000089</v>
      </c>
      <c r="O24" t="s">
        <v>28</v>
      </c>
      <c r="P24" t="s">
        <v>251</v>
      </c>
      <c r="Q24" t="s">
        <v>238</v>
      </c>
      <c r="R24" s="11">
        <v>0</v>
      </c>
      <c r="S24">
        <v>0</v>
      </c>
      <c r="T24">
        <v>0</v>
      </c>
      <c r="U24" s="11">
        <v>0</v>
      </c>
      <c r="V24">
        <v>0</v>
      </c>
      <c r="W24">
        <v>0</v>
      </c>
      <c r="X24" s="11">
        <f t="shared" si="3"/>
        <v>0</v>
      </c>
      <c r="Y24">
        <f t="shared" si="3"/>
        <v>0</v>
      </c>
      <c r="Z24">
        <f t="shared" si="3"/>
        <v>0</v>
      </c>
      <c r="AA24" s="11"/>
    </row>
    <row r="25" spans="1:28" x14ac:dyDescent="0.3">
      <c r="A25" s="7">
        <v>45528</v>
      </c>
      <c r="B25">
        <v>1</v>
      </c>
      <c r="C25" t="s">
        <v>250</v>
      </c>
      <c r="D25" t="s">
        <v>42</v>
      </c>
      <c r="E25">
        <v>2</v>
      </c>
      <c r="F25">
        <v>2</v>
      </c>
      <c r="G25">
        <v>4</v>
      </c>
      <c r="H25" t="s">
        <v>27</v>
      </c>
      <c r="I25">
        <v>2</v>
      </c>
      <c r="J25" s="10">
        <v>0.625</v>
      </c>
      <c r="K25" s="10">
        <v>0.6958333333333333</v>
      </c>
      <c r="L25" s="10">
        <f t="shared" si="2"/>
        <v>7.0833333333333304E-2</v>
      </c>
      <c r="M25" s="12">
        <f t="shared" si="0"/>
        <v>1.6999999999999993</v>
      </c>
      <c r="N25" s="12">
        <f>Table35[[#This Row],[Trip Hours]]*Table35[[#This Row],['#Angler]]</f>
        <v>3.3999999999999986</v>
      </c>
      <c r="O25" t="s">
        <v>25</v>
      </c>
      <c r="P25" t="s">
        <v>252</v>
      </c>
      <c r="Q25" t="s">
        <v>241</v>
      </c>
      <c r="R25" s="11">
        <v>1</v>
      </c>
      <c r="S25">
        <v>0</v>
      </c>
      <c r="T25">
        <v>0</v>
      </c>
      <c r="U25" s="11">
        <v>0</v>
      </c>
      <c r="V25">
        <v>0</v>
      </c>
      <c r="W25">
        <v>0</v>
      </c>
      <c r="X25" s="11">
        <f t="shared" si="3"/>
        <v>1</v>
      </c>
      <c r="Y25">
        <f t="shared" si="3"/>
        <v>0</v>
      </c>
      <c r="Z25">
        <f t="shared" si="3"/>
        <v>0</v>
      </c>
      <c r="AA25" s="11"/>
      <c r="AB25" t="s">
        <v>175</v>
      </c>
    </row>
    <row r="26" spans="1:28" x14ac:dyDescent="0.3">
      <c r="A26" s="7">
        <v>45528</v>
      </c>
      <c r="B26">
        <v>1</v>
      </c>
      <c r="C26" t="s">
        <v>250</v>
      </c>
      <c r="D26" t="s">
        <v>42</v>
      </c>
      <c r="E26">
        <v>3</v>
      </c>
      <c r="F26">
        <v>2</v>
      </c>
      <c r="G26">
        <v>4</v>
      </c>
      <c r="H26" t="s">
        <v>27</v>
      </c>
      <c r="I26">
        <v>1</v>
      </c>
      <c r="J26" s="10">
        <v>0.5</v>
      </c>
      <c r="K26" s="10">
        <v>0.72986111111111107</v>
      </c>
      <c r="L26" s="10">
        <f t="shared" si="2"/>
        <v>0.22986111111111107</v>
      </c>
      <c r="M26" s="12">
        <f t="shared" si="0"/>
        <v>5.5166666666666657</v>
      </c>
      <c r="N26" s="12">
        <f>Table35[[#This Row],[Trip Hours]]*Table35[[#This Row],['#Angler]]</f>
        <v>5.5166666666666657</v>
      </c>
      <c r="O26" t="s">
        <v>28</v>
      </c>
      <c r="P26" t="s">
        <v>56</v>
      </c>
      <c r="Q26" t="s">
        <v>241</v>
      </c>
      <c r="R26" s="11">
        <v>0</v>
      </c>
      <c r="S26">
        <v>0</v>
      </c>
      <c r="T26">
        <v>0</v>
      </c>
      <c r="U26" s="11">
        <v>0</v>
      </c>
      <c r="V26">
        <v>0</v>
      </c>
      <c r="W26">
        <v>0</v>
      </c>
      <c r="X26" s="11">
        <f t="shared" si="3"/>
        <v>0</v>
      </c>
      <c r="Y26">
        <f t="shared" si="3"/>
        <v>0</v>
      </c>
      <c r="Z26">
        <f t="shared" si="3"/>
        <v>0</v>
      </c>
      <c r="AA26" s="11"/>
    </row>
    <row r="27" spans="1:28" x14ac:dyDescent="0.3">
      <c r="A27" s="7">
        <v>45528</v>
      </c>
      <c r="B27">
        <v>1</v>
      </c>
      <c r="C27" t="s">
        <v>250</v>
      </c>
      <c r="D27" t="s">
        <v>42</v>
      </c>
      <c r="E27">
        <v>4</v>
      </c>
      <c r="F27">
        <v>2</v>
      </c>
      <c r="G27">
        <v>4</v>
      </c>
      <c r="H27" t="s">
        <v>27</v>
      </c>
      <c r="I27">
        <v>1</v>
      </c>
      <c r="J27" s="10">
        <v>0.61111111111111105</v>
      </c>
      <c r="K27" s="10">
        <v>0.72916666666666663</v>
      </c>
      <c r="L27" s="10">
        <f t="shared" si="2"/>
        <v>0.11805555555555558</v>
      </c>
      <c r="M27" s="12">
        <f t="shared" si="0"/>
        <v>2.8333333333333339</v>
      </c>
      <c r="N27" s="12">
        <f>Table35[[#This Row],[Trip Hours]]*Table35[[#This Row],['#Angler]]</f>
        <v>2.8333333333333339</v>
      </c>
      <c r="O27" t="s">
        <v>28</v>
      </c>
      <c r="P27" t="s">
        <v>56</v>
      </c>
      <c r="Q27" t="s">
        <v>241</v>
      </c>
      <c r="R27" s="11">
        <v>0</v>
      </c>
      <c r="S27">
        <v>0</v>
      </c>
      <c r="T27">
        <v>0</v>
      </c>
      <c r="U27" s="11">
        <v>0</v>
      </c>
      <c r="V27">
        <v>0</v>
      </c>
      <c r="W27">
        <v>0</v>
      </c>
      <c r="X27" s="11">
        <f t="shared" si="3"/>
        <v>0</v>
      </c>
      <c r="Y27">
        <f t="shared" si="3"/>
        <v>0</v>
      </c>
      <c r="Z27">
        <f t="shared" si="3"/>
        <v>0</v>
      </c>
      <c r="AA27" s="11"/>
    </row>
    <row r="28" spans="1:28" x14ac:dyDescent="0.3">
      <c r="A28" s="7">
        <v>45528</v>
      </c>
      <c r="B28">
        <v>1</v>
      </c>
      <c r="C28" t="s">
        <v>250</v>
      </c>
      <c r="D28" t="s">
        <v>42</v>
      </c>
      <c r="E28">
        <v>5</v>
      </c>
      <c r="F28">
        <v>2</v>
      </c>
      <c r="G28">
        <v>2</v>
      </c>
      <c r="H28" t="s">
        <v>27</v>
      </c>
      <c r="I28">
        <v>2</v>
      </c>
      <c r="J28" s="10">
        <v>0.70833333333333337</v>
      </c>
      <c r="K28" s="10">
        <v>0.75</v>
      </c>
      <c r="L28" s="10">
        <f t="shared" si="2"/>
        <v>4.166666666666663E-2</v>
      </c>
      <c r="M28" s="12">
        <f t="shared" si="0"/>
        <v>0.99999999999999911</v>
      </c>
      <c r="N28" s="12">
        <f>Table35[[#This Row],[Trip Hours]]*Table35[[#This Row],['#Angler]]</f>
        <v>1.9999999999999982</v>
      </c>
      <c r="O28" t="s">
        <v>25</v>
      </c>
      <c r="P28" t="s">
        <v>56</v>
      </c>
      <c r="Q28" t="s">
        <v>241</v>
      </c>
      <c r="R28" s="11">
        <v>0</v>
      </c>
      <c r="S28">
        <v>0</v>
      </c>
      <c r="T28">
        <v>0</v>
      </c>
      <c r="U28" s="11">
        <v>0</v>
      </c>
      <c r="V28">
        <v>0</v>
      </c>
      <c r="W28">
        <v>0</v>
      </c>
      <c r="X28" s="11">
        <f t="shared" si="3"/>
        <v>0</v>
      </c>
      <c r="Y28">
        <f t="shared" si="3"/>
        <v>0</v>
      </c>
      <c r="Z28">
        <f t="shared" si="3"/>
        <v>0</v>
      </c>
      <c r="AA28" s="11"/>
    </row>
    <row r="29" spans="1:28" x14ac:dyDescent="0.3">
      <c r="A29" s="7">
        <v>45528</v>
      </c>
      <c r="B29">
        <v>1</v>
      </c>
      <c r="C29" t="s">
        <v>250</v>
      </c>
      <c r="D29" t="s">
        <v>42</v>
      </c>
      <c r="E29">
        <v>6</v>
      </c>
      <c r="F29">
        <v>2</v>
      </c>
      <c r="G29">
        <v>2</v>
      </c>
      <c r="H29" t="s">
        <v>27</v>
      </c>
      <c r="I29">
        <v>1</v>
      </c>
      <c r="J29" s="10">
        <v>0.75347222222222221</v>
      </c>
      <c r="K29" s="10">
        <v>0.75694444444444453</v>
      </c>
      <c r="L29" s="10">
        <f t="shared" si="2"/>
        <v>3.4722222222223209E-3</v>
      </c>
      <c r="M29" s="12">
        <f t="shared" si="0"/>
        <v>8.3333333333335702E-2</v>
      </c>
      <c r="N29" s="12">
        <f>Table35[[#This Row],[Trip Hours]]*Table35[[#This Row],['#Angler]]</f>
        <v>8.3333333333335702E-2</v>
      </c>
      <c r="O29" t="s">
        <v>28</v>
      </c>
      <c r="P29" t="s">
        <v>29</v>
      </c>
      <c r="Q29" t="s">
        <v>241</v>
      </c>
      <c r="R29" s="11">
        <v>0</v>
      </c>
      <c r="S29">
        <v>0</v>
      </c>
      <c r="T29">
        <v>0</v>
      </c>
      <c r="U29" s="11">
        <v>0</v>
      </c>
      <c r="V29">
        <v>0</v>
      </c>
      <c r="W29">
        <v>0</v>
      </c>
      <c r="X29" s="11">
        <f t="shared" si="3"/>
        <v>0</v>
      </c>
      <c r="Y29">
        <f t="shared" si="3"/>
        <v>0</v>
      </c>
      <c r="Z29">
        <f t="shared" si="3"/>
        <v>0</v>
      </c>
      <c r="AA29" s="11"/>
    </row>
    <row r="30" spans="1:28" x14ac:dyDescent="0.3">
      <c r="A30" s="7">
        <v>45528</v>
      </c>
      <c r="B30">
        <v>1</v>
      </c>
      <c r="C30" t="s">
        <v>250</v>
      </c>
      <c r="D30" t="s">
        <v>42</v>
      </c>
      <c r="E30">
        <v>7</v>
      </c>
      <c r="F30">
        <v>2</v>
      </c>
      <c r="G30">
        <v>2</v>
      </c>
      <c r="H30" t="s">
        <v>27</v>
      </c>
      <c r="I30">
        <v>3</v>
      </c>
      <c r="J30" s="10">
        <v>0.75</v>
      </c>
      <c r="K30" s="10">
        <v>0.75694444444444453</v>
      </c>
      <c r="L30" s="10">
        <f t="shared" si="2"/>
        <v>6.9444444444445308E-3</v>
      </c>
      <c r="M30" s="12">
        <f t="shared" si="0"/>
        <v>0.16666666666666874</v>
      </c>
      <c r="N30" s="12">
        <f>Table35[[#This Row],[Trip Hours]]*Table35[[#This Row],['#Angler]]</f>
        <v>0.50000000000000622</v>
      </c>
      <c r="O30" t="s">
        <v>28</v>
      </c>
      <c r="P30" t="s">
        <v>252</v>
      </c>
      <c r="Q30" t="s">
        <v>241</v>
      </c>
      <c r="R30" s="11">
        <v>0</v>
      </c>
      <c r="S30">
        <v>0</v>
      </c>
      <c r="T30">
        <v>0</v>
      </c>
      <c r="U30" s="11">
        <v>0</v>
      </c>
      <c r="V30">
        <v>0</v>
      </c>
      <c r="W30">
        <v>0</v>
      </c>
      <c r="X30" s="11">
        <f t="shared" si="3"/>
        <v>0</v>
      </c>
      <c r="Y30">
        <f t="shared" si="3"/>
        <v>0</v>
      </c>
      <c r="Z30">
        <f t="shared" si="3"/>
        <v>0</v>
      </c>
      <c r="AA30" s="11"/>
    </row>
    <row r="31" spans="1:28" x14ac:dyDescent="0.3">
      <c r="A31" s="7">
        <v>45528</v>
      </c>
      <c r="B31">
        <v>1</v>
      </c>
      <c r="C31" t="s">
        <v>250</v>
      </c>
      <c r="D31" t="s">
        <v>42</v>
      </c>
      <c r="E31">
        <v>8</v>
      </c>
      <c r="F31">
        <v>2</v>
      </c>
      <c r="G31">
        <v>2</v>
      </c>
      <c r="H31" t="s">
        <v>27</v>
      </c>
      <c r="I31">
        <v>2</v>
      </c>
      <c r="J31" s="10">
        <v>0.70833333333333337</v>
      </c>
      <c r="K31" s="10">
        <v>0.76041666666666663</v>
      </c>
      <c r="L31" s="10">
        <f t="shared" si="2"/>
        <v>5.2083333333333259E-2</v>
      </c>
      <c r="M31" s="12">
        <f t="shared" si="0"/>
        <v>1.2499999999999982</v>
      </c>
      <c r="N31" s="12">
        <f>Table35[[#This Row],[Trip Hours]]*Table35[[#This Row],['#Angler]]</f>
        <v>2.4999999999999964</v>
      </c>
      <c r="O31" t="s">
        <v>28</v>
      </c>
      <c r="P31" t="s">
        <v>56</v>
      </c>
      <c r="Q31" t="s">
        <v>244</v>
      </c>
      <c r="R31" s="11">
        <v>0</v>
      </c>
      <c r="S31">
        <v>0</v>
      </c>
      <c r="T31">
        <v>0</v>
      </c>
      <c r="U31" s="11">
        <v>0</v>
      </c>
      <c r="V31">
        <v>0</v>
      </c>
      <c r="W31">
        <v>0</v>
      </c>
      <c r="X31" s="11">
        <f t="shared" si="3"/>
        <v>0</v>
      </c>
      <c r="Y31">
        <f t="shared" si="3"/>
        <v>0</v>
      </c>
      <c r="Z31">
        <f t="shared" si="3"/>
        <v>0</v>
      </c>
      <c r="AA31" s="11"/>
    </row>
    <row r="32" spans="1:28" x14ac:dyDescent="0.3">
      <c r="A32" s="7">
        <v>45528</v>
      </c>
      <c r="B32">
        <v>1</v>
      </c>
      <c r="C32" t="s">
        <v>250</v>
      </c>
      <c r="D32" t="s">
        <v>42</v>
      </c>
      <c r="E32">
        <v>9</v>
      </c>
      <c r="F32">
        <v>2</v>
      </c>
      <c r="G32">
        <v>2</v>
      </c>
      <c r="H32" t="s">
        <v>27</v>
      </c>
      <c r="I32">
        <v>1</v>
      </c>
      <c r="J32" s="10">
        <v>0.75</v>
      </c>
      <c r="K32" s="10">
        <v>0.79513888888888884</v>
      </c>
      <c r="L32" s="10">
        <f t="shared" si="2"/>
        <v>4.513888888888884E-2</v>
      </c>
      <c r="M32" s="12">
        <f t="shared" si="0"/>
        <v>1.0833333333333321</v>
      </c>
      <c r="N32" s="12">
        <f>Table35[[#This Row],[Trip Hours]]*Table35[[#This Row],['#Angler]]</f>
        <v>1.0833333333333321</v>
      </c>
      <c r="O32" t="s">
        <v>28</v>
      </c>
      <c r="P32" t="s">
        <v>49</v>
      </c>
      <c r="Q32" t="s">
        <v>238</v>
      </c>
      <c r="R32" s="11">
        <v>0</v>
      </c>
      <c r="S32">
        <v>0</v>
      </c>
      <c r="T32">
        <v>0</v>
      </c>
      <c r="U32" s="11">
        <v>0</v>
      </c>
      <c r="V32">
        <v>0</v>
      </c>
      <c r="W32">
        <v>0</v>
      </c>
      <c r="X32" s="11">
        <f t="shared" si="3"/>
        <v>0</v>
      </c>
      <c r="Y32">
        <f t="shared" si="3"/>
        <v>0</v>
      </c>
      <c r="Z32">
        <f t="shared" si="3"/>
        <v>0</v>
      </c>
      <c r="AA32" s="11"/>
    </row>
    <row r="33" spans="1:28" x14ac:dyDescent="0.3">
      <c r="A33" s="7">
        <v>45528</v>
      </c>
      <c r="B33">
        <v>1</v>
      </c>
      <c r="C33" t="s">
        <v>250</v>
      </c>
      <c r="D33" t="s">
        <v>42</v>
      </c>
      <c r="E33">
        <v>10</v>
      </c>
      <c r="F33">
        <v>2</v>
      </c>
      <c r="G33">
        <v>2</v>
      </c>
      <c r="H33" t="s">
        <v>27</v>
      </c>
      <c r="I33">
        <v>2</v>
      </c>
      <c r="J33" s="10">
        <v>0.33333333333333331</v>
      </c>
      <c r="K33" s="10">
        <v>0.80486111111111114</v>
      </c>
      <c r="L33" s="10">
        <f t="shared" si="2"/>
        <v>0.47152777777777782</v>
      </c>
      <c r="M33" s="12">
        <f t="shared" si="0"/>
        <v>11.316666666666668</v>
      </c>
      <c r="N33" s="12">
        <f>Table35[[#This Row],[Trip Hours]]*Table35[[#This Row],['#Angler]]</f>
        <v>22.633333333333336</v>
      </c>
      <c r="O33" t="s">
        <v>28</v>
      </c>
      <c r="P33" t="s">
        <v>58</v>
      </c>
      <c r="Q33" t="s">
        <v>241</v>
      </c>
      <c r="R33" s="11">
        <v>0</v>
      </c>
      <c r="S33">
        <v>0</v>
      </c>
      <c r="T33">
        <v>0</v>
      </c>
      <c r="U33" s="11">
        <v>0</v>
      </c>
      <c r="V33">
        <v>0</v>
      </c>
      <c r="W33">
        <v>0</v>
      </c>
      <c r="X33" s="11">
        <f t="shared" si="3"/>
        <v>0</v>
      </c>
      <c r="Y33">
        <f t="shared" si="3"/>
        <v>0</v>
      </c>
      <c r="Z33">
        <f t="shared" si="3"/>
        <v>0</v>
      </c>
      <c r="AA33" s="11"/>
      <c r="AB33" t="s">
        <v>253</v>
      </c>
    </row>
    <row r="34" spans="1:28" x14ac:dyDescent="0.3">
      <c r="A34" s="7">
        <v>45528</v>
      </c>
      <c r="B34">
        <v>1</v>
      </c>
      <c r="C34" t="s">
        <v>250</v>
      </c>
      <c r="D34" t="s">
        <v>42</v>
      </c>
      <c r="E34">
        <v>11</v>
      </c>
      <c r="F34">
        <v>2</v>
      </c>
      <c r="G34">
        <v>2</v>
      </c>
      <c r="H34" t="s">
        <v>27</v>
      </c>
      <c r="I34">
        <v>2</v>
      </c>
      <c r="J34" s="10">
        <v>0.3125</v>
      </c>
      <c r="K34" s="10">
        <v>0.80694444444444446</v>
      </c>
      <c r="L34" s="10">
        <f t="shared" si="2"/>
        <v>0.49444444444444446</v>
      </c>
      <c r="M34" s="12">
        <f t="shared" si="0"/>
        <v>11.866666666666667</v>
      </c>
      <c r="N34" s="12">
        <f>Table35[[#This Row],[Trip Hours]]*Table35[[#This Row],['#Angler]]</f>
        <v>23.733333333333334</v>
      </c>
      <c r="O34" t="s">
        <v>28</v>
      </c>
      <c r="P34" t="s">
        <v>73</v>
      </c>
      <c r="Q34" t="s">
        <v>247</v>
      </c>
      <c r="R34" s="11">
        <v>0</v>
      </c>
      <c r="S34">
        <v>0</v>
      </c>
      <c r="T34">
        <v>0</v>
      </c>
      <c r="U34" s="11">
        <v>0</v>
      </c>
      <c r="V34">
        <v>0</v>
      </c>
      <c r="W34">
        <v>0</v>
      </c>
      <c r="X34" s="11">
        <f t="shared" si="3"/>
        <v>0</v>
      </c>
      <c r="Y34">
        <f t="shared" si="3"/>
        <v>0</v>
      </c>
      <c r="Z34">
        <f t="shared" si="3"/>
        <v>0</v>
      </c>
      <c r="AA34" s="11"/>
    </row>
    <row r="35" spans="1:28" x14ac:dyDescent="0.3">
      <c r="A35" s="7">
        <v>45532</v>
      </c>
      <c r="B35">
        <v>2</v>
      </c>
      <c r="C35" t="s">
        <v>236</v>
      </c>
      <c r="D35" t="s">
        <v>26</v>
      </c>
      <c r="E35">
        <v>1</v>
      </c>
      <c r="F35">
        <v>2</v>
      </c>
      <c r="G35">
        <v>2</v>
      </c>
      <c r="H35" t="s">
        <v>27</v>
      </c>
      <c r="I35">
        <v>1</v>
      </c>
      <c r="J35" s="10">
        <v>0.23958333333333334</v>
      </c>
      <c r="K35" s="10">
        <v>0.35416666666666669</v>
      </c>
      <c r="L35" s="10">
        <f t="shared" si="2"/>
        <v>0.11458333333333334</v>
      </c>
      <c r="M35" s="12">
        <f t="shared" si="0"/>
        <v>2.75</v>
      </c>
      <c r="N35" s="12">
        <f>Table35[[#This Row],[Trip Hours]]*Table35[[#This Row],['#Angler]]</f>
        <v>2.75</v>
      </c>
      <c r="O35" t="s">
        <v>25</v>
      </c>
      <c r="P35" t="s">
        <v>56</v>
      </c>
      <c r="Q35" t="s">
        <v>237</v>
      </c>
      <c r="R35" s="11">
        <v>0</v>
      </c>
      <c r="S35">
        <v>0</v>
      </c>
      <c r="T35">
        <v>0</v>
      </c>
      <c r="U35" s="11">
        <v>0</v>
      </c>
      <c r="V35">
        <v>0</v>
      </c>
      <c r="W35">
        <v>0</v>
      </c>
      <c r="X35" s="11">
        <f t="shared" si="3"/>
        <v>0</v>
      </c>
      <c r="Y35">
        <f t="shared" si="3"/>
        <v>0</v>
      </c>
      <c r="Z35">
        <f t="shared" si="3"/>
        <v>0</v>
      </c>
      <c r="AA35" s="11"/>
    </row>
    <row r="36" spans="1:28" x14ac:dyDescent="0.3">
      <c r="A36" s="7">
        <v>45532</v>
      </c>
      <c r="B36">
        <v>2</v>
      </c>
      <c r="C36" t="s">
        <v>236</v>
      </c>
      <c r="D36" t="s">
        <v>26</v>
      </c>
      <c r="E36">
        <v>2</v>
      </c>
      <c r="F36">
        <v>2</v>
      </c>
      <c r="G36">
        <v>2</v>
      </c>
      <c r="H36" t="s">
        <v>27</v>
      </c>
      <c r="I36">
        <v>3</v>
      </c>
      <c r="J36" s="10">
        <v>0.25</v>
      </c>
      <c r="K36" s="10">
        <v>0.36805555555555558</v>
      </c>
      <c r="L36" s="10">
        <f t="shared" si="2"/>
        <v>0.11805555555555558</v>
      </c>
      <c r="M36" s="12">
        <f t="shared" si="0"/>
        <v>2.8333333333333339</v>
      </c>
      <c r="N36" s="12">
        <f>Table35[[#This Row],[Trip Hours]]*Table35[[#This Row],['#Angler]]</f>
        <v>8.5000000000000018</v>
      </c>
      <c r="O36" t="s">
        <v>25</v>
      </c>
      <c r="P36" t="s">
        <v>254</v>
      </c>
      <c r="Q36" t="s">
        <v>238</v>
      </c>
      <c r="R36" s="11">
        <v>2</v>
      </c>
      <c r="S36">
        <v>0</v>
      </c>
      <c r="T36">
        <v>0</v>
      </c>
      <c r="U36" s="11">
        <v>0</v>
      </c>
      <c r="V36">
        <v>0</v>
      </c>
      <c r="W36">
        <v>0</v>
      </c>
      <c r="X36" s="11">
        <f t="shared" si="3"/>
        <v>2</v>
      </c>
      <c r="Y36">
        <f t="shared" si="3"/>
        <v>0</v>
      </c>
      <c r="Z36">
        <f t="shared" si="3"/>
        <v>0</v>
      </c>
      <c r="AA36" s="11"/>
    </row>
    <row r="37" spans="1:28" x14ac:dyDescent="0.3">
      <c r="A37" s="7">
        <v>45532</v>
      </c>
      <c r="B37">
        <v>2</v>
      </c>
      <c r="C37" t="s">
        <v>236</v>
      </c>
      <c r="D37" t="s">
        <v>26</v>
      </c>
      <c r="E37">
        <v>3</v>
      </c>
      <c r="F37">
        <v>2</v>
      </c>
      <c r="G37">
        <v>3</v>
      </c>
      <c r="H37" t="s">
        <v>27</v>
      </c>
      <c r="I37">
        <v>1</v>
      </c>
      <c r="J37" s="10">
        <v>0.25</v>
      </c>
      <c r="K37" s="10">
        <v>0.3888888888888889</v>
      </c>
      <c r="L37" s="10">
        <f t="shared" si="2"/>
        <v>0.1388888888888889</v>
      </c>
      <c r="M37" s="12">
        <f t="shared" si="0"/>
        <v>3.3333333333333335</v>
      </c>
      <c r="N37" s="12">
        <f>Table35[[#This Row],[Trip Hours]]*Table35[[#This Row],['#Angler]]</f>
        <v>3.3333333333333335</v>
      </c>
      <c r="O37" t="s">
        <v>25</v>
      </c>
      <c r="P37" t="s">
        <v>56</v>
      </c>
      <c r="Q37" t="s">
        <v>241</v>
      </c>
      <c r="R37" s="11">
        <v>1</v>
      </c>
      <c r="S37">
        <v>0</v>
      </c>
      <c r="T37">
        <v>0</v>
      </c>
      <c r="U37" s="11">
        <v>0</v>
      </c>
      <c r="V37">
        <v>0</v>
      </c>
      <c r="W37">
        <v>0</v>
      </c>
      <c r="X37" s="11">
        <f t="shared" si="3"/>
        <v>1</v>
      </c>
      <c r="Y37">
        <f t="shared" si="3"/>
        <v>0</v>
      </c>
      <c r="Z37">
        <f t="shared" si="3"/>
        <v>0</v>
      </c>
      <c r="AA37" s="11"/>
      <c r="AB37" t="s">
        <v>210</v>
      </c>
    </row>
    <row r="38" spans="1:28" x14ac:dyDescent="0.3">
      <c r="A38" s="7">
        <v>45532</v>
      </c>
      <c r="B38">
        <v>2</v>
      </c>
      <c r="C38" t="s">
        <v>236</v>
      </c>
      <c r="D38" t="s">
        <v>26</v>
      </c>
      <c r="E38">
        <v>4</v>
      </c>
      <c r="F38">
        <v>2</v>
      </c>
      <c r="G38">
        <v>5</v>
      </c>
      <c r="H38" t="s">
        <v>27</v>
      </c>
      <c r="I38">
        <v>1</v>
      </c>
      <c r="J38" s="10">
        <v>0.25</v>
      </c>
      <c r="K38" s="10">
        <v>0.45624999999999999</v>
      </c>
      <c r="L38" s="10">
        <f t="shared" si="2"/>
        <v>0.20624999999999999</v>
      </c>
      <c r="M38" s="12">
        <f t="shared" si="0"/>
        <v>4.9499999999999993</v>
      </c>
      <c r="N38" s="12">
        <f>Table35[[#This Row],[Trip Hours]]*Table35[[#This Row],['#Angler]]</f>
        <v>4.9499999999999993</v>
      </c>
      <c r="O38" t="s">
        <v>25</v>
      </c>
      <c r="P38" t="s">
        <v>56</v>
      </c>
      <c r="Q38" t="s">
        <v>244</v>
      </c>
      <c r="R38" s="11">
        <v>0</v>
      </c>
      <c r="S38">
        <v>0</v>
      </c>
      <c r="T38">
        <v>0</v>
      </c>
      <c r="U38" s="11">
        <v>4</v>
      </c>
      <c r="V38">
        <v>0</v>
      </c>
      <c r="W38">
        <v>0</v>
      </c>
      <c r="X38" s="11">
        <f t="shared" si="3"/>
        <v>4</v>
      </c>
      <c r="Y38">
        <f t="shared" si="3"/>
        <v>0</v>
      </c>
      <c r="Z38">
        <f t="shared" si="3"/>
        <v>0</v>
      </c>
      <c r="AA38" s="11"/>
    </row>
    <row r="39" spans="1:28" x14ac:dyDescent="0.3">
      <c r="A39" s="7">
        <v>45532</v>
      </c>
      <c r="B39">
        <v>2</v>
      </c>
      <c r="C39" t="s">
        <v>236</v>
      </c>
      <c r="D39" t="s">
        <v>42</v>
      </c>
      <c r="E39">
        <v>5</v>
      </c>
      <c r="F39">
        <v>1</v>
      </c>
      <c r="G39">
        <v>1</v>
      </c>
      <c r="H39" t="s">
        <v>35</v>
      </c>
      <c r="I39">
        <v>3</v>
      </c>
      <c r="J39" s="10">
        <v>0.5</v>
      </c>
      <c r="K39" s="10">
        <v>0.76388888888888884</v>
      </c>
      <c r="L39" s="10">
        <f t="shared" si="2"/>
        <v>0.26388888888888884</v>
      </c>
      <c r="M39" s="12">
        <f t="shared" si="0"/>
        <v>6.3333333333333321</v>
      </c>
      <c r="N39" s="12">
        <f>Table35[[#This Row],[Trip Hours]]*Table35[[#This Row],['#Angler]]</f>
        <v>18.999999999999996</v>
      </c>
      <c r="O39" t="s">
        <v>25</v>
      </c>
      <c r="P39" t="s">
        <v>255</v>
      </c>
      <c r="Q39" t="s">
        <v>247</v>
      </c>
      <c r="R39" s="11">
        <v>0</v>
      </c>
      <c r="S39">
        <v>1</v>
      </c>
      <c r="T39">
        <v>0</v>
      </c>
      <c r="U39" s="11">
        <v>0</v>
      </c>
      <c r="V39">
        <v>0</v>
      </c>
      <c r="W39">
        <v>0</v>
      </c>
      <c r="X39" s="11">
        <f t="shared" si="3"/>
        <v>0</v>
      </c>
      <c r="Y39">
        <f t="shared" si="3"/>
        <v>1</v>
      </c>
      <c r="Z39">
        <f t="shared" si="3"/>
        <v>0</v>
      </c>
      <c r="AA39" s="11"/>
    </row>
    <row r="40" spans="1:28" x14ac:dyDescent="0.3">
      <c r="A40" s="7">
        <v>45532</v>
      </c>
      <c r="B40">
        <v>2</v>
      </c>
      <c r="C40" t="s">
        <v>236</v>
      </c>
      <c r="D40" t="s">
        <v>42</v>
      </c>
      <c r="E40">
        <v>6</v>
      </c>
      <c r="F40">
        <v>1</v>
      </c>
      <c r="G40">
        <v>1</v>
      </c>
      <c r="H40" t="s">
        <v>35</v>
      </c>
      <c r="I40">
        <v>2</v>
      </c>
      <c r="J40" s="10">
        <v>0.375</v>
      </c>
      <c r="K40" s="10">
        <v>0.79027777777777775</v>
      </c>
      <c r="L40" s="10">
        <f t="shared" si="2"/>
        <v>0.41527777777777775</v>
      </c>
      <c r="M40" s="12">
        <f t="shared" si="0"/>
        <v>9.966666666666665</v>
      </c>
      <c r="N40" s="12">
        <f>Table35[[#This Row],[Trip Hours]]*Table35[[#This Row],['#Angler]]</f>
        <v>19.93333333333333</v>
      </c>
      <c r="O40" t="s">
        <v>25</v>
      </c>
      <c r="P40" t="s">
        <v>256</v>
      </c>
      <c r="Q40" t="s">
        <v>247</v>
      </c>
      <c r="R40" s="11">
        <v>0</v>
      </c>
      <c r="S40">
        <v>4</v>
      </c>
      <c r="T40">
        <v>0</v>
      </c>
      <c r="U40" s="11">
        <v>0</v>
      </c>
      <c r="V40">
        <v>0</v>
      </c>
      <c r="W40">
        <v>0</v>
      </c>
      <c r="X40" s="11">
        <f t="shared" si="3"/>
        <v>0</v>
      </c>
      <c r="Y40">
        <f t="shared" si="3"/>
        <v>4</v>
      </c>
      <c r="Z40">
        <f t="shared" si="3"/>
        <v>0</v>
      </c>
      <c r="AA40" s="11"/>
    </row>
    <row r="41" spans="1:28" x14ac:dyDescent="0.3">
      <c r="A41" s="7">
        <v>45532</v>
      </c>
      <c r="B41">
        <v>2</v>
      </c>
      <c r="C41" t="s">
        <v>236</v>
      </c>
      <c r="D41" t="s">
        <v>42</v>
      </c>
      <c r="E41">
        <v>7</v>
      </c>
      <c r="F41">
        <v>1</v>
      </c>
      <c r="G41">
        <v>1</v>
      </c>
      <c r="H41" t="s">
        <v>35</v>
      </c>
      <c r="I41">
        <v>3</v>
      </c>
      <c r="J41" s="10">
        <v>0.625</v>
      </c>
      <c r="K41" s="10">
        <v>0.79999999999999993</v>
      </c>
      <c r="L41" s="10">
        <f t="shared" si="2"/>
        <v>0.17499999999999993</v>
      </c>
      <c r="M41" s="12">
        <f t="shared" si="0"/>
        <v>4.1999999999999984</v>
      </c>
      <c r="N41" s="12">
        <f>Table35[[#This Row],[Trip Hours]]*Table35[[#This Row],['#Angler]]</f>
        <v>12.599999999999994</v>
      </c>
      <c r="O41" t="s">
        <v>25</v>
      </c>
      <c r="P41" t="s">
        <v>248</v>
      </c>
      <c r="Q41" t="s">
        <v>247</v>
      </c>
      <c r="R41" s="11">
        <v>0</v>
      </c>
      <c r="S41">
        <v>2</v>
      </c>
      <c r="T41">
        <v>0</v>
      </c>
      <c r="U41" s="11">
        <v>0</v>
      </c>
      <c r="V41">
        <v>0</v>
      </c>
      <c r="W41">
        <v>0</v>
      </c>
      <c r="X41" s="11">
        <f t="shared" si="3"/>
        <v>0</v>
      </c>
      <c r="Y41">
        <f t="shared" si="3"/>
        <v>2</v>
      </c>
      <c r="Z41">
        <f t="shared" si="3"/>
        <v>0</v>
      </c>
      <c r="AA41" s="11"/>
    </row>
    <row r="42" spans="1:28" x14ac:dyDescent="0.3">
      <c r="A42" s="7">
        <v>45532</v>
      </c>
      <c r="B42">
        <v>2</v>
      </c>
      <c r="C42" t="s">
        <v>236</v>
      </c>
      <c r="D42" t="s">
        <v>42</v>
      </c>
      <c r="E42">
        <v>8</v>
      </c>
      <c r="F42">
        <v>1</v>
      </c>
      <c r="G42">
        <v>1</v>
      </c>
      <c r="H42" t="s">
        <v>35</v>
      </c>
      <c r="I42">
        <v>2</v>
      </c>
      <c r="J42" s="10">
        <v>0.70833333333333337</v>
      </c>
      <c r="K42" s="10">
        <v>0.84930555555555554</v>
      </c>
      <c r="L42" s="10">
        <f t="shared" si="2"/>
        <v>0.14097222222222217</v>
      </c>
      <c r="M42" s="12">
        <f t="shared" si="0"/>
        <v>3.383333333333332</v>
      </c>
      <c r="N42" s="12">
        <f>Table35[[#This Row],[Trip Hours]]*Table35[[#This Row],['#Angler]]</f>
        <v>6.7666666666666639</v>
      </c>
      <c r="O42" t="s">
        <v>25</v>
      </c>
      <c r="P42" t="s">
        <v>56</v>
      </c>
      <c r="Q42" t="s">
        <v>244</v>
      </c>
      <c r="R42" s="11">
        <v>0</v>
      </c>
      <c r="S42">
        <v>0</v>
      </c>
      <c r="T42">
        <v>0</v>
      </c>
      <c r="U42" s="11">
        <v>0</v>
      </c>
      <c r="V42">
        <v>0</v>
      </c>
      <c r="W42">
        <v>0</v>
      </c>
      <c r="X42" s="11">
        <f t="shared" si="3"/>
        <v>0</v>
      </c>
      <c r="Y42">
        <f t="shared" si="3"/>
        <v>0</v>
      </c>
      <c r="Z42">
        <f t="shared" si="3"/>
        <v>0</v>
      </c>
      <c r="AA42" s="11"/>
    </row>
    <row r="43" spans="1:28" x14ac:dyDescent="0.3">
      <c r="A43" s="7">
        <v>45532</v>
      </c>
      <c r="B43">
        <v>2</v>
      </c>
      <c r="C43" t="s">
        <v>236</v>
      </c>
      <c r="D43" t="s">
        <v>42</v>
      </c>
      <c r="E43">
        <v>9</v>
      </c>
      <c r="F43">
        <v>1</v>
      </c>
      <c r="G43">
        <v>1</v>
      </c>
      <c r="H43" t="s">
        <v>35</v>
      </c>
      <c r="I43">
        <v>2</v>
      </c>
      <c r="J43" s="10">
        <v>0.625</v>
      </c>
      <c r="K43" s="10">
        <v>0.85069444444444453</v>
      </c>
      <c r="L43" s="10">
        <f t="shared" si="2"/>
        <v>0.22569444444444453</v>
      </c>
      <c r="M43" s="12">
        <f t="shared" si="0"/>
        <v>5.4166666666666687</v>
      </c>
      <c r="N43" s="12">
        <f>Table35[[#This Row],[Trip Hours]]*Table35[[#This Row],['#Angler]]</f>
        <v>10.833333333333337</v>
      </c>
      <c r="O43" t="s">
        <v>25</v>
      </c>
      <c r="P43" t="s">
        <v>248</v>
      </c>
      <c r="Q43" t="s">
        <v>247</v>
      </c>
      <c r="R43" s="11">
        <v>0</v>
      </c>
      <c r="S43">
        <v>0</v>
      </c>
      <c r="T43">
        <v>0</v>
      </c>
      <c r="U43" s="11">
        <v>0</v>
      </c>
      <c r="V43">
        <v>0</v>
      </c>
      <c r="W43">
        <v>0</v>
      </c>
      <c r="X43" s="11">
        <f t="shared" si="3"/>
        <v>0</v>
      </c>
      <c r="Y43">
        <f t="shared" si="3"/>
        <v>0</v>
      </c>
      <c r="Z43">
        <f t="shared" si="3"/>
        <v>0</v>
      </c>
      <c r="AA43" s="11"/>
    </row>
    <row r="44" spans="1:28" x14ac:dyDescent="0.3">
      <c r="A44" s="7">
        <v>45533</v>
      </c>
      <c r="B44">
        <v>2</v>
      </c>
      <c r="C44" t="s">
        <v>236</v>
      </c>
      <c r="D44" t="s">
        <v>26</v>
      </c>
      <c r="E44">
        <v>1</v>
      </c>
      <c r="F44">
        <v>2</v>
      </c>
      <c r="G44">
        <v>5</v>
      </c>
      <c r="H44" t="s">
        <v>27</v>
      </c>
      <c r="I44">
        <v>1</v>
      </c>
      <c r="J44" s="10">
        <v>0.25</v>
      </c>
      <c r="K44" s="10">
        <v>0.31597222222222221</v>
      </c>
      <c r="L44" s="10">
        <f t="shared" si="2"/>
        <v>6.597222222222221E-2</v>
      </c>
      <c r="M44" s="12">
        <f t="shared" si="0"/>
        <v>1.583333333333333</v>
      </c>
      <c r="N44" s="12">
        <f>Table35[[#This Row],[Trip Hours]]*Table35[[#This Row],['#Angler]]</f>
        <v>1.583333333333333</v>
      </c>
      <c r="O44" t="s">
        <v>25</v>
      </c>
      <c r="P44" t="s">
        <v>56</v>
      </c>
      <c r="Q44" t="s">
        <v>237</v>
      </c>
      <c r="R44" s="11">
        <v>0</v>
      </c>
      <c r="S44">
        <v>0</v>
      </c>
      <c r="T44">
        <v>0</v>
      </c>
      <c r="U44" s="11">
        <v>0</v>
      </c>
      <c r="V44">
        <v>0</v>
      </c>
      <c r="W44">
        <v>0</v>
      </c>
      <c r="X44" s="11">
        <f t="shared" si="3"/>
        <v>0</v>
      </c>
      <c r="Y44">
        <f t="shared" si="3"/>
        <v>0</v>
      </c>
      <c r="Z44">
        <f t="shared" si="3"/>
        <v>0</v>
      </c>
      <c r="AA44" s="11"/>
    </row>
    <row r="45" spans="1:28" x14ac:dyDescent="0.3">
      <c r="A45" s="7">
        <v>45533</v>
      </c>
      <c r="B45">
        <v>2</v>
      </c>
      <c r="C45" t="s">
        <v>236</v>
      </c>
      <c r="D45" t="s">
        <v>26</v>
      </c>
      <c r="E45">
        <v>2</v>
      </c>
      <c r="F45">
        <v>2</v>
      </c>
      <c r="G45">
        <v>2</v>
      </c>
      <c r="H45" t="s">
        <v>27</v>
      </c>
      <c r="I45">
        <v>2</v>
      </c>
      <c r="J45" s="10">
        <v>0.22916666666666666</v>
      </c>
      <c r="K45" s="10">
        <v>0.33819444444444446</v>
      </c>
      <c r="L45" s="10">
        <f t="shared" si="2"/>
        <v>0.10902777777777781</v>
      </c>
      <c r="M45" s="12">
        <f t="shared" si="0"/>
        <v>2.6166666666666671</v>
      </c>
      <c r="N45" s="12">
        <f>Table35[[#This Row],[Trip Hours]]*Table35[[#This Row],['#Angler]]</f>
        <v>5.2333333333333343</v>
      </c>
      <c r="O45" t="s">
        <v>25</v>
      </c>
      <c r="P45" t="s">
        <v>56</v>
      </c>
      <c r="Q45" t="s">
        <v>244</v>
      </c>
      <c r="R45" s="11">
        <v>0</v>
      </c>
      <c r="S45">
        <v>0</v>
      </c>
      <c r="T45">
        <v>0</v>
      </c>
      <c r="U45" s="11">
        <v>0</v>
      </c>
      <c r="V45">
        <v>0</v>
      </c>
      <c r="W45">
        <v>0</v>
      </c>
      <c r="X45" s="11">
        <f t="shared" si="3"/>
        <v>0</v>
      </c>
      <c r="Y45">
        <f t="shared" si="3"/>
        <v>0</v>
      </c>
      <c r="Z45">
        <f t="shared" si="3"/>
        <v>0</v>
      </c>
      <c r="AA45" s="11"/>
    </row>
    <row r="46" spans="1:28" x14ac:dyDescent="0.3">
      <c r="A46" s="7">
        <v>45533</v>
      </c>
      <c r="B46">
        <v>2</v>
      </c>
      <c r="C46" t="s">
        <v>236</v>
      </c>
      <c r="D46" t="s">
        <v>26</v>
      </c>
      <c r="E46">
        <v>3</v>
      </c>
      <c r="F46">
        <v>2</v>
      </c>
      <c r="G46">
        <v>2</v>
      </c>
      <c r="H46" t="s">
        <v>27</v>
      </c>
      <c r="I46">
        <v>1</v>
      </c>
      <c r="J46" s="10">
        <v>0.3125</v>
      </c>
      <c r="K46" s="10">
        <v>0.3576388888888889</v>
      </c>
      <c r="L46" s="10">
        <f t="shared" si="2"/>
        <v>4.5138888888888895E-2</v>
      </c>
      <c r="M46" s="12">
        <f t="shared" si="0"/>
        <v>1.0833333333333335</v>
      </c>
      <c r="N46" s="12">
        <f>Table35[[#This Row],[Trip Hours]]*Table35[[#This Row],['#Angler]]</f>
        <v>1.0833333333333335</v>
      </c>
      <c r="O46" t="s">
        <v>25</v>
      </c>
      <c r="P46" t="s">
        <v>56</v>
      </c>
      <c r="Q46" t="s">
        <v>238</v>
      </c>
      <c r="R46" s="11">
        <v>0</v>
      </c>
      <c r="S46">
        <v>0</v>
      </c>
      <c r="T46">
        <v>0</v>
      </c>
      <c r="U46" s="11">
        <v>0</v>
      </c>
      <c r="V46">
        <v>0</v>
      </c>
      <c r="W46">
        <v>0</v>
      </c>
      <c r="X46" s="11">
        <f t="shared" si="3"/>
        <v>0</v>
      </c>
      <c r="Y46">
        <f t="shared" si="3"/>
        <v>0</v>
      </c>
      <c r="Z46">
        <f t="shared" si="3"/>
        <v>0</v>
      </c>
      <c r="AA46" s="11"/>
    </row>
    <row r="47" spans="1:28" x14ac:dyDescent="0.3">
      <c r="A47" s="7">
        <v>45533</v>
      </c>
      <c r="B47">
        <v>2</v>
      </c>
      <c r="C47" t="s">
        <v>236</v>
      </c>
      <c r="D47" t="s">
        <v>26</v>
      </c>
      <c r="E47">
        <v>4</v>
      </c>
      <c r="F47">
        <v>2</v>
      </c>
      <c r="G47">
        <v>2</v>
      </c>
      <c r="H47" t="s">
        <v>27</v>
      </c>
      <c r="I47">
        <v>2</v>
      </c>
      <c r="J47" s="10">
        <v>0.25</v>
      </c>
      <c r="K47" s="10">
        <v>0.3576388888888889</v>
      </c>
      <c r="L47" s="10">
        <f t="shared" si="2"/>
        <v>0.1076388888888889</v>
      </c>
      <c r="M47" s="12">
        <f t="shared" si="0"/>
        <v>2.5833333333333335</v>
      </c>
      <c r="N47" s="12">
        <f>Table35[[#This Row],[Trip Hours]]*Table35[[#This Row],['#Angler]]</f>
        <v>5.166666666666667</v>
      </c>
      <c r="O47" t="s">
        <v>25</v>
      </c>
      <c r="P47" t="s">
        <v>56</v>
      </c>
      <c r="Q47" t="s">
        <v>241</v>
      </c>
      <c r="R47" s="11">
        <v>0</v>
      </c>
      <c r="S47">
        <v>0</v>
      </c>
      <c r="T47">
        <v>0</v>
      </c>
      <c r="U47" s="11">
        <v>0</v>
      </c>
      <c r="V47">
        <v>0</v>
      </c>
      <c r="W47">
        <v>0</v>
      </c>
      <c r="X47" s="11">
        <f t="shared" si="3"/>
        <v>0</v>
      </c>
      <c r="Y47">
        <f t="shared" si="3"/>
        <v>0</v>
      </c>
      <c r="Z47">
        <f t="shared" si="3"/>
        <v>0</v>
      </c>
      <c r="AA47" s="11"/>
    </row>
    <row r="48" spans="1:28" x14ac:dyDescent="0.3">
      <c r="A48" s="7">
        <v>45533</v>
      </c>
      <c r="B48">
        <v>2</v>
      </c>
      <c r="C48" t="s">
        <v>236</v>
      </c>
      <c r="D48" t="s">
        <v>26</v>
      </c>
      <c r="E48">
        <v>5</v>
      </c>
      <c r="F48">
        <v>2</v>
      </c>
      <c r="G48">
        <v>2</v>
      </c>
      <c r="H48" t="s">
        <v>27</v>
      </c>
      <c r="I48">
        <v>2</v>
      </c>
      <c r="J48" s="10">
        <v>0.25</v>
      </c>
      <c r="K48" s="10">
        <v>0.39930555555555558</v>
      </c>
      <c r="L48" s="10">
        <f t="shared" si="2"/>
        <v>0.14930555555555558</v>
      </c>
      <c r="M48" s="12">
        <f t="shared" si="0"/>
        <v>3.5833333333333339</v>
      </c>
      <c r="N48" s="12">
        <f>Table35[[#This Row],[Trip Hours]]*Table35[[#This Row],['#Angler]]</f>
        <v>7.1666666666666679</v>
      </c>
      <c r="O48" t="s">
        <v>25</v>
      </c>
      <c r="P48" t="s">
        <v>56</v>
      </c>
      <c r="Q48" t="s">
        <v>241</v>
      </c>
      <c r="R48" s="11">
        <v>0</v>
      </c>
      <c r="S48">
        <v>0</v>
      </c>
      <c r="T48">
        <v>0</v>
      </c>
      <c r="U48" s="11">
        <v>0</v>
      </c>
      <c r="V48">
        <v>0</v>
      </c>
      <c r="W48">
        <v>0</v>
      </c>
      <c r="X48" s="11">
        <f t="shared" si="3"/>
        <v>0</v>
      </c>
      <c r="Y48">
        <f t="shared" si="3"/>
        <v>0</v>
      </c>
      <c r="Z48">
        <f t="shared" si="3"/>
        <v>0</v>
      </c>
      <c r="AA48" s="11"/>
    </row>
    <row r="49" spans="1:28" x14ac:dyDescent="0.3">
      <c r="A49" s="7">
        <v>45533</v>
      </c>
      <c r="B49">
        <v>2</v>
      </c>
      <c r="C49" t="s">
        <v>236</v>
      </c>
      <c r="D49" t="s">
        <v>26</v>
      </c>
      <c r="E49">
        <v>6</v>
      </c>
      <c r="F49">
        <v>2</v>
      </c>
      <c r="G49">
        <v>1</v>
      </c>
      <c r="H49" t="s">
        <v>27</v>
      </c>
      <c r="I49">
        <v>1</v>
      </c>
      <c r="J49" s="10">
        <v>0.29166666666666669</v>
      </c>
      <c r="K49" s="10">
        <v>0.37847222222222227</v>
      </c>
      <c r="L49" s="10">
        <f t="shared" si="2"/>
        <v>8.680555555555558E-2</v>
      </c>
      <c r="M49" s="12">
        <f t="shared" si="0"/>
        <v>2.0833333333333339</v>
      </c>
      <c r="N49" s="12">
        <f>Table35[[#This Row],[Trip Hours]]*Table35[[#This Row],['#Angler]]</f>
        <v>2.0833333333333339</v>
      </c>
      <c r="O49" t="s">
        <v>28</v>
      </c>
      <c r="P49" t="s">
        <v>56</v>
      </c>
      <c r="Q49" t="s">
        <v>241</v>
      </c>
      <c r="R49" s="11">
        <v>1</v>
      </c>
      <c r="S49">
        <v>0</v>
      </c>
      <c r="T49">
        <v>0</v>
      </c>
      <c r="U49" s="11">
        <v>0</v>
      </c>
      <c r="V49">
        <v>0</v>
      </c>
      <c r="W49">
        <v>0</v>
      </c>
      <c r="X49" s="11">
        <f t="shared" si="3"/>
        <v>1</v>
      </c>
      <c r="Y49">
        <f t="shared" si="3"/>
        <v>0</v>
      </c>
      <c r="Z49">
        <f t="shared" si="3"/>
        <v>0</v>
      </c>
      <c r="AA49" s="11"/>
    </row>
    <row r="50" spans="1:28" x14ac:dyDescent="0.3">
      <c r="A50" s="7">
        <v>45533</v>
      </c>
      <c r="B50">
        <v>2</v>
      </c>
      <c r="C50" t="s">
        <v>236</v>
      </c>
      <c r="D50" t="s">
        <v>42</v>
      </c>
      <c r="E50">
        <v>7</v>
      </c>
      <c r="F50">
        <v>2</v>
      </c>
      <c r="G50">
        <v>1</v>
      </c>
      <c r="H50" t="s">
        <v>27</v>
      </c>
      <c r="I50">
        <v>1</v>
      </c>
      <c r="J50" s="10">
        <v>0.66666666666666663</v>
      </c>
      <c r="K50" s="10">
        <v>0.6875</v>
      </c>
      <c r="L50" s="10">
        <f t="shared" si="2"/>
        <v>2.083333333333337E-2</v>
      </c>
      <c r="M50" s="12">
        <f t="shared" si="0"/>
        <v>0.50000000000000089</v>
      </c>
      <c r="N50" s="12">
        <f>Table35[[#This Row],[Trip Hours]]*Table35[[#This Row],['#Angler]]</f>
        <v>0.50000000000000089</v>
      </c>
      <c r="O50" t="s">
        <v>25</v>
      </c>
      <c r="P50" t="s">
        <v>49</v>
      </c>
      <c r="Q50" t="s">
        <v>237</v>
      </c>
      <c r="R50" s="11">
        <v>0</v>
      </c>
      <c r="S50">
        <v>0</v>
      </c>
      <c r="T50">
        <v>0</v>
      </c>
      <c r="U50" s="11">
        <v>0</v>
      </c>
      <c r="V50">
        <v>0</v>
      </c>
      <c r="W50">
        <v>0</v>
      </c>
      <c r="X50" s="11">
        <f t="shared" si="3"/>
        <v>0</v>
      </c>
      <c r="Y50">
        <f t="shared" si="3"/>
        <v>0</v>
      </c>
      <c r="Z50">
        <f t="shared" si="3"/>
        <v>0</v>
      </c>
      <c r="AA50" s="11"/>
    </row>
    <row r="51" spans="1:28" x14ac:dyDescent="0.3">
      <c r="A51" s="7">
        <v>45533</v>
      </c>
      <c r="B51">
        <v>2</v>
      </c>
      <c r="C51" t="s">
        <v>236</v>
      </c>
      <c r="D51" t="s">
        <v>42</v>
      </c>
      <c r="E51">
        <v>8</v>
      </c>
      <c r="F51">
        <v>2</v>
      </c>
      <c r="G51">
        <v>1</v>
      </c>
      <c r="H51" t="s">
        <v>27</v>
      </c>
      <c r="I51">
        <v>1</v>
      </c>
      <c r="J51" s="10">
        <v>0.66666666666666663</v>
      </c>
      <c r="K51" s="10">
        <v>0.6875</v>
      </c>
      <c r="L51" s="10">
        <f t="shared" si="2"/>
        <v>2.083333333333337E-2</v>
      </c>
      <c r="M51" s="12">
        <f t="shared" si="0"/>
        <v>0.50000000000000089</v>
      </c>
      <c r="N51" s="12">
        <f>Table35[[#This Row],[Trip Hours]]*Table35[[#This Row],['#Angler]]</f>
        <v>0.50000000000000089</v>
      </c>
      <c r="O51" t="s">
        <v>28</v>
      </c>
      <c r="P51" t="s">
        <v>49</v>
      </c>
      <c r="Q51" t="s">
        <v>241</v>
      </c>
      <c r="R51" s="11">
        <v>0</v>
      </c>
      <c r="S51">
        <v>0</v>
      </c>
      <c r="T51">
        <v>0</v>
      </c>
      <c r="U51" s="11">
        <v>0</v>
      </c>
      <c r="V51">
        <v>0</v>
      </c>
      <c r="W51">
        <v>0</v>
      </c>
      <c r="X51" s="11">
        <f t="shared" si="3"/>
        <v>0</v>
      </c>
      <c r="Y51">
        <f t="shared" si="3"/>
        <v>0</v>
      </c>
      <c r="Z51">
        <f t="shared" si="3"/>
        <v>0</v>
      </c>
      <c r="AA51" s="11"/>
    </row>
    <row r="52" spans="1:28" x14ac:dyDescent="0.3">
      <c r="A52" s="7">
        <v>45533</v>
      </c>
      <c r="B52">
        <v>2</v>
      </c>
      <c r="C52" t="s">
        <v>236</v>
      </c>
      <c r="D52" t="s">
        <v>42</v>
      </c>
      <c r="E52">
        <v>9</v>
      </c>
      <c r="F52">
        <v>2</v>
      </c>
      <c r="G52">
        <v>2</v>
      </c>
      <c r="H52" t="s">
        <v>27</v>
      </c>
      <c r="I52">
        <v>1</v>
      </c>
      <c r="J52" s="10">
        <v>0.69097222222222221</v>
      </c>
      <c r="K52" s="10">
        <v>0.6958333333333333</v>
      </c>
      <c r="L52" s="10">
        <f t="shared" si="2"/>
        <v>4.8611111111110938E-3</v>
      </c>
      <c r="M52" s="12">
        <f t="shared" si="0"/>
        <v>0.11666666666666625</v>
      </c>
      <c r="N52" s="12">
        <f>Table35[[#This Row],[Trip Hours]]*Table35[[#This Row],['#Angler]]</f>
        <v>0.11666666666666625</v>
      </c>
      <c r="O52" t="s">
        <v>28</v>
      </c>
      <c r="P52" t="s">
        <v>29</v>
      </c>
      <c r="Q52" t="s">
        <v>241</v>
      </c>
      <c r="R52" s="11">
        <v>0</v>
      </c>
      <c r="S52">
        <v>0</v>
      </c>
      <c r="T52">
        <v>0</v>
      </c>
      <c r="U52" s="11">
        <v>0</v>
      </c>
      <c r="V52">
        <v>0</v>
      </c>
      <c r="W52">
        <v>0</v>
      </c>
      <c r="X52" s="11">
        <f t="shared" si="3"/>
        <v>0</v>
      </c>
      <c r="Y52">
        <f t="shared" si="3"/>
        <v>0</v>
      </c>
      <c r="Z52">
        <f t="shared" si="3"/>
        <v>0</v>
      </c>
      <c r="AA52" s="11"/>
    </row>
    <row r="53" spans="1:28" x14ac:dyDescent="0.3">
      <c r="A53" s="7">
        <v>45533</v>
      </c>
      <c r="B53">
        <v>2</v>
      </c>
      <c r="C53" t="s">
        <v>236</v>
      </c>
      <c r="D53" t="s">
        <v>42</v>
      </c>
      <c r="E53">
        <v>10</v>
      </c>
      <c r="F53">
        <v>2</v>
      </c>
      <c r="G53">
        <v>2</v>
      </c>
      <c r="H53" t="s">
        <v>27</v>
      </c>
      <c r="I53">
        <v>1</v>
      </c>
      <c r="J53" s="10">
        <v>0.625</v>
      </c>
      <c r="K53" s="10">
        <v>0.69791666666666663</v>
      </c>
      <c r="L53" s="10">
        <f t="shared" si="2"/>
        <v>7.291666666666663E-2</v>
      </c>
      <c r="M53" s="12">
        <f t="shared" si="0"/>
        <v>1.7499999999999991</v>
      </c>
      <c r="N53" s="12">
        <f>Table35[[#This Row],[Trip Hours]]*Table35[[#This Row],['#Angler]]</f>
        <v>1.7499999999999991</v>
      </c>
      <c r="O53" t="s">
        <v>28</v>
      </c>
      <c r="P53" t="s">
        <v>245</v>
      </c>
      <c r="Q53" t="s">
        <v>241</v>
      </c>
      <c r="R53" s="11">
        <v>0</v>
      </c>
      <c r="S53">
        <v>0</v>
      </c>
      <c r="T53">
        <v>0</v>
      </c>
      <c r="U53" s="11">
        <v>0</v>
      </c>
      <c r="V53">
        <v>0</v>
      </c>
      <c r="W53">
        <v>0</v>
      </c>
      <c r="X53" s="11">
        <f t="shared" si="3"/>
        <v>0</v>
      </c>
      <c r="Y53">
        <f t="shared" si="3"/>
        <v>0</v>
      </c>
      <c r="Z53">
        <f t="shared" si="3"/>
        <v>0</v>
      </c>
      <c r="AA53" s="11"/>
    </row>
    <row r="54" spans="1:28" x14ac:dyDescent="0.3">
      <c r="A54" s="7">
        <v>45533</v>
      </c>
      <c r="B54">
        <v>2</v>
      </c>
      <c r="C54" t="s">
        <v>236</v>
      </c>
      <c r="D54" t="s">
        <v>42</v>
      </c>
      <c r="E54">
        <v>11</v>
      </c>
      <c r="F54">
        <v>2</v>
      </c>
      <c r="G54">
        <v>2</v>
      </c>
      <c r="H54" t="s">
        <v>27</v>
      </c>
      <c r="I54">
        <v>1</v>
      </c>
      <c r="K54" s="10">
        <v>0.69791666666666663</v>
      </c>
      <c r="L54" s="10">
        <f t="shared" si="2"/>
        <v>0.69791666666666663</v>
      </c>
      <c r="M54" s="12">
        <f t="shared" si="0"/>
        <v>16.75</v>
      </c>
      <c r="N54" s="12">
        <f>Table35[[#This Row],[Trip Hours]]*Table35[[#This Row],['#Angler]]</f>
        <v>16.75</v>
      </c>
      <c r="O54" t="s">
        <v>28</v>
      </c>
      <c r="P54" t="s">
        <v>29</v>
      </c>
      <c r="Q54" t="s">
        <v>238</v>
      </c>
      <c r="R54" s="11">
        <v>0</v>
      </c>
      <c r="S54">
        <v>0</v>
      </c>
      <c r="T54">
        <v>0</v>
      </c>
      <c r="U54" s="11">
        <v>0</v>
      </c>
      <c r="V54">
        <v>0</v>
      </c>
      <c r="W54">
        <v>0</v>
      </c>
      <c r="X54" s="11">
        <f t="shared" si="3"/>
        <v>0</v>
      </c>
      <c r="Y54">
        <f t="shared" si="3"/>
        <v>0</v>
      </c>
      <c r="Z54">
        <f t="shared" si="3"/>
        <v>0</v>
      </c>
      <c r="AA54" s="11"/>
      <c r="AB54" t="s">
        <v>257</v>
      </c>
    </row>
    <row r="55" spans="1:28" x14ac:dyDescent="0.3">
      <c r="A55" s="7">
        <v>45533</v>
      </c>
      <c r="B55">
        <v>2</v>
      </c>
      <c r="C55" t="s">
        <v>236</v>
      </c>
      <c r="D55" t="s">
        <v>42</v>
      </c>
      <c r="E55">
        <v>12</v>
      </c>
      <c r="F55">
        <v>2</v>
      </c>
      <c r="G55">
        <v>2</v>
      </c>
      <c r="H55" t="s">
        <v>27</v>
      </c>
      <c r="I55">
        <v>2</v>
      </c>
      <c r="J55" s="10">
        <v>0.72222222222222221</v>
      </c>
      <c r="K55" s="10">
        <v>0.73611111111111116</v>
      </c>
      <c r="L55" s="10">
        <f t="shared" si="2"/>
        <v>1.3888888888888951E-2</v>
      </c>
      <c r="M55" s="12">
        <f t="shared" si="0"/>
        <v>0.33333333333333481</v>
      </c>
      <c r="N55" s="12">
        <f>Table35[[#This Row],[Trip Hours]]*Table35[[#This Row],['#Angler]]</f>
        <v>0.66666666666666963</v>
      </c>
      <c r="O55" t="s">
        <v>28</v>
      </c>
      <c r="P55" t="s">
        <v>56</v>
      </c>
      <c r="Q55" t="s">
        <v>241</v>
      </c>
      <c r="R55" s="11">
        <v>0</v>
      </c>
      <c r="S55">
        <v>0</v>
      </c>
      <c r="T55">
        <v>0</v>
      </c>
      <c r="U55" s="11">
        <v>0</v>
      </c>
      <c r="V55">
        <v>0</v>
      </c>
      <c r="W55">
        <v>0</v>
      </c>
      <c r="X55" s="11">
        <f t="shared" si="3"/>
        <v>0</v>
      </c>
      <c r="Y55">
        <f t="shared" si="3"/>
        <v>0</v>
      </c>
      <c r="Z55">
        <f t="shared" si="3"/>
        <v>0</v>
      </c>
      <c r="AA55" s="11"/>
    </row>
    <row r="56" spans="1:28" x14ac:dyDescent="0.3">
      <c r="A56" s="7">
        <v>45533</v>
      </c>
      <c r="B56">
        <v>2</v>
      </c>
      <c r="C56" t="s">
        <v>236</v>
      </c>
      <c r="D56" t="s">
        <v>42</v>
      </c>
      <c r="E56">
        <v>13</v>
      </c>
      <c r="F56">
        <v>2</v>
      </c>
      <c r="G56">
        <v>2</v>
      </c>
      <c r="H56" t="s">
        <v>27</v>
      </c>
      <c r="I56">
        <v>1</v>
      </c>
      <c r="J56" s="10">
        <v>0.74305555555555547</v>
      </c>
      <c r="K56" s="10">
        <v>0.74652777777777779</v>
      </c>
      <c r="L56" s="10">
        <f t="shared" si="2"/>
        <v>3.4722222222223209E-3</v>
      </c>
      <c r="M56" s="12">
        <f t="shared" si="0"/>
        <v>8.3333333333335702E-2</v>
      </c>
      <c r="N56" s="12">
        <f>Table35[[#This Row],[Trip Hours]]*Table35[[#This Row],['#Angler]]</f>
        <v>8.3333333333335702E-2</v>
      </c>
      <c r="O56" t="s">
        <v>28</v>
      </c>
      <c r="P56" t="s">
        <v>258</v>
      </c>
      <c r="Q56" t="s">
        <v>237</v>
      </c>
      <c r="R56" s="11">
        <v>0</v>
      </c>
      <c r="S56">
        <v>0</v>
      </c>
      <c r="T56">
        <v>0</v>
      </c>
      <c r="U56" s="11">
        <v>0</v>
      </c>
      <c r="V56">
        <v>0</v>
      </c>
      <c r="W56">
        <v>0</v>
      </c>
      <c r="X56" s="11">
        <f t="shared" si="3"/>
        <v>0</v>
      </c>
      <c r="Y56">
        <f t="shared" si="3"/>
        <v>0</v>
      </c>
      <c r="Z56">
        <f t="shared" si="3"/>
        <v>0</v>
      </c>
      <c r="AA56" s="11"/>
    </row>
    <row r="57" spans="1:28" x14ac:dyDescent="0.3">
      <c r="A57" s="7">
        <v>45533</v>
      </c>
      <c r="B57">
        <v>2</v>
      </c>
      <c r="C57" t="s">
        <v>236</v>
      </c>
      <c r="D57" t="s">
        <v>42</v>
      </c>
      <c r="E57">
        <v>14</v>
      </c>
      <c r="F57">
        <v>2</v>
      </c>
      <c r="G57">
        <v>2</v>
      </c>
      <c r="H57" t="s">
        <v>27</v>
      </c>
      <c r="I57">
        <v>2</v>
      </c>
      <c r="J57" s="10">
        <v>0.75</v>
      </c>
      <c r="K57" s="10">
        <v>0.76250000000000007</v>
      </c>
      <c r="L57" s="10">
        <f t="shared" si="2"/>
        <v>1.2500000000000067E-2</v>
      </c>
      <c r="M57" s="12">
        <f t="shared" si="0"/>
        <v>0.3000000000000016</v>
      </c>
      <c r="N57" s="12">
        <f>Table35[[#This Row],[Trip Hours]]*Table35[[#This Row],['#Angler]]</f>
        <v>0.6000000000000032</v>
      </c>
      <c r="O57" t="s">
        <v>28</v>
      </c>
      <c r="P57" t="s">
        <v>56</v>
      </c>
      <c r="Q57" t="s">
        <v>237</v>
      </c>
      <c r="R57" s="11">
        <v>0</v>
      </c>
      <c r="S57">
        <v>0</v>
      </c>
      <c r="T57">
        <v>0</v>
      </c>
      <c r="U57" s="11">
        <v>0</v>
      </c>
      <c r="V57">
        <v>0</v>
      </c>
      <c r="W57">
        <v>0</v>
      </c>
      <c r="X57" s="11">
        <f t="shared" si="3"/>
        <v>0</v>
      </c>
      <c r="Y57">
        <f t="shared" si="3"/>
        <v>0</v>
      </c>
      <c r="Z57">
        <f t="shared" si="3"/>
        <v>0</v>
      </c>
      <c r="AA57" s="11"/>
    </row>
    <row r="58" spans="1:28" x14ac:dyDescent="0.3">
      <c r="A58" s="7">
        <v>45533</v>
      </c>
      <c r="B58">
        <v>2</v>
      </c>
      <c r="C58" t="s">
        <v>236</v>
      </c>
      <c r="D58" t="s">
        <v>42</v>
      </c>
      <c r="E58">
        <v>15</v>
      </c>
      <c r="F58">
        <v>2</v>
      </c>
      <c r="G58">
        <v>3</v>
      </c>
      <c r="H58" t="s">
        <v>27</v>
      </c>
      <c r="I58">
        <v>3</v>
      </c>
      <c r="J58" s="10">
        <v>0.75694444444444453</v>
      </c>
      <c r="K58" s="10">
        <v>0.77083333333333337</v>
      </c>
      <c r="L58" s="10">
        <f t="shared" si="2"/>
        <v>1.388888888888884E-2</v>
      </c>
      <c r="M58" s="12">
        <f t="shared" si="0"/>
        <v>0.33333333333333215</v>
      </c>
      <c r="N58" s="12">
        <f>Table35[[#This Row],[Trip Hours]]*Table35[[#This Row],['#Angler]]</f>
        <v>0.99999999999999645</v>
      </c>
      <c r="O58" t="s">
        <v>28</v>
      </c>
      <c r="P58" t="s">
        <v>56</v>
      </c>
      <c r="Q58" t="s">
        <v>241</v>
      </c>
      <c r="R58" s="11">
        <v>0</v>
      </c>
      <c r="S58">
        <v>0</v>
      </c>
      <c r="T58">
        <v>0</v>
      </c>
      <c r="U58" s="11">
        <v>0</v>
      </c>
      <c r="V58">
        <v>0</v>
      </c>
      <c r="W58">
        <v>0</v>
      </c>
      <c r="X58" s="11">
        <f t="shared" si="3"/>
        <v>0</v>
      </c>
      <c r="Y58">
        <f t="shared" si="3"/>
        <v>0</v>
      </c>
      <c r="Z58">
        <f t="shared" si="3"/>
        <v>0</v>
      </c>
      <c r="AA58" s="11"/>
    </row>
    <row r="59" spans="1:28" x14ac:dyDescent="0.3">
      <c r="A59" s="7">
        <v>45533</v>
      </c>
      <c r="B59">
        <v>2</v>
      </c>
      <c r="C59" t="s">
        <v>236</v>
      </c>
      <c r="D59" t="s">
        <v>42</v>
      </c>
      <c r="E59">
        <v>16</v>
      </c>
      <c r="F59">
        <v>2</v>
      </c>
      <c r="G59">
        <v>3</v>
      </c>
      <c r="H59" t="s">
        <v>27</v>
      </c>
      <c r="I59">
        <v>3</v>
      </c>
      <c r="J59" s="10">
        <v>0.72916666666666663</v>
      </c>
      <c r="K59" s="10">
        <v>0.77916666666666667</v>
      </c>
      <c r="L59" s="10">
        <f t="shared" si="2"/>
        <v>5.0000000000000044E-2</v>
      </c>
      <c r="M59" s="12">
        <f t="shared" si="0"/>
        <v>1.2000000000000011</v>
      </c>
      <c r="N59" s="12">
        <f>Table35[[#This Row],[Trip Hours]]*Table35[[#This Row],['#Angler]]</f>
        <v>3.6000000000000032</v>
      </c>
      <c r="O59" t="s">
        <v>28</v>
      </c>
      <c r="P59" t="s">
        <v>56</v>
      </c>
      <c r="Q59" t="s">
        <v>241</v>
      </c>
      <c r="R59" s="11">
        <v>0</v>
      </c>
      <c r="S59">
        <v>0</v>
      </c>
      <c r="T59">
        <v>0</v>
      </c>
      <c r="U59" s="11">
        <v>0</v>
      </c>
      <c r="V59">
        <v>0</v>
      </c>
      <c r="W59">
        <v>0</v>
      </c>
      <c r="X59" s="11">
        <f t="shared" si="3"/>
        <v>0</v>
      </c>
      <c r="Y59">
        <f t="shared" si="3"/>
        <v>0</v>
      </c>
      <c r="Z59">
        <f t="shared" si="3"/>
        <v>0</v>
      </c>
      <c r="AA59" s="11"/>
    </row>
    <row r="60" spans="1:28" x14ac:dyDescent="0.3">
      <c r="A60" s="7">
        <v>45533</v>
      </c>
      <c r="B60">
        <v>2</v>
      </c>
      <c r="C60" t="s">
        <v>236</v>
      </c>
      <c r="D60" t="s">
        <v>42</v>
      </c>
      <c r="E60">
        <v>17</v>
      </c>
      <c r="F60">
        <v>2</v>
      </c>
      <c r="G60">
        <v>4</v>
      </c>
      <c r="H60" t="s">
        <v>27</v>
      </c>
      <c r="I60">
        <v>1</v>
      </c>
      <c r="J60" s="10">
        <v>0.77083333333333337</v>
      </c>
      <c r="K60" s="10">
        <v>0.78472222222222221</v>
      </c>
      <c r="L60" s="10">
        <f t="shared" si="2"/>
        <v>1.388888888888884E-2</v>
      </c>
      <c r="M60" s="12">
        <f t="shared" si="0"/>
        <v>0.33333333333333215</v>
      </c>
      <c r="N60" s="12">
        <f>Table35[[#This Row],[Trip Hours]]*Table35[[#This Row],['#Angler]]</f>
        <v>0.33333333333333215</v>
      </c>
      <c r="O60" t="s">
        <v>28</v>
      </c>
      <c r="P60" t="s">
        <v>259</v>
      </c>
      <c r="Q60" t="s">
        <v>244</v>
      </c>
      <c r="R60" s="11">
        <v>0</v>
      </c>
      <c r="S60">
        <v>0</v>
      </c>
      <c r="T60">
        <v>0</v>
      </c>
      <c r="U60" s="11">
        <v>0</v>
      </c>
      <c r="V60">
        <v>0</v>
      </c>
      <c r="W60">
        <v>0</v>
      </c>
      <c r="X60" s="11">
        <f t="shared" si="3"/>
        <v>0</v>
      </c>
      <c r="Y60">
        <f t="shared" si="3"/>
        <v>0</v>
      </c>
      <c r="Z60">
        <f t="shared" si="3"/>
        <v>0</v>
      </c>
      <c r="AA60" s="11"/>
    </row>
    <row r="61" spans="1:28" x14ac:dyDescent="0.3">
      <c r="A61" s="7">
        <v>45533</v>
      </c>
      <c r="B61">
        <v>2</v>
      </c>
      <c r="C61" t="s">
        <v>236</v>
      </c>
      <c r="D61" t="s">
        <v>42</v>
      </c>
      <c r="E61">
        <v>18</v>
      </c>
      <c r="F61">
        <v>2</v>
      </c>
      <c r="G61">
        <v>4</v>
      </c>
      <c r="H61" t="s">
        <v>27</v>
      </c>
      <c r="I61">
        <v>1</v>
      </c>
      <c r="J61" s="10">
        <v>0.70833333333333337</v>
      </c>
      <c r="K61" s="10">
        <v>0.79166666666666663</v>
      </c>
      <c r="L61" s="10">
        <f t="shared" si="2"/>
        <v>8.3333333333333259E-2</v>
      </c>
      <c r="M61" s="12">
        <f t="shared" si="0"/>
        <v>1.9999999999999982</v>
      </c>
      <c r="N61" s="12">
        <f>Table35[[#This Row],[Trip Hours]]*Table35[[#This Row],['#Angler]]</f>
        <v>1.9999999999999982</v>
      </c>
      <c r="O61" t="s">
        <v>28</v>
      </c>
      <c r="P61" t="s">
        <v>260</v>
      </c>
      <c r="Q61" t="s">
        <v>244</v>
      </c>
      <c r="R61" s="11">
        <v>0</v>
      </c>
      <c r="S61">
        <v>0</v>
      </c>
      <c r="T61">
        <v>0</v>
      </c>
      <c r="U61" s="11">
        <v>0</v>
      </c>
      <c r="V61">
        <v>0</v>
      </c>
      <c r="W61">
        <v>0</v>
      </c>
      <c r="X61" s="11">
        <f t="shared" si="3"/>
        <v>0</v>
      </c>
      <c r="Y61">
        <f t="shared" si="3"/>
        <v>0</v>
      </c>
      <c r="Z61">
        <f t="shared" si="3"/>
        <v>0</v>
      </c>
      <c r="AA61" s="11"/>
    </row>
    <row r="62" spans="1:28" x14ac:dyDescent="0.3">
      <c r="A62" s="7">
        <v>45533</v>
      </c>
      <c r="B62">
        <v>2</v>
      </c>
      <c r="C62" t="s">
        <v>236</v>
      </c>
      <c r="D62" t="s">
        <v>42</v>
      </c>
      <c r="F62">
        <v>2</v>
      </c>
      <c r="G62">
        <v>4</v>
      </c>
      <c r="H62" t="s">
        <v>27</v>
      </c>
      <c r="I62">
        <v>1</v>
      </c>
      <c r="J62" s="10">
        <v>0.41666666666666669</v>
      </c>
      <c r="K62" s="10">
        <v>0.5</v>
      </c>
      <c r="L62" s="10">
        <f t="shared" si="2"/>
        <v>8.3333333333333315E-2</v>
      </c>
      <c r="M62" s="12">
        <f t="shared" si="0"/>
        <v>1.9999999999999996</v>
      </c>
      <c r="N62" s="12">
        <f>Table35[[#This Row],[Trip Hours]]*Table35[[#This Row],['#Angler]]</f>
        <v>1.9999999999999996</v>
      </c>
      <c r="O62" t="s">
        <v>25</v>
      </c>
      <c r="P62" t="s">
        <v>260</v>
      </c>
      <c r="Q62" t="s">
        <v>244</v>
      </c>
      <c r="R62" s="11">
        <v>0</v>
      </c>
      <c r="S62">
        <v>0</v>
      </c>
      <c r="T62">
        <v>0</v>
      </c>
      <c r="U62" s="11">
        <v>0</v>
      </c>
      <c r="V62">
        <v>0</v>
      </c>
      <c r="W62">
        <v>0</v>
      </c>
      <c r="X62" s="11">
        <f t="shared" si="3"/>
        <v>0</v>
      </c>
      <c r="Y62">
        <f t="shared" si="3"/>
        <v>0</v>
      </c>
      <c r="Z62">
        <f t="shared" si="3"/>
        <v>0</v>
      </c>
      <c r="AA62" s="11"/>
      <c r="AB62" t="s">
        <v>261</v>
      </c>
    </row>
    <row r="63" spans="1:28" x14ac:dyDescent="0.3">
      <c r="A63" s="7">
        <v>45533</v>
      </c>
      <c r="B63">
        <v>2</v>
      </c>
      <c r="C63" t="s">
        <v>236</v>
      </c>
      <c r="D63" t="s">
        <v>42</v>
      </c>
      <c r="E63">
        <v>19</v>
      </c>
      <c r="F63">
        <v>2</v>
      </c>
      <c r="G63">
        <v>4</v>
      </c>
      <c r="H63" t="s">
        <v>27</v>
      </c>
      <c r="I63">
        <v>1</v>
      </c>
      <c r="J63" s="10">
        <v>0.75</v>
      </c>
      <c r="K63" s="10">
        <v>0.79583333333333339</v>
      </c>
      <c r="L63" s="10">
        <f t="shared" si="2"/>
        <v>4.5833333333333393E-2</v>
      </c>
      <c r="M63" s="12">
        <f t="shared" si="0"/>
        <v>1.1000000000000014</v>
      </c>
      <c r="N63" s="12">
        <f>Table35[[#This Row],[Trip Hours]]*Table35[[#This Row],['#Angler]]</f>
        <v>1.1000000000000014</v>
      </c>
      <c r="O63" t="s">
        <v>28</v>
      </c>
      <c r="P63" t="s">
        <v>56</v>
      </c>
      <c r="Q63" t="s">
        <v>244</v>
      </c>
      <c r="R63" s="11">
        <v>0</v>
      </c>
      <c r="S63">
        <v>0</v>
      </c>
      <c r="T63">
        <v>0</v>
      </c>
      <c r="U63" s="11">
        <v>0</v>
      </c>
      <c r="V63">
        <v>0</v>
      </c>
      <c r="W63">
        <v>0</v>
      </c>
      <c r="X63" s="11">
        <f t="shared" si="3"/>
        <v>0</v>
      </c>
      <c r="Y63">
        <f t="shared" si="3"/>
        <v>0</v>
      </c>
      <c r="Z63">
        <f t="shared" si="3"/>
        <v>0</v>
      </c>
      <c r="AA63" s="11"/>
    </row>
    <row r="64" spans="1:28" x14ac:dyDescent="0.3">
      <c r="A64" s="7">
        <v>45533</v>
      </c>
      <c r="B64">
        <v>2</v>
      </c>
      <c r="C64" t="s">
        <v>236</v>
      </c>
      <c r="D64" t="s">
        <v>42</v>
      </c>
      <c r="E64">
        <v>20</v>
      </c>
      <c r="F64">
        <v>2</v>
      </c>
      <c r="G64">
        <v>4</v>
      </c>
      <c r="H64" t="s">
        <v>27</v>
      </c>
      <c r="I64">
        <v>3</v>
      </c>
      <c r="J64" s="10">
        <v>0.75</v>
      </c>
      <c r="K64" s="10">
        <v>0.81180555555555556</v>
      </c>
      <c r="L64" s="10">
        <f t="shared" si="2"/>
        <v>6.1805555555555558E-2</v>
      </c>
      <c r="M64" s="12">
        <f t="shared" si="0"/>
        <v>1.4833333333333334</v>
      </c>
      <c r="N64" s="12">
        <f>Table35[[#This Row],[Trip Hours]]*Table35[[#This Row],['#Angler]]</f>
        <v>4.45</v>
      </c>
      <c r="O64" t="s">
        <v>28</v>
      </c>
      <c r="P64" t="s">
        <v>56</v>
      </c>
      <c r="Q64" t="s">
        <v>244</v>
      </c>
      <c r="R64" s="11">
        <v>0</v>
      </c>
      <c r="S64">
        <v>0</v>
      </c>
      <c r="T64">
        <v>0</v>
      </c>
      <c r="U64" s="11">
        <v>0</v>
      </c>
      <c r="V64">
        <v>0</v>
      </c>
      <c r="W64">
        <v>0</v>
      </c>
      <c r="X64" s="11">
        <f t="shared" si="3"/>
        <v>0</v>
      </c>
      <c r="Y64">
        <f t="shared" si="3"/>
        <v>0</v>
      </c>
      <c r="Z64">
        <f t="shared" si="3"/>
        <v>0</v>
      </c>
      <c r="AA64" s="11"/>
    </row>
    <row r="65" spans="1:28" x14ac:dyDescent="0.3">
      <c r="A65" s="7">
        <v>45533</v>
      </c>
      <c r="B65">
        <v>2</v>
      </c>
      <c r="C65" t="s">
        <v>236</v>
      </c>
      <c r="D65" t="s">
        <v>42</v>
      </c>
      <c r="E65">
        <v>21</v>
      </c>
      <c r="F65">
        <v>2</v>
      </c>
      <c r="G65">
        <v>4</v>
      </c>
      <c r="H65" t="s">
        <v>27</v>
      </c>
      <c r="I65">
        <v>1</v>
      </c>
      <c r="J65" s="10">
        <v>0.72916666666666663</v>
      </c>
      <c r="K65" s="10">
        <v>0.82430555555555562</v>
      </c>
      <c r="L65" s="10">
        <f t="shared" si="2"/>
        <v>9.5138888888888995E-2</v>
      </c>
      <c r="M65" s="12">
        <f t="shared" si="0"/>
        <v>2.2833333333333359</v>
      </c>
      <c r="N65" s="12">
        <f>Table35[[#This Row],[Trip Hours]]*Table35[[#This Row],['#Angler]]</f>
        <v>2.2833333333333359</v>
      </c>
      <c r="O65" t="s">
        <v>28</v>
      </c>
      <c r="P65" t="s">
        <v>56</v>
      </c>
      <c r="Q65" t="s">
        <v>244</v>
      </c>
      <c r="R65" s="11">
        <v>0</v>
      </c>
      <c r="S65">
        <v>0</v>
      </c>
      <c r="T65">
        <v>0</v>
      </c>
      <c r="U65" s="11">
        <v>0</v>
      </c>
      <c r="V65">
        <v>0</v>
      </c>
      <c r="W65">
        <v>0</v>
      </c>
      <c r="X65" s="11">
        <f t="shared" si="3"/>
        <v>0</v>
      </c>
      <c r="Y65">
        <f t="shared" si="3"/>
        <v>0</v>
      </c>
      <c r="Z65">
        <f t="shared" si="3"/>
        <v>0</v>
      </c>
      <c r="AA65" s="11"/>
    </row>
    <row r="66" spans="1:28" x14ac:dyDescent="0.3">
      <c r="A66" s="7">
        <v>45533</v>
      </c>
      <c r="B66">
        <v>2</v>
      </c>
      <c r="C66" t="s">
        <v>236</v>
      </c>
      <c r="D66" t="s">
        <v>42</v>
      </c>
      <c r="E66">
        <v>22</v>
      </c>
      <c r="F66">
        <v>2</v>
      </c>
      <c r="G66">
        <v>4</v>
      </c>
      <c r="H66" t="s">
        <v>27</v>
      </c>
      <c r="I66">
        <v>2</v>
      </c>
      <c r="J66" s="10">
        <v>0.81944444444444453</v>
      </c>
      <c r="K66" s="10">
        <v>0.82638888888888884</v>
      </c>
      <c r="L66" s="10">
        <f t="shared" si="2"/>
        <v>6.9444444444443088E-3</v>
      </c>
      <c r="M66" s="12">
        <f t="shared" ref="M66:M129" si="4">L66*24</f>
        <v>0.16666666666666341</v>
      </c>
      <c r="N66" s="12">
        <f>Table35[[#This Row],[Trip Hours]]*Table35[[#This Row],['#Angler]]</f>
        <v>0.33333333333332682</v>
      </c>
      <c r="O66" t="s">
        <v>28</v>
      </c>
      <c r="P66" t="s">
        <v>49</v>
      </c>
      <c r="Q66" t="s">
        <v>237</v>
      </c>
      <c r="R66" s="11">
        <v>0</v>
      </c>
      <c r="S66">
        <v>0</v>
      </c>
      <c r="T66">
        <v>0</v>
      </c>
      <c r="U66" s="11">
        <v>0</v>
      </c>
      <c r="V66">
        <v>0</v>
      </c>
      <c r="W66">
        <v>0</v>
      </c>
      <c r="X66" s="11">
        <f t="shared" si="3"/>
        <v>0</v>
      </c>
      <c r="Y66">
        <f t="shared" si="3"/>
        <v>0</v>
      </c>
      <c r="Z66">
        <f t="shared" si="3"/>
        <v>0</v>
      </c>
      <c r="AA66" s="11"/>
    </row>
    <row r="67" spans="1:28" x14ac:dyDescent="0.3">
      <c r="A67" s="7">
        <v>45534</v>
      </c>
      <c r="B67">
        <v>2</v>
      </c>
      <c r="C67" t="s">
        <v>236</v>
      </c>
      <c r="D67" t="s">
        <v>26</v>
      </c>
      <c r="E67">
        <v>1</v>
      </c>
      <c r="F67">
        <v>1</v>
      </c>
      <c r="G67">
        <v>1</v>
      </c>
      <c r="H67" t="s">
        <v>35</v>
      </c>
      <c r="I67">
        <v>2</v>
      </c>
      <c r="J67" s="10">
        <v>0.22916666666666666</v>
      </c>
      <c r="K67" s="10">
        <v>0.38194444444444442</v>
      </c>
      <c r="L67" s="10">
        <f t="shared" si="2"/>
        <v>0.15277777777777776</v>
      </c>
      <c r="M67" s="12">
        <f t="shared" si="4"/>
        <v>3.6666666666666661</v>
      </c>
      <c r="N67" s="12">
        <f>Table35[[#This Row],[Trip Hours]]*Table35[[#This Row],['#Angler]]</f>
        <v>7.3333333333333321</v>
      </c>
      <c r="O67" t="s">
        <v>25</v>
      </c>
      <c r="P67" t="s">
        <v>262</v>
      </c>
      <c r="Q67" t="s">
        <v>247</v>
      </c>
      <c r="R67" s="11">
        <v>0</v>
      </c>
      <c r="S67">
        <v>0</v>
      </c>
      <c r="T67">
        <v>0</v>
      </c>
      <c r="U67" s="11">
        <v>0</v>
      </c>
      <c r="V67">
        <v>0</v>
      </c>
      <c r="W67">
        <v>0</v>
      </c>
      <c r="X67" s="11">
        <f t="shared" si="3"/>
        <v>0</v>
      </c>
      <c r="Y67">
        <f t="shared" si="3"/>
        <v>0</v>
      </c>
      <c r="Z67">
        <f t="shared" si="3"/>
        <v>0</v>
      </c>
      <c r="AA67" s="11"/>
    </row>
    <row r="68" spans="1:28" x14ac:dyDescent="0.3">
      <c r="A68" s="7">
        <v>45534</v>
      </c>
      <c r="B68">
        <v>2</v>
      </c>
      <c r="C68" t="s">
        <v>236</v>
      </c>
      <c r="D68" t="s">
        <v>26</v>
      </c>
      <c r="E68">
        <v>2</v>
      </c>
      <c r="F68">
        <v>1</v>
      </c>
      <c r="G68">
        <v>1</v>
      </c>
      <c r="H68" t="s">
        <v>35</v>
      </c>
      <c r="I68">
        <v>2</v>
      </c>
      <c r="J68" s="10">
        <v>0.22916666666666666</v>
      </c>
      <c r="K68" s="10">
        <v>0.3923611111111111</v>
      </c>
      <c r="L68" s="10">
        <f t="shared" ref="L68:L131" si="5">K68-J68</f>
        <v>0.16319444444444445</v>
      </c>
      <c r="M68" s="12">
        <f t="shared" si="4"/>
        <v>3.916666666666667</v>
      </c>
      <c r="N68" s="12">
        <f>Table35[[#This Row],[Trip Hours]]*Table35[[#This Row],['#Angler]]</f>
        <v>7.8333333333333339</v>
      </c>
      <c r="O68" t="s">
        <v>25</v>
      </c>
      <c r="P68" t="s">
        <v>37</v>
      </c>
      <c r="Q68" t="s">
        <v>241</v>
      </c>
      <c r="R68" s="11">
        <v>0</v>
      </c>
      <c r="S68">
        <v>4</v>
      </c>
      <c r="T68">
        <v>0</v>
      </c>
      <c r="U68" s="11">
        <v>0</v>
      </c>
      <c r="V68">
        <v>0</v>
      </c>
      <c r="W68">
        <v>0</v>
      </c>
      <c r="X68" s="11">
        <f t="shared" si="3"/>
        <v>0</v>
      </c>
      <c r="Y68">
        <f t="shared" si="3"/>
        <v>4</v>
      </c>
      <c r="Z68">
        <f t="shared" si="3"/>
        <v>0</v>
      </c>
      <c r="AA68" s="11"/>
    </row>
    <row r="69" spans="1:28" x14ac:dyDescent="0.3">
      <c r="A69" s="7">
        <v>45534</v>
      </c>
      <c r="B69">
        <v>2</v>
      </c>
      <c r="C69" t="s">
        <v>236</v>
      </c>
      <c r="D69" t="s">
        <v>26</v>
      </c>
      <c r="E69">
        <v>3</v>
      </c>
      <c r="F69">
        <v>1</v>
      </c>
      <c r="G69">
        <v>1</v>
      </c>
      <c r="H69" t="s">
        <v>35</v>
      </c>
      <c r="I69">
        <v>3</v>
      </c>
      <c r="J69" s="10">
        <v>0.25</v>
      </c>
      <c r="K69" s="10">
        <v>0.4375</v>
      </c>
      <c r="L69" s="10">
        <f t="shared" si="5"/>
        <v>0.1875</v>
      </c>
      <c r="M69" s="12">
        <f t="shared" si="4"/>
        <v>4.5</v>
      </c>
      <c r="N69" s="12">
        <f>Table35[[#This Row],[Trip Hours]]*Table35[[#This Row],['#Angler]]</f>
        <v>13.5</v>
      </c>
      <c r="O69" t="s">
        <v>25</v>
      </c>
      <c r="P69" t="s">
        <v>263</v>
      </c>
      <c r="Q69" t="s">
        <v>247</v>
      </c>
      <c r="R69" s="11">
        <v>0</v>
      </c>
      <c r="S69">
        <v>6</v>
      </c>
      <c r="T69">
        <v>0</v>
      </c>
      <c r="U69" s="11">
        <v>0</v>
      </c>
      <c r="V69">
        <v>0</v>
      </c>
      <c r="W69">
        <v>0</v>
      </c>
      <c r="X69" s="11">
        <f t="shared" si="3"/>
        <v>0</v>
      </c>
      <c r="Y69">
        <f t="shared" si="3"/>
        <v>6</v>
      </c>
      <c r="Z69">
        <f t="shared" si="3"/>
        <v>0</v>
      </c>
      <c r="AA69" s="11"/>
    </row>
    <row r="70" spans="1:28" x14ac:dyDescent="0.3">
      <c r="A70" s="7">
        <v>45534</v>
      </c>
      <c r="B70">
        <v>2</v>
      </c>
      <c r="C70" t="s">
        <v>236</v>
      </c>
      <c r="D70" t="s">
        <v>26</v>
      </c>
      <c r="E70">
        <v>4</v>
      </c>
      <c r="F70">
        <v>1</v>
      </c>
      <c r="G70">
        <v>1</v>
      </c>
      <c r="H70" t="s">
        <v>35</v>
      </c>
      <c r="I70">
        <v>2</v>
      </c>
      <c r="J70" s="10">
        <v>0.25</v>
      </c>
      <c r="K70" s="10">
        <v>0.4548611111111111</v>
      </c>
      <c r="L70" s="10">
        <f t="shared" si="5"/>
        <v>0.2048611111111111</v>
      </c>
      <c r="M70" s="12">
        <f t="shared" si="4"/>
        <v>4.9166666666666661</v>
      </c>
      <c r="N70" s="12">
        <f>Table35[[#This Row],[Trip Hours]]*Table35[[#This Row],['#Angler]]</f>
        <v>9.8333333333333321</v>
      </c>
      <c r="O70" t="s">
        <v>25</v>
      </c>
      <c r="P70" t="s">
        <v>37</v>
      </c>
      <c r="Q70" t="s">
        <v>241</v>
      </c>
      <c r="R70" s="11">
        <v>0</v>
      </c>
      <c r="S70">
        <v>4</v>
      </c>
      <c r="T70">
        <v>0</v>
      </c>
      <c r="U70" s="11">
        <v>1</v>
      </c>
      <c r="V70">
        <v>2</v>
      </c>
      <c r="W70">
        <v>0</v>
      </c>
      <c r="X70" s="11">
        <f t="shared" si="3"/>
        <v>1</v>
      </c>
      <c r="Y70">
        <f t="shared" si="3"/>
        <v>6</v>
      </c>
      <c r="Z70">
        <f t="shared" si="3"/>
        <v>0</v>
      </c>
      <c r="AA70" s="11"/>
      <c r="AB70" t="s">
        <v>264</v>
      </c>
    </row>
    <row r="71" spans="1:28" x14ac:dyDescent="0.3">
      <c r="A71" s="7">
        <v>45534</v>
      </c>
      <c r="B71">
        <v>2</v>
      </c>
      <c r="C71" t="s">
        <v>236</v>
      </c>
      <c r="D71" t="s">
        <v>26</v>
      </c>
      <c r="E71">
        <v>5</v>
      </c>
      <c r="F71">
        <v>1</v>
      </c>
      <c r="G71">
        <v>1</v>
      </c>
      <c r="H71" t="s">
        <v>35</v>
      </c>
      <c r="I71">
        <v>2</v>
      </c>
      <c r="J71" s="10">
        <v>0.29166666666666669</v>
      </c>
      <c r="K71" s="10">
        <v>0.4548611111111111</v>
      </c>
      <c r="L71" s="10">
        <f t="shared" si="5"/>
        <v>0.16319444444444442</v>
      </c>
      <c r="M71" s="12">
        <f t="shared" si="4"/>
        <v>3.9166666666666661</v>
      </c>
      <c r="N71" s="12">
        <f>Table35[[#This Row],[Trip Hours]]*Table35[[#This Row],['#Angler]]</f>
        <v>7.8333333333333321</v>
      </c>
      <c r="O71" t="s">
        <v>25</v>
      </c>
      <c r="P71" t="s">
        <v>37</v>
      </c>
      <c r="Q71" t="s">
        <v>247</v>
      </c>
      <c r="R71" s="11">
        <v>0</v>
      </c>
      <c r="S71">
        <v>0</v>
      </c>
      <c r="T71">
        <v>0</v>
      </c>
      <c r="U71" s="11">
        <v>0</v>
      </c>
      <c r="V71">
        <v>0</v>
      </c>
      <c r="W71">
        <v>0</v>
      </c>
      <c r="X71" s="11">
        <f t="shared" si="3"/>
        <v>0</v>
      </c>
      <c r="Y71">
        <f t="shared" si="3"/>
        <v>0</v>
      </c>
      <c r="Z71">
        <f t="shared" si="3"/>
        <v>0</v>
      </c>
      <c r="AA71" s="11"/>
    </row>
    <row r="72" spans="1:28" x14ac:dyDescent="0.3">
      <c r="A72" s="7">
        <v>45534</v>
      </c>
      <c r="B72">
        <v>2</v>
      </c>
      <c r="C72" t="s">
        <v>236</v>
      </c>
      <c r="D72" t="s">
        <v>26</v>
      </c>
      <c r="E72">
        <v>6</v>
      </c>
      <c r="F72">
        <v>1</v>
      </c>
      <c r="G72">
        <v>1</v>
      </c>
      <c r="H72" t="s">
        <v>35</v>
      </c>
      <c r="I72">
        <v>2</v>
      </c>
      <c r="J72" s="10">
        <v>0.23958333333333334</v>
      </c>
      <c r="K72" s="10">
        <v>0.46527777777777773</v>
      </c>
      <c r="L72" s="10">
        <f t="shared" si="5"/>
        <v>0.22569444444444439</v>
      </c>
      <c r="M72" s="12">
        <f t="shared" si="4"/>
        <v>5.4166666666666652</v>
      </c>
      <c r="N72" s="12">
        <f>Table35[[#This Row],[Trip Hours]]*Table35[[#This Row],['#Angler]]</f>
        <v>10.83333333333333</v>
      </c>
      <c r="O72" t="s">
        <v>25</v>
      </c>
      <c r="P72" t="s">
        <v>265</v>
      </c>
      <c r="Q72" t="s">
        <v>247</v>
      </c>
      <c r="R72" s="11">
        <v>0</v>
      </c>
      <c r="S72">
        <v>2</v>
      </c>
      <c r="T72">
        <v>0</v>
      </c>
      <c r="U72" s="11">
        <v>0</v>
      </c>
      <c r="V72">
        <v>0</v>
      </c>
      <c r="W72">
        <v>0</v>
      </c>
      <c r="X72" s="11">
        <f t="shared" si="3"/>
        <v>0</v>
      </c>
      <c r="Y72">
        <f t="shared" si="3"/>
        <v>2</v>
      </c>
      <c r="Z72">
        <f t="shared" si="3"/>
        <v>0</v>
      </c>
      <c r="AA72" s="11"/>
    </row>
    <row r="73" spans="1:28" x14ac:dyDescent="0.3">
      <c r="A73" s="7">
        <v>45534</v>
      </c>
      <c r="B73">
        <v>2</v>
      </c>
      <c r="C73" t="s">
        <v>236</v>
      </c>
      <c r="D73" t="s">
        <v>26</v>
      </c>
      <c r="E73">
        <v>7</v>
      </c>
      <c r="F73">
        <v>1</v>
      </c>
      <c r="G73">
        <v>1</v>
      </c>
      <c r="H73" t="s">
        <v>35</v>
      </c>
      <c r="I73">
        <v>2</v>
      </c>
      <c r="J73" s="10">
        <v>0.26041666666666669</v>
      </c>
      <c r="K73" s="10">
        <v>0.47916666666666669</v>
      </c>
      <c r="L73" s="10">
        <f t="shared" si="5"/>
        <v>0.21875</v>
      </c>
      <c r="M73" s="12">
        <f t="shared" si="4"/>
        <v>5.25</v>
      </c>
      <c r="N73" s="12">
        <f>Table35[[#This Row],[Trip Hours]]*Table35[[#This Row],['#Angler]]</f>
        <v>10.5</v>
      </c>
      <c r="O73" t="s">
        <v>25</v>
      </c>
      <c r="P73" t="s">
        <v>266</v>
      </c>
      <c r="Q73" t="s">
        <v>247</v>
      </c>
      <c r="R73" s="11">
        <v>0</v>
      </c>
      <c r="S73">
        <v>0</v>
      </c>
      <c r="T73">
        <v>0</v>
      </c>
      <c r="U73" s="11">
        <v>0</v>
      </c>
      <c r="V73">
        <v>0</v>
      </c>
      <c r="W73">
        <v>0</v>
      </c>
      <c r="X73" s="11">
        <f t="shared" si="3"/>
        <v>0</v>
      </c>
      <c r="Y73">
        <f t="shared" si="3"/>
        <v>0</v>
      </c>
      <c r="Z73">
        <f t="shared" si="3"/>
        <v>0</v>
      </c>
      <c r="AA73" s="11"/>
    </row>
    <row r="74" spans="1:28" x14ac:dyDescent="0.3">
      <c r="A74" s="7">
        <v>45534</v>
      </c>
      <c r="B74">
        <v>2</v>
      </c>
      <c r="C74" t="s">
        <v>236</v>
      </c>
      <c r="D74" t="s">
        <v>42</v>
      </c>
      <c r="E74">
        <v>8</v>
      </c>
      <c r="F74">
        <v>2</v>
      </c>
      <c r="G74">
        <v>5</v>
      </c>
      <c r="H74" t="s">
        <v>27</v>
      </c>
      <c r="I74">
        <v>2</v>
      </c>
      <c r="J74" s="10">
        <v>0.52083333333333337</v>
      </c>
      <c r="K74" s="10">
        <v>0.6875</v>
      </c>
      <c r="L74" s="10">
        <f t="shared" si="5"/>
        <v>0.16666666666666663</v>
      </c>
      <c r="M74" s="12">
        <f t="shared" si="4"/>
        <v>3.9999999999999991</v>
      </c>
      <c r="N74" s="12">
        <f>Table35[[#This Row],[Trip Hours]]*Table35[[#This Row],['#Angler]]</f>
        <v>7.9999999999999982</v>
      </c>
      <c r="O74" t="s">
        <v>25</v>
      </c>
      <c r="P74" t="s">
        <v>267</v>
      </c>
      <c r="Q74" t="s">
        <v>244</v>
      </c>
      <c r="R74" s="11">
        <v>0</v>
      </c>
      <c r="S74">
        <v>0</v>
      </c>
      <c r="T74">
        <v>0</v>
      </c>
      <c r="U74" s="11">
        <v>0</v>
      </c>
      <c r="V74">
        <v>0</v>
      </c>
      <c r="W74">
        <v>0</v>
      </c>
      <c r="X74" s="11">
        <f t="shared" si="3"/>
        <v>0</v>
      </c>
      <c r="Y74">
        <f t="shared" si="3"/>
        <v>0</v>
      </c>
      <c r="Z74">
        <f t="shared" si="3"/>
        <v>0</v>
      </c>
      <c r="AA74" s="11"/>
    </row>
    <row r="75" spans="1:28" x14ac:dyDescent="0.3">
      <c r="A75" s="7">
        <v>45534</v>
      </c>
      <c r="B75">
        <v>2</v>
      </c>
      <c r="C75" t="s">
        <v>236</v>
      </c>
      <c r="D75" t="s">
        <v>42</v>
      </c>
      <c r="E75">
        <v>9</v>
      </c>
      <c r="F75">
        <v>1</v>
      </c>
      <c r="G75">
        <v>4</v>
      </c>
      <c r="H75" t="s">
        <v>27</v>
      </c>
      <c r="I75">
        <v>1</v>
      </c>
      <c r="J75" s="10">
        <v>0.78125</v>
      </c>
      <c r="K75" s="10">
        <v>0.78819444444444453</v>
      </c>
      <c r="L75" s="10">
        <f t="shared" si="5"/>
        <v>6.9444444444445308E-3</v>
      </c>
      <c r="M75" s="12">
        <f t="shared" si="4"/>
        <v>0.16666666666666874</v>
      </c>
      <c r="N75" s="12">
        <f>Table35[[#This Row],[Trip Hours]]*Table35[[#This Row],['#Angler]]</f>
        <v>0.16666666666666874</v>
      </c>
      <c r="O75" t="s">
        <v>25</v>
      </c>
      <c r="P75" t="s">
        <v>29</v>
      </c>
      <c r="Q75" t="s">
        <v>241</v>
      </c>
      <c r="R75" s="11">
        <v>0</v>
      </c>
      <c r="S75">
        <v>0</v>
      </c>
      <c r="T75">
        <v>0</v>
      </c>
      <c r="U75" s="11">
        <v>0</v>
      </c>
      <c r="V75">
        <v>0</v>
      </c>
      <c r="W75">
        <v>0</v>
      </c>
      <c r="X75" s="11">
        <f t="shared" si="3"/>
        <v>0</v>
      </c>
      <c r="Y75">
        <f t="shared" si="3"/>
        <v>0</v>
      </c>
      <c r="Z75">
        <f t="shared" si="3"/>
        <v>0</v>
      </c>
      <c r="AA75" s="11"/>
    </row>
    <row r="76" spans="1:28" x14ac:dyDescent="0.3">
      <c r="A76" s="7">
        <v>45535</v>
      </c>
      <c r="B76">
        <v>2</v>
      </c>
      <c r="C76" t="s">
        <v>250</v>
      </c>
      <c r="D76" t="s">
        <v>26</v>
      </c>
      <c r="E76">
        <v>1</v>
      </c>
      <c r="F76">
        <v>2</v>
      </c>
      <c r="G76">
        <v>5</v>
      </c>
      <c r="H76" t="s">
        <v>27</v>
      </c>
      <c r="I76">
        <v>1</v>
      </c>
      <c r="J76" s="10">
        <v>0.26041666666666669</v>
      </c>
      <c r="K76" s="10">
        <v>0.27430555555555552</v>
      </c>
      <c r="L76" s="10">
        <f t="shared" si="5"/>
        <v>1.388888888888884E-2</v>
      </c>
      <c r="M76" s="12">
        <f t="shared" si="4"/>
        <v>0.33333333333333215</v>
      </c>
      <c r="N76" s="12">
        <f>Table35[[#This Row],[Trip Hours]]*Table35[[#This Row],['#Angler]]</f>
        <v>0.33333333333333215</v>
      </c>
      <c r="O76" t="s">
        <v>28</v>
      </c>
      <c r="P76" t="s">
        <v>56</v>
      </c>
      <c r="Q76" t="s">
        <v>237</v>
      </c>
      <c r="R76" s="11">
        <v>0</v>
      </c>
      <c r="S76">
        <v>0</v>
      </c>
      <c r="T76">
        <v>0</v>
      </c>
      <c r="U76" s="11">
        <v>0</v>
      </c>
      <c r="V76">
        <v>0</v>
      </c>
      <c r="W76">
        <v>0</v>
      </c>
      <c r="X76" s="11">
        <f t="shared" si="3"/>
        <v>0</v>
      </c>
      <c r="Y76">
        <f t="shared" si="3"/>
        <v>0</v>
      </c>
      <c r="Z76">
        <f t="shared" si="3"/>
        <v>0</v>
      </c>
      <c r="AA76" s="11"/>
    </row>
    <row r="77" spans="1:28" x14ac:dyDescent="0.3">
      <c r="A77" s="7">
        <v>45535</v>
      </c>
      <c r="B77">
        <v>2</v>
      </c>
      <c r="C77" t="s">
        <v>250</v>
      </c>
      <c r="D77" t="s">
        <v>26</v>
      </c>
      <c r="E77">
        <v>2</v>
      </c>
      <c r="F77">
        <v>2</v>
      </c>
      <c r="G77">
        <v>4</v>
      </c>
      <c r="H77" t="s">
        <v>27</v>
      </c>
      <c r="I77">
        <v>4</v>
      </c>
      <c r="J77" s="10">
        <v>0.25694444444444448</v>
      </c>
      <c r="K77" s="10">
        <v>0.28472222222222221</v>
      </c>
      <c r="L77" s="10">
        <f t="shared" si="5"/>
        <v>2.7777777777777735E-2</v>
      </c>
      <c r="M77" s="12">
        <f t="shared" si="4"/>
        <v>0.66666666666666563</v>
      </c>
      <c r="N77" s="12">
        <f>Table35[[#This Row],[Trip Hours]]*Table35[[#This Row],['#Angler]]</f>
        <v>2.6666666666666625</v>
      </c>
      <c r="O77" t="s">
        <v>28</v>
      </c>
      <c r="P77" t="s">
        <v>245</v>
      </c>
      <c r="Q77" t="s">
        <v>241</v>
      </c>
      <c r="R77" s="11">
        <v>0</v>
      </c>
      <c r="S77">
        <v>0</v>
      </c>
      <c r="T77">
        <v>0</v>
      </c>
      <c r="U77" s="11">
        <v>0</v>
      </c>
      <c r="V77">
        <v>0</v>
      </c>
      <c r="W77">
        <v>0</v>
      </c>
      <c r="X77" s="11">
        <f t="shared" si="3"/>
        <v>0</v>
      </c>
      <c r="Y77">
        <f t="shared" si="3"/>
        <v>0</v>
      </c>
      <c r="Z77">
        <f t="shared" si="3"/>
        <v>0</v>
      </c>
      <c r="AA77" s="11"/>
    </row>
    <row r="78" spans="1:28" x14ac:dyDescent="0.3">
      <c r="A78" s="7">
        <v>45535</v>
      </c>
      <c r="B78">
        <v>2</v>
      </c>
      <c r="C78" t="s">
        <v>250</v>
      </c>
      <c r="D78" t="s">
        <v>26</v>
      </c>
      <c r="E78">
        <v>3</v>
      </c>
      <c r="F78">
        <v>2</v>
      </c>
      <c r="G78">
        <v>4</v>
      </c>
      <c r="H78" t="s">
        <v>27</v>
      </c>
      <c r="I78">
        <v>3</v>
      </c>
      <c r="J78" s="10">
        <v>0.23958333333333334</v>
      </c>
      <c r="K78" s="10">
        <v>0.3263888888888889</v>
      </c>
      <c r="L78" s="10">
        <f t="shared" si="5"/>
        <v>8.6805555555555552E-2</v>
      </c>
      <c r="M78" s="12">
        <f t="shared" si="4"/>
        <v>2.083333333333333</v>
      </c>
      <c r="N78" s="12">
        <f>Table35[[#This Row],[Trip Hours]]*Table35[[#This Row],['#Angler]]</f>
        <v>6.2499999999999991</v>
      </c>
      <c r="O78" t="s">
        <v>28</v>
      </c>
      <c r="P78" t="s">
        <v>56</v>
      </c>
      <c r="Q78" t="s">
        <v>241</v>
      </c>
      <c r="R78" s="11">
        <v>0</v>
      </c>
      <c r="S78">
        <v>0</v>
      </c>
      <c r="T78">
        <v>0</v>
      </c>
      <c r="U78" s="11">
        <v>1</v>
      </c>
      <c r="V78">
        <v>0</v>
      </c>
      <c r="W78">
        <v>0</v>
      </c>
      <c r="X78" s="11">
        <f t="shared" si="3"/>
        <v>1</v>
      </c>
      <c r="Y78">
        <f t="shared" si="3"/>
        <v>0</v>
      </c>
      <c r="Z78">
        <f t="shared" si="3"/>
        <v>0</v>
      </c>
      <c r="AA78" s="11"/>
      <c r="AB78" t="s">
        <v>175</v>
      </c>
    </row>
    <row r="79" spans="1:28" x14ac:dyDescent="0.3">
      <c r="A79" s="7">
        <v>45535</v>
      </c>
      <c r="B79">
        <v>2</v>
      </c>
      <c r="C79" t="s">
        <v>250</v>
      </c>
      <c r="D79" t="s">
        <v>26</v>
      </c>
      <c r="E79">
        <v>4</v>
      </c>
      <c r="F79">
        <v>2</v>
      </c>
      <c r="G79">
        <v>4</v>
      </c>
      <c r="H79" t="s">
        <v>27</v>
      </c>
      <c r="I79">
        <v>1</v>
      </c>
      <c r="J79" s="10">
        <v>0.2673611111111111</v>
      </c>
      <c r="K79" s="10">
        <v>0.3263888888888889</v>
      </c>
      <c r="L79" s="10">
        <f t="shared" si="5"/>
        <v>5.902777777777779E-2</v>
      </c>
      <c r="M79" s="12">
        <f t="shared" si="4"/>
        <v>1.416666666666667</v>
      </c>
      <c r="N79" s="12">
        <f>Table35[[#This Row],[Trip Hours]]*Table35[[#This Row],['#Angler]]</f>
        <v>1.416666666666667</v>
      </c>
      <c r="O79" t="s">
        <v>28</v>
      </c>
      <c r="P79" t="s">
        <v>56</v>
      </c>
      <c r="Q79" t="s">
        <v>241</v>
      </c>
      <c r="R79" s="11">
        <v>0</v>
      </c>
      <c r="S79">
        <v>0</v>
      </c>
      <c r="T79">
        <v>0</v>
      </c>
      <c r="U79" s="11">
        <v>0</v>
      </c>
      <c r="V79">
        <v>0</v>
      </c>
      <c r="W79">
        <v>0</v>
      </c>
      <c r="X79" s="11">
        <f t="shared" si="3"/>
        <v>0</v>
      </c>
      <c r="Y79">
        <f t="shared" si="3"/>
        <v>0</v>
      </c>
      <c r="Z79">
        <f t="shared" si="3"/>
        <v>0</v>
      </c>
      <c r="AA79" s="11"/>
    </row>
    <row r="80" spans="1:28" x14ac:dyDescent="0.3">
      <c r="A80" s="7">
        <v>45535</v>
      </c>
      <c r="B80">
        <v>2</v>
      </c>
      <c r="C80" t="s">
        <v>250</v>
      </c>
      <c r="D80" t="s">
        <v>26</v>
      </c>
      <c r="E80">
        <v>5</v>
      </c>
      <c r="F80">
        <v>2</v>
      </c>
      <c r="G80">
        <v>4</v>
      </c>
      <c r="H80" t="s">
        <v>27</v>
      </c>
      <c r="I80">
        <v>1</v>
      </c>
      <c r="J80" s="10">
        <v>0.25</v>
      </c>
      <c r="K80" s="10">
        <v>0.3263888888888889</v>
      </c>
      <c r="L80" s="10">
        <f t="shared" si="5"/>
        <v>7.6388888888888895E-2</v>
      </c>
      <c r="M80" s="12">
        <f t="shared" si="4"/>
        <v>1.8333333333333335</v>
      </c>
      <c r="N80" s="12">
        <f>Table35[[#This Row],[Trip Hours]]*Table35[[#This Row],['#Angler]]</f>
        <v>1.8333333333333335</v>
      </c>
      <c r="O80" t="s">
        <v>28</v>
      </c>
      <c r="P80" t="s">
        <v>56</v>
      </c>
      <c r="Q80" t="s">
        <v>241</v>
      </c>
      <c r="R80" s="11">
        <v>0</v>
      </c>
      <c r="S80">
        <v>0</v>
      </c>
      <c r="T80">
        <v>0</v>
      </c>
      <c r="U80" s="11">
        <v>0</v>
      </c>
      <c r="V80">
        <v>0</v>
      </c>
      <c r="W80">
        <v>0</v>
      </c>
      <c r="X80" s="11">
        <f t="shared" si="3"/>
        <v>0</v>
      </c>
      <c r="Y80">
        <f t="shared" si="3"/>
        <v>0</v>
      </c>
      <c r="Z80">
        <f t="shared" si="3"/>
        <v>0</v>
      </c>
      <c r="AA80" s="11"/>
    </row>
    <row r="81" spans="1:28" x14ac:dyDescent="0.3">
      <c r="A81" s="7">
        <v>45535</v>
      </c>
      <c r="B81">
        <v>2</v>
      </c>
      <c r="C81" t="s">
        <v>250</v>
      </c>
      <c r="D81" t="s">
        <v>26</v>
      </c>
      <c r="E81">
        <v>6</v>
      </c>
      <c r="F81">
        <v>2</v>
      </c>
      <c r="G81">
        <v>4</v>
      </c>
      <c r="H81" t="s">
        <v>27</v>
      </c>
      <c r="I81">
        <v>2</v>
      </c>
      <c r="J81" s="10">
        <v>0.29166666666666669</v>
      </c>
      <c r="K81" s="10">
        <v>0.3263888888888889</v>
      </c>
      <c r="L81" s="10">
        <f t="shared" si="5"/>
        <v>3.472222222222221E-2</v>
      </c>
      <c r="M81" s="12">
        <f t="shared" si="4"/>
        <v>0.83333333333333304</v>
      </c>
      <c r="N81" s="12">
        <f>Table35[[#This Row],[Trip Hours]]*Table35[[#This Row],['#Angler]]</f>
        <v>1.6666666666666661</v>
      </c>
      <c r="O81" t="s">
        <v>28</v>
      </c>
      <c r="P81" t="s">
        <v>56</v>
      </c>
      <c r="Q81" t="s">
        <v>237</v>
      </c>
      <c r="R81" s="11">
        <v>0</v>
      </c>
      <c r="S81">
        <v>0</v>
      </c>
      <c r="T81">
        <v>0</v>
      </c>
      <c r="U81" s="11">
        <v>0</v>
      </c>
      <c r="V81">
        <v>0</v>
      </c>
      <c r="W81">
        <v>0</v>
      </c>
      <c r="X81" s="11">
        <f t="shared" si="3"/>
        <v>0</v>
      </c>
      <c r="Y81">
        <f t="shared" si="3"/>
        <v>0</v>
      </c>
      <c r="Z81">
        <f t="shared" si="3"/>
        <v>0</v>
      </c>
      <c r="AA81" s="11"/>
    </row>
    <row r="82" spans="1:28" x14ac:dyDescent="0.3">
      <c r="A82" s="7">
        <v>45535</v>
      </c>
      <c r="B82">
        <v>2</v>
      </c>
      <c r="C82" t="s">
        <v>250</v>
      </c>
      <c r="D82" t="s">
        <v>26</v>
      </c>
      <c r="E82">
        <v>7</v>
      </c>
      <c r="F82">
        <v>2</v>
      </c>
      <c r="G82">
        <v>2</v>
      </c>
      <c r="H82" t="s">
        <v>27</v>
      </c>
      <c r="I82">
        <v>1</v>
      </c>
      <c r="J82" s="10">
        <v>0.22916666666666666</v>
      </c>
      <c r="K82" s="10">
        <v>0.35416666666666669</v>
      </c>
      <c r="L82" s="10">
        <f t="shared" si="5"/>
        <v>0.12500000000000003</v>
      </c>
      <c r="M82" s="12">
        <f t="shared" si="4"/>
        <v>3.0000000000000009</v>
      </c>
      <c r="N82" s="12">
        <f>Table35[[#This Row],[Trip Hours]]*Table35[[#This Row],['#Angler]]</f>
        <v>3.0000000000000009</v>
      </c>
      <c r="O82" t="s">
        <v>28</v>
      </c>
      <c r="P82" t="s">
        <v>56</v>
      </c>
      <c r="Q82" t="s">
        <v>244</v>
      </c>
      <c r="R82" s="11">
        <v>0</v>
      </c>
      <c r="S82">
        <v>0</v>
      </c>
      <c r="T82">
        <v>0</v>
      </c>
      <c r="U82" s="11">
        <v>0</v>
      </c>
      <c r="V82">
        <v>0</v>
      </c>
      <c r="W82">
        <v>0</v>
      </c>
      <c r="X82" s="11">
        <f t="shared" si="3"/>
        <v>0</v>
      </c>
      <c r="Y82">
        <f t="shared" si="3"/>
        <v>0</v>
      </c>
      <c r="Z82">
        <f t="shared" si="3"/>
        <v>0</v>
      </c>
      <c r="AA82" s="11"/>
    </row>
    <row r="83" spans="1:28" x14ac:dyDescent="0.3">
      <c r="A83" s="7">
        <v>45535</v>
      </c>
      <c r="B83">
        <v>2</v>
      </c>
      <c r="C83" t="s">
        <v>250</v>
      </c>
      <c r="D83" t="s">
        <v>26</v>
      </c>
      <c r="E83">
        <v>8</v>
      </c>
      <c r="F83">
        <v>2</v>
      </c>
      <c r="G83">
        <v>2</v>
      </c>
      <c r="H83" t="s">
        <v>27</v>
      </c>
      <c r="I83">
        <v>1</v>
      </c>
      <c r="J83" s="10">
        <v>0.29166666666666669</v>
      </c>
      <c r="K83" s="10">
        <v>0.35416666666666669</v>
      </c>
      <c r="L83" s="10">
        <f t="shared" si="5"/>
        <v>6.25E-2</v>
      </c>
      <c r="M83" s="12">
        <f t="shared" si="4"/>
        <v>1.5</v>
      </c>
      <c r="N83" s="12">
        <f>Table35[[#This Row],[Trip Hours]]*Table35[[#This Row],['#Angler]]</f>
        <v>1.5</v>
      </c>
      <c r="O83" t="s">
        <v>28</v>
      </c>
      <c r="P83" t="s">
        <v>56</v>
      </c>
      <c r="Q83" t="s">
        <v>244</v>
      </c>
      <c r="R83" s="11">
        <v>0</v>
      </c>
      <c r="S83">
        <v>0</v>
      </c>
      <c r="T83">
        <v>0</v>
      </c>
      <c r="U83" s="11">
        <v>0</v>
      </c>
      <c r="V83">
        <v>0</v>
      </c>
      <c r="W83">
        <v>0</v>
      </c>
      <c r="X83" s="11">
        <f t="shared" ref="X83:Z146" si="6">R83+U83</f>
        <v>0</v>
      </c>
      <c r="Y83">
        <f t="shared" si="6"/>
        <v>0</v>
      </c>
      <c r="Z83">
        <f t="shared" si="6"/>
        <v>0</v>
      </c>
      <c r="AA83" s="11"/>
    </row>
    <row r="84" spans="1:28" x14ac:dyDescent="0.3">
      <c r="A84" s="7">
        <v>45535</v>
      </c>
      <c r="B84">
        <v>2</v>
      </c>
      <c r="C84" t="s">
        <v>250</v>
      </c>
      <c r="D84" t="s">
        <v>26</v>
      </c>
      <c r="E84">
        <v>9</v>
      </c>
      <c r="F84">
        <v>2</v>
      </c>
      <c r="G84">
        <v>2</v>
      </c>
      <c r="H84" t="s">
        <v>27</v>
      </c>
      <c r="I84">
        <v>1</v>
      </c>
      <c r="J84" s="10">
        <v>0.33333333333333331</v>
      </c>
      <c r="K84" s="10">
        <v>0.35416666666666669</v>
      </c>
      <c r="L84" s="10">
        <f t="shared" si="5"/>
        <v>2.083333333333337E-2</v>
      </c>
      <c r="M84" s="12">
        <f t="shared" si="4"/>
        <v>0.50000000000000089</v>
      </c>
      <c r="N84" s="12">
        <f>Table35[[#This Row],[Trip Hours]]*Table35[[#This Row],['#Angler]]</f>
        <v>0.50000000000000089</v>
      </c>
      <c r="O84" t="s">
        <v>28</v>
      </c>
      <c r="P84" t="s">
        <v>56</v>
      </c>
      <c r="Q84" t="s">
        <v>244</v>
      </c>
      <c r="R84" s="11">
        <v>0</v>
      </c>
      <c r="S84">
        <v>0</v>
      </c>
      <c r="T84">
        <v>0</v>
      </c>
      <c r="U84" s="11">
        <v>0</v>
      </c>
      <c r="V84">
        <v>0</v>
      </c>
      <c r="W84">
        <v>0</v>
      </c>
      <c r="X84" s="11">
        <f t="shared" si="6"/>
        <v>0</v>
      </c>
      <c r="Y84">
        <f t="shared" si="6"/>
        <v>0</v>
      </c>
      <c r="Z84">
        <f t="shared" si="6"/>
        <v>0</v>
      </c>
      <c r="AA84" s="11"/>
    </row>
    <row r="85" spans="1:28" x14ac:dyDescent="0.3">
      <c r="A85" s="7">
        <v>45535</v>
      </c>
      <c r="B85">
        <v>2</v>
      </c>
      <c r="C85" t="s">
        <v>250</v>
      </c>
      <c r="D85" t="s">
        <v>26</v>
      </c>
      <c r="E85">
        <v>10</v>
      </c>
      <c r="F85">
        <v>2</v>
      </c>
      <c r="G85">
        <v>2</v>
      </c>
      <c r="H85" t="s">
        <v>27</v>
      </c>
      <c r="I85">
        <v>1</v>
      </c>
      <c r="J85" s="10">
        <v>0.34027777777777773</v>
      </c>
      <c r="K85" s="10">
        <v>0.35486111111111113</v>
      </c>
      <c r="L85" s="10">
        <f t="shared" si="5"/>
        <v>1.4583333333333393E-2</v>
      </c>
      <c r="M85" s="12">
        <f t="shared" si="4"/>
        <v>0.35000000000000142</v>
      </c>
      <c r="N85" s="12">
        <f>Table35[[#This Row],[Trip Hours]]*Table35[[#This Row],['#Angler]]</f>
        <v>0.35000000000000142</v>
      </c>
      <c r="O85" t="s">
        <v>28</v>
      </c>
      <c r="P85" t="s">
        <v>56</v>
      </c>
      <c r="Q85" t="s">
        <v>238</v>
      </c>
      <c r="R85" s="11">
        <v>0</v>
      </c>
      <c r="S85">
        <v>0</v>
      </c>
      <c r="T85">
        <v>0</v>
      </c>
      <c r="U85" s="11">
        <v>0</v>
      </c>
      <c r="V85">
        <v>0</v>
      </c>
      <c r="W85">
        <v>0</v>
      </c>
      <c r="X85" s="11">
        <f t="shared" si="6"/>
        <v>0</v>
      </c>
      <c r="Y85">
        <f t="shared" si="6"/>
        <v>0</v>
      </c>
      <c r="Z85">
        <f t="shared" si="6"/>
        <v>0</v>
      </c>
      <c r="AA85" s="11"/>
    </row>
    <row r="86" spans="1:28" x14ac:dyDescent="0.3">
      <c r="A86" s="7">
        <v>45535</v>
      </c>
      <c r="B86">
        <v>2</v>
      </c>
      <c r="C86" t="s">
        <v>250</v>
      </c>
      <c r="D86" t="s">
        <v>26</v>
      </c>
      <c r="E86">
        <v>11</v>
      </c>
      <c r="F86">
        <v>2</v>
      </c>
      <c r="G86">
        <v>2</v>
      </c>
      <c r="H86" t="s">
        <v>27</v>
      </c>
      <c r="I86">
        <v>1</v>
      </c>
      <c r="J86" s="10">
        <v>0.3125</v>
      </c>
      <c r="K86" s="10">
        <v>0.35555555555555557</v>
      </c>
      <c r="L86" s="10">
        <f t="shared" si="5"/>
        <v>4.3055555555555569E-2</v>
      </c>
      <c r="M86" s="12">
        <f t="shared" si="4"/>
        <v>1.0333333333333337</v>
      </c>
      <c r="N86" s="12">
        <f>Table35[[#This Row],[Trip Hours]]*Table35[[#This Row],['#Angler]]</f>
        <v>1.0333333333333337</v>
      </c>
      <c r="O86" t="s">
        <v>28</v>
      </c>
      <c r="P86" t="s">
        <v>148</v>
      </c>
      <c r="Q86" t="s">
        <v>244</v>
      </c>
      <c r="R86" s="11">
        <v>0</v>
      </c>
      <c r="S86">
        <v>0</v>
      </c>
      <c r="T86">
        <v>0</v>
      </c>
      <c r="U86" s="11">
        <v>0</v>
      </c>
      <c r="V86">
        <v>0</v>
      </c>
      <c r="W86">
        <v>0</v>
      </c>
      <c r="X86" s="11">
        <f t="shared" si="6"/>
        <v>0</v>
      </c>
      <c r="Y86">
        <f t="shared" si="6"/>
        <v>0</v>
      </c>
      <c r="Z86">
        <f t="shared" si="6"/>
        <v>0</v>
      </c>
      <c r="AA86" s="11"/>
    </row>
    <row r="87" spans="1:28" x14ac:dyDescent="0.3">
      <c r="A87" s="7">
        <v>45535</v>
      </c>
      <c r="B87">
        <v>2</v>
      </c>
      <c r="C87" t="s">
        <v>250</v>
      </c>
      <c r="D87" t="s">
        <v>26</v>
      </c>
      <c r="E87">
        <v>12</v>
      </c>
      <c r="F87">
        <v>2</v>
      </c>
      <c r="G87">
        <v>2</v>
      </c>
      <c r="H87" t="s">
        <v>27</v>
      </c>
      <c r="I87">
        <v>3</v>
      </c>
      <c r="J87" s="10">
        <v>0.3125</v>
      </c>
      <c r="K87" s="10">
        <v>0.35555555555555557</v>
      </c>
      <c r="L87" s="10">
        <f t="shared" si="5"/>
        <v>4.3055555555555569E-2</v>
      </c>
      <c r="M87" s="12">
        <f t="shared" si="4"/>
        <v>1.0333333333333337</v>
      </c>
      <c r="N87" s="12">
        <f>Table35[[#This Row],[Trip Hours]]*Table35[[#This Row],['#Angler]]</f>
        <v>3.100000000000001</v>
      </c>
      <c r="O87" t="s">
        <v>28</v>
      </c>
      <c r="P87" t="s">
        <v>47</v>
      </c>
      <c r="Q87" t="s">
        <v>237</v>
      </c>
      <c r="R87" s="11">
        <v>0</v>
      </c>
      <c r="S87">
        <v>0</v>
      </c>
      <c r="T87">
        <v>0</v>
      </c>
      <c r="U87" s="11">
        <v>0</v>
      </c>
      <c r="V87">
        <v>0</v>
      </c>
      <c r="W87">
        <v>0</v>
      </c>
      <c r="X87" s="11">
        <f t="shared" si="6"/>
        <v>0</v>
      </c>
      <c r="Y87">
        <f t="shared" si="6"/>
        <v>0</v>
      </c>
      <c r="Z87">
        <f t="shared" si="6"/>
        <v>0</v>
      </c>
      <c r="AA87" s="11"/>
    </row>
    <row r="88" spans="1:28" x14ac:dyDescent="0.3">
      <c r="A88" s="7">
        <v>45535</v>
      </c>
      <c r="B88">
        <v>2</v>
      </c>
      <c r="C88" t="s">
        <v>250</v>
      </c>
      <c r="D88" t="s">
        <v>26</v>
      </c>
      <c r="E88">
        <v>13</v>
      </c>
      <c r="F88">
        <v>2</v>
      </c>
      <c r="G88">
        <v>2</v>
      </c>
      <c r="H88" t="s">
        <v>27</v>
      </c>
      <c r="I88">
        <v>2</v>
      </c>
      <c r="J88" s="10">
        <v>0.32291666666666669</v>
      </c>
      <c r="K88" s="10">
        <v>0.36458333333333331</v>
      </c>
      <c r="L88" s="10">
        <f t="shared" si="5"/>
        <v>4.166666666666663E-2</v>
      </c>
      <c r="M88" s="12">
        <f t="shared" si="4"/>
        <v>0.99999999999999911</v>
      </c>
      <c r="N88" s="12">
        <f>Table35[[#This Row],[Trip Hours]]*Table35[[#This Row],['#Angler]]</f>
        <v>1.9999999999999982</v>
      </c>
      <c r="O88" t="s">
        <v>28</v>
      </c>
      <c r="P88" t="s">
        <v>56</v>
      </c>
      <c r="Q88" t="s">
        <v>244</v>
      </c>
      <c r="R88" s="11">
        <v>0</v>
      </c>
      <c r="S88">
        <v>0</v>
      </c>
      <c r="T88">
        <v>0</v>
      </c>
      <c r="U88" s="11">
        <v>0</v>
      </c>
      <c r="V88">
        <v>0</v>
      </c>
      <c r="W88">
        <v>0</v>
      </c>
      <c r="X88" s="11">
        <f t="shared" si="6"/>
        <v>0</v>
      </c>
      <c r="Y88">
        <f t="shared" si="6"/>
        <v>0</v>
      </c>
      <c r="Z88">
        <f t="shared" si="6"/>
        <v>0</v>
      </c>
      <c r="AA88" s="11"/>
    </row>
    <row r="89" spans="1:28" x14ac:dyDescent="0.3">
      <c r="A89" s="7">
        <v>45535</v>
      </c>
      <c r="B89">
        <v>2</v>
      </c>
      <c r="C89" t="s">
        <v>250</v>
      </c>
      <c r="D89" t="s">
        <v>26</v>
      </c>
      <c r="E89">
        <v>14</v>
      </c>
      <c r="F89">
        <v>2</v>
      </c>
      <c r="G89">
        <v>2</v>
      </c>
      <c r="H89" t="s">
        <v>27</v>
      </c>
      <c r="I89">
        <v>1</v>
      </c>
      <c r="J89" s="10">
        <v>0.27083333333333331</v>
      </c>
      <c r="K89" s="10">
        <v>0.36458333333333331</v>
      </c>
      <c r="L89" s="10">
        <f t="shared" si="5"/>
        <v>9.375E-2</v>
      </c>
      <c r="M89" s="12">
        <f t="shared" si="4"/>
        <v>2.25</v>
      </c>
      <c r="N89" s="12">
        <f>Table35[[#This Row],[Trip Hours]]*Table35[[#This Row],['#Angler]]</f>
        <v>2.25</v>
      </c>
      <c r="O89" t="s">
        <v>28</v>
      </c>
      <c r="P89" t="s">
        <v>56</v>
      </c>
      <c r="Q89" t="s">
        <v>237</v>
      </c>
      <c r="R89" s="11">
        <v>1</v>
      </c>
      <c r="S89">
        <v>0</v>
      </c>
      <c r="T89">
        <v>0</v>
      </c>
      <c r="U89" s="11">
        <v>0</v>
      </c>
      <c r="V89">
        <v>0</v>
      </c>
      <c r="W89">
        <v>0</v>
      </c>
      <c r="X89" s="11">
        <f t="shared" si="6"/>
        <v>1</v>
      </c>
      <c r="Y89">
        <f t="shared" si="6"/>
        <v>0</v>
      </c>
      <c r="Z89">
        <f t="shared" si="6"/>
        <v>0</v>
      </c>
      <c r="AA89" s="11"/>
      <c r="AB89" t="s">
        <v>268</v>
      </c>
    </row>
    <row r="90" spans="1:28" x14ac:dyDescent="0.3">
      <c r="A90" s="7">
        <v>45535</v>
      </c>
      <c r="B90">
        <v>2</v>
      </c>
      <c r="C90" t="s">
        <v>250</v>
      </c>
      <c r="D90" t="s">
        <v>26</v>
      </c>
      <c r="E90">
        <v>15</v>
      </c>
      <c r="F90">
        <v>2</v>
      </c>
      <c r="G90">
        <v>2</v>
      </c>
      <c r="H90" t="s">
        <v>27</v>
      </c>
      <c r="I90">
        <v>2</v>
      </c>
      <c r="J90" s="10">
        <v>0.22569444444444445</v>
      </c>
      <c r="K90" s="10">
        <v>0.36458333333333331</v>
      </c>
      <c r="L90" s="10">
        <f t="shared" si="5"/>
        <v>0.13888888888888887</v>
      </c>
      <c r="M90" s="12">
        <f t="shared" si="4"/>
        <v>3.333333333333333</v>
      </c>
      <c r="N90" s="12">
        <f>Table35[[#This Row],[Trip Hours]]*Table35[[#This Row],['#Angler]]</f>
        <v>6.6666666666666661</v>
      </c>
      <c r="O90" t="s">
        <v>28</v>
      </c>
      <c r="P90" t="s">
        <v>56</v>
      </c>
      <c r="Q90" t="s">
        <v>241</v>
      </c>
      <c r="R90" s="11">
        <v>0</v>
      </c>
      <c r="S90">
        <v>0</v>
      </c>
      <c r="T90">
        <v>0</v>
      </c>
      <c r="U90" s="11">
        <v>0</v>
      </c>
      <c r="V90">
        <v>0</v>
      </c>
      <c r="W90">
        <v>0</v>
      </c>
      <c r="X90" s="11">
        <f t="shared" si="6"/>
        <v>0</v>
      </c>
      <c r="Y90">
        <f t="shared" si="6"/>
        <v>0</v>
      </c>
      <c r="Z90">
        <f t="shared" si="6"/>
        <v>0</v>
      </c>
      <c r="AA90" s="11"/>
    </row>
    <row r="91" spans="1:28" x14ac:dyDescent="0.3">
      <c r="A91" s="7">
        <v>45535</v>
      </c>
      <c r="B91">
        <v>2</v>
      </c>
      <c r="C91" t="s">
        <v>250</v>
      </c>
      <c r="D91" t="s">
        <v>26</v>
      </c>
      <c r="E91">
        <v>16</v>
      </c>
      <c r="F91">
        <v>2</v>
      </c>
      <c r="G91">
        <v>2</v>
      </c>
      <c r="H91" t="s">
        <v>27</v>
      </c>
      <c r="I91">
        <v>1</v>
      </c>
      <c r="J91" s="10">
        <v>0.3263888888888889</v>
      </c>
      <c r="K91" s="10">
        <v>0.36805555555555558</v>
      </c>
      <c r="L91" s="10">
        <f t="shared" si="5"/>
        <v>4.1666666666666685E-2</v>
      </c>
      <c r="M91" s="12">
        <f t="shared" si="4"/>
        <v>1.0000000000000004</v>
      </c>
      <c r="N91" s="12">
        <f>Table35[[#This Row],[Trip Hours]]*Table35[[#This Row],['#Angler]]</f>
        <v>1.0000000000000004</v>
      </c>
      <c r="O91" t="s">
        <v>25</v>
      </c>
      <c r="P91" t="s">
        <v>56</v>
      </c>
      <c r="Q91" t="s">
        <v>241</v>
      </c>
      <c r="R91" s="11">
        <v>0</v>
      </c>
      <c r="S91">
        <v>0</v>
      </c>
      <c r="T91">
        <v>0</v>
      </c>
      <c r="U91" s="11">
        <v>0</v>
      </c>
      <c r="V91">
        <v>0</v>
      </c>
      <c r="W91">
        <v>0</v>
      </c>
      <c r="X91" s="11">
        <f t="shared" si="6"/>
        <v>0</v>
      </c>
      <c r="Y91">
        <f t="shared" si="6"/>
        <v>0</v>
      </c>
      <c r="Z91">
        <f t="shared" si="6"/>
        <v>0</v>
      </c>
      <c r="AA91" s="11"/>
    </row>
    <row r="92" spans="1:28" x14ac:dyDescent="0.3">
      <c r="A92" s="7">
        <v>45535</v>
      </c>
      <c r="B92">
        <v>2</v>
      </c>
      <c r="C92" t="s">
        <v>250</v>
      </c>
      <c r="D92" t="s">
        <v>26</v>
      </c>
      <c r="E92">
        <v>17</v>
      </c>
      <c r="F92">
        <v>2</v>
      </c>
      <c r="G92">
        <v>2</v>
      </c>
      <c r="H92" t="s">
        <v>27</v>
      </c>
      <c r="I92">
        <v>2</v>
      </c>
      <c r="J92" s="10">
        <v>0.28125</v>
      </c>
      <c r="K92" s="10">
        <v>0.375</v>
      </c>
      <c r="L92" s="10">
        <f t="shared" si="5"/>
        <v>9.375E-2</v>
      </c>
      <c r="M92" s="12">
        <f t="shared" si="4"/>
        <v>2.25</v>
      </c>
      <c r="N92" s="12">
        <f>Table35[[#This Row],[Trip Hours]]*Table35[[#This Row],['#Angler]]</f>
        <v>4.5</v>
      </c>
      <c r="O92" t="s">
        <v>28</v>
      </c>
      <c r="P92" t="s">
        <v>56</v>
      </c>
      <c r="Q92" t="s">
        <v>244</v>
      </c>
      <c r="R92" s="11">
        <v>0</v>
      </c>
      <c r="S92">
        <v>0</v>
      </c>
      <c r="T92">
        <v>0</v>
      </c>
      <c r="U92" s="11">
        <v>0</v>
      </c>
      <c r="V92">
        <v>0</v>
      </c>
      <c r="W92">
        <v>0</v>
      </c>
      <c r="X92" s="11">
        <f t="shared" si="6"/>
        <v>0</v>
      </c>
      <c r="Y92">
        <f t="shared" si="6"/>
        <v>0</v>
      </c>
      <c r="Z92">
        <f t="shared" si="6"/>
        <v>0</v>
      </c>
      <c r="AA92" s="11"/>
    </row>
    <row r="93" spans="1:28" x14ac:dyDescent="0.3">
      <c r="A93" s="7">
        <v>45535</v>
      </c>
      <c r="B93">
        <v>2</v>
      </c>
      <c r="C93" t="s">
        <v>250</v>
      </c>
      <c r="D93" t="s">
        <v>26</v>
      </c>
      <c r="E93">
        <v>18</v>
      </c>
      <c r="F93">
        <v>2</v>
      </c>
      <c r="G93">
        <v>2</v>
      </c>
      <c r="H93" t="s">
        <v>27</v>
      </c>
      <c r="I93">
        <v>2</v>
      </c>
      <c r="J93" s="10">
        <v>0.27083333333333331</v>
      </c>
      <c r="K93" s="10">
        <v>0.375</v>
      </c>
      <c r="L93" s="10">
        <f t="shared" si="5"/>
        <v>0.10416666666666669</v>
      </c>
      <c r="M93" s="12">
        <f t="shared" si="4"/>
        <v>2.5000000000000004</v>
      </c>
      <c r="N93" s="12">
        <f>Table35[[#This Row],[Trip Hours]]*Table35[[#This Row],['#Angler]]</f>
        <v>5.0000000000000009</v>
      </c>
      <c r="O93" t="s">
        <v>25</v>
      </c>
      <c r="P93" t="s">
        <v>56</v>
      </c>
      <c r="Q93" t="s">
        <v>244</v>
      </c>
      <c r="R93" s="11">
        <v>0</v>
      </c>
      <c r="S93">
        <v>0</v>
      </c>
      <c r="T93">
        <v>0</v>
      </c>
      <c r="U93" s="11">
        <v>0</v>
      </c>
      <c r="V93">
        <v>0</v>
      </c>
      <c r="W93">
        <v>0</v>
      </c>
      <c r="X93" s="11">
        <f t="shared" si="6"/>
        <v>0</v>
      </c>
      <c r="Y93">
        <f t="shared" si="6"/>
        <v>0</v>
      </c>
      <c r="Z93">
        <f t="shared" si="6"/>
        <v>0</v>
      </c>
      <c r="AA93" s="11"/>
    </row>
    <row r="94" spans="1:28" x14ac:dyDescent="0.3">
      <c r="A94" s="7">
        <v>45535</v>
      </c>
      <c r="B94">
        <v>2</v>
      </c>
      <c r="C94" t="s">
        <v>250</v>
      </c>
      <c r="D94" t="s">
        <v>26</v>
      </c>
      <c r="E94">
        <v>19</v>
      </c>
      <c r="F94">
        <v>2</v>
      </c>
      <c r="G94">
        <v>2</v>
      </c>
      <c r="H94" t="s">
        <v>27</v>
      </c>
      <c r="I94">
        <v>1</v>
      </c>
      <c r="J94" s="10">
        <v>0.35416666666666669</v>
      </c>
      <c r="K94" s="10">
        <v>0.3888888888888889</v>
      </c>
      <c r="L94" s="10">
        <f t="shared" si="5"/>
        <v>3.472222222222221E-2</v>
      </c>
      <c r="M94" s="12">
        <f t="shared" si="4"/>
        <v>0.83333333333333304</v>
      </c>
      <c r="N94" s="12">
        <f>Table35[[#This Row],[Trip Hours]]*Table35[[#This Row],['#Angler]]</f>
        <v>0.83333333333333304</v>
      </c>
      <c r="O94" t="s">
        <v>28</v>
      </c>
      <c r="P94" t="s">
        <v>56</v>
      </c>
      <c r="Q94" t="s">
        <v>241</v>
      </c>
      <c r="R94" s="11">
        <v>0</v>
      </c>
      <c r="S94">
        <v>0</v>
      </c>
      <c r="T94">
        <v>0</v>
      </c>
      <c r="U94" s="11">
        <v>0</v>
      </c>
      <c r="V94">
        <v>0</v>
      </c>
      <c r="W94">
        <v>0</v>
      </c>
      <c r="X94" s="11">
        <f t="shared" si="6"/>
        <v>0</v>
      </c>
      <c r="Y94">
        <f t="shared" si="6"/>
        <v>0</v>
      </c>
      <c r="Z94">
        <f t="shared" si="6"/>
        <v>0</v>
      </c>
      <c r="AA94" s="11"/>
    </row>
    <row r="95" spans="1:28" x14ac:dyDescent="0.3">
      <c r="A95" s="7">
        <v>45535</v>
      </c>
      <c r="B95">
        <v>2</v>
      </c>
      <c r="C95" t="s">
        <v>250</v>
      </c>
      <c r="D95" t="s">
        <v>26</v>
      </c>
      <c r="E95">
        <v>20</v>
      </c>
      <c r="F95">
        <v>2</v>
      </c>
      <c r="G95">
        <v>2</v>
      </c>
      <c r="H95" t="s">
        <v>27</v>
      </c>
      <c r="I95">
        <v>1</v>
      </c>
      <c r="J95" s="10">
        <v>0.2986111111111111</v>
      </c>
      <c r="K95" s="10">
        <v>0.3888888888888889</v>
      </c>
      <c r="L95" s="10">
        <f t="shared" si="5"/>
        <v>9.027777777777779E-2</v>
      </c>
      <c r="M95" s="12">
        <f t="shared" si="4"/>
        <v>2.166666666666667</v>
      </c>
      <c r="N95" s="12">
        <f>Table35[[#This Row],[Trip Hours]]*Table35[[#This Row],['#Angler]]</f>
        <v>2.166666666666667</v>
      </c>
      <c r="O95" t="s">
        <v>28</v>
      </c>
      <c r="P95" t="s">
        <v>56</v>
      </c>
      <c r="Q95" t="s">
        <v>237</v>
      </c>
      <c r="R95" s="11">
        <v>0</v>
      </c>
      <c r="S95">
        <v>0</v>
      </c>
      <c r="T95">
        <v>0</v>
      </c>
      <c r="U95" s="11">
        <v>0</v>
      </c>
      <c r="V95">
        <v>0</v>
      </c>
      <c r="W95">
        <v>0</v>
      </c>
      <c r="X95" s="11">
        <f t="shared" si="6"/>
        <v>0</v>
      </c>
      <c r="Y95">
        <f t="shared" si="6"/>
        <v>0</v>
      </c>
      <c r="Z95">
        <f t="shared" si="6"/>
        <v>0</v>
      </c>
      <c r="AA95" s="11"/>
    </row>
    <row r="96" spans="1:28" x14ac:dyDescent="0.3">
      <c r="A96" s="7">
        <v>45535</v>
      </c>
      <c r="B96">
        <v>2</v>
      </c>
      <c r="C96" t="s">
        <v>250</v>
      </c>
      <c r="D96" t="s">
        <v>26</v>
      </c>
      <c r="E96">
        <v>21</v>
      </c>
      <c r="F96">
        <v>2</v>
      </c>
      <c r="G96">
        <v>2</v>
      </c>
      <c r="H96" t="s">
        <v>27</v>
      </c>
      <c r="I96">
        <v>2</v>
      </c>
      <c r="J96" s="10">
        <v>0.29166666666666669</v>
      </c>
      <c r="K96" s="10">
        <v>0.3923611111111111</v>
      </c>
      <c r="L96" s="10">
        <f t="shared" si="5"/>
        <v>0.10069444444444442</v>
      </c>
      <c r="M96" s="12">
        <f t="shared" si="4"/>
        <v>2.4166666666666661</v>
      </c>
      <c r="N96" s="12">
        <f>Table35[[#This Row],[Trip Hours]]*Table35[[#This Row],['#Angler]]</f>
        <v>4.8333333333333321</v>
      </c>
      <c r="O96" t="s">
        <v>28</v>
      </c>
      <c r="P96" t="s">
        <v>56</v>
      </c>
      <c r="Q96" t="s">
        <v>238</v>
      </c>
      <c r="R96" s="11">
        <v>0</v>
      </c>
      <c r="S96">
        <v>0</v>
      </c>
      <c r="T96">
        <v>0</v>
      </c>
      <c r="U96" s="11">
        <v>0</v>
      </c>
      <c r="V96">
        <v>0</v>
      </c>
      <c r="W96">
        <v>0</v>
      </c>
      <c r="X96" s="11">
        <f t="shared" si="6"/>
        <v>0</v>
      </c>
      <c r="Y96">
        <f t="shared" si="6"/>
        <v>0</v>
      </c>
      <c r="Z96">
        <f t="shared" si="6"/>
        <v>0</v>
      </c>
      <c r="AA96" s="11"/>
    </row>
    <row r="97" spans="1:28" x14ac:dyDescent="0.3">
      <c r="A97" s="7">
        <v>45535</v>
      </c>
      <c r="B97">
        <v>2</v>
      </c>
      <c r="C97" t="s">
        <v>250</v>
      </c>
      <c r="D97" t="s">
        <v>26</v>
      </c>
      <c r="E97">
        <v>22</v>
      </c>
      <c r="F97">
        <v>2</v>
      </c>
      <c r="G97">
        <v>2</v>
      </c>
      <c r="H97" t="s">
        <v>27</v>
      </c>
      <c r="I97">
        <v>1</v>
      </c>
      <c r="J97" s="10">
        <v>0.35416666666666669</v>
      </c>
      <c r="K97" s="10">
        <v>0.3923611111111111</v>
      </c>
      <c r="L97" s="10">
        <f t="shared" si="5"/>
        <v>3.819444444444442E-2</v>
      </c>
      <c r="M97" s="12">
        <f t="shared" si="4"/>
        <v>0.91666666666666607</v>
      </c>
      <c r="N97" s="12">
        <f>Table35[[#This Row],[Trip Hours]]*Table35[[#This Row],['#Angler]]</f>
        <v>0.91666666666666607</v>
      </c>
      <c r="O97" t="s">
        <v>28</v>
      </c>
      <c r="P97" t="s">
        <v>56</v>
      </c>
      <c r="Q97" t="s">
        <v>241</v>
      </c>
      <c r="R97" s="11">
        <v>0</v>
      </c>
      <c r="S97">
        <v>0</v>
      </c>
      <c r="T97">
        <v>0</v>
      </c>
      <c r="U97" s="11">
        <v>0</v>
      </c>
      <c r="V97">
        <v>0</v>
      </c>
      <c r="W97">
        <v>0</v>
      </c>
      <c r="X97" s="11">
        <f t="shared" si="6"/>
        <v>0</v>
      </c>
      <c r="Y97">
        <f t="shared" si="6"/>
        <v>0</v>
      </c>
      <c r="Z97">
        <f t="shared" si="6"/>
        <v>0</v>
      </c>
      <c r="AA97" s="11"/>
    </row>
    <row r="98" spans="1:28" x14ac:dyDescent="0.3">
      <c r="A98" s="7">
        <v>45535</v>
      </c>
      <c r="B98">
        <v>2</v>
      </c>
      <c r="C98" t="s">
        <v>250</v>
      </c>
      <c r="D98" t="s">
        <v>26</v>
      </c>
      <c r="E98">
        <v>23</v>
      </c>
      <c r="F98">
        <v>2</v>
      </c>
      <c r="G98">
        <v>2</v>
      </c>
      <c r="H98" t="s">
        <v>27</v>
      </c>
      <c r="I98">
        <v>1</v>
      </c>
      <c r="J98" s="10">
        <v>0.29166666666666669</v>
      </c>
      <c r="K98" s="10">
        <v>0.3923611111111111</v>
      </c>
      <c r="L98" s="10">
        <f t="shared" si="5"/>
        <v>0.10069444444444442</v>
      </c>
      <c r="M98" s="12">
        <f t="shared" si="4"/>
        <v>2.4166666666666661</v>
      </c>
      <c r="N98" s="12">
        <f>Table35[[#This Row],[Trip Hours]]*Table35[[#This Row],['#Angler]]</f>
        <v>2.4166666666666661</v>
      </c>
      <c r="O98" t="s">
        <v>28</v>
      </c>
      <c r="P98" t="s">
        <v>56</v>
      </c>
      <c r="Q98" t="s">
        <v>237</v>
      </c>
      <c r="R98" s="11">
        <v>0</v>
      </c>
      <c r="S98">
        <v>0</v>
      </c>
      <c r="T98">
        <v>0</v>
      </c>
      <c r="U98" s="11">
        <v>0</v>
      </c>
      <c r="V98">
        <v>0</v>
      </c>
      <c r="W98">
        <v>0</v>
      </c>
      <c r="X98" s="11">
        <f t="shared" si="6"/>
        <v>0</v>
      </c>
      <c r="Y98">
        <f t="shared" si="6"/>
        <v>0</v>
      </c>
      <c r="Z98">
        <f t="shared" si="6"/>
        <v>0</v>
      </c>
      <c r="AA98" s="11"/>
    </row>
    <row r="99" spans="1:28" x14ac:dyDescent="0.3">
      <c r="A99" s="7">
        <v>45535</v>
      </c>
      <c r="B99">
        <v>2</v>
      </c>
      <c r="C99" t="s">
        <v>250</v>
      </c>
      <c r="D99" t="s">
        <v>26</v>
      </c>
      <c r="E99">
        <v>24</v>
      </c>
      <c r="F99">
        <v>2</v>
      </c>
      <c r="G99">
        <v>2</v>
      </c>
      <c r="H99" t="s">
        <v>27</v>
      </c>
      <c r="I99">
        <v>1</v>
      </c>
      <c r="J99" s="10">
        <v>0.27083333333333331</v>
      </c>
      <c r="K99" s="10">
        <v>0.3923611111111111</v>
      </c>
      <c r="L99" s="10">
        <f t="shared" si="5"/>
        <v>0.12152777777777779</v>
      </c>
      <c r="M99" s="12">
        <f t="shared" si="4"/>
        <v>2.916666666666667</v>
      </c>
      <c r="N99" s="12">
        <f>Table35[[#This Row],[Trip Hours]]*Table35[[#This Row],['#Angler]]</f>
        <v>2.916666666666667</v>
      </c>
      <c r="O99" t="s">
        <v>28</v>
      </c>
      <c r="P99" t="s">
        <v>56</v>
      </c>
      <c r="Q99" t="s">
        <v>241</v>
      </c>
      <c r="R99" s="11">
        <v>0</v>
      </c>
      <c r="S99">
        <v>0</v>
      </c>
      <c r="T99">
        <v>0</v>
      </c>
      <c r="U99" s="11">
        <v>0</v>
      </c>
      <c r="V99">
        <v>0</v>
      </c>
      <c r="W99">
        <v>0</v>
      </c>
      <c r="X99" s="11">
        <f t="shared" si="6"/>
        <v>0</v>
      </c>
      <c r="Y99">
        <f t="shared" si="6"/>
        <v>0</v>
      </c>
      <c r="Z99">
        <f t="shared" si="6"/>
        <v>0</v>
      </c>
      <c r="AA99" s="11"/>
    </row>
    <row r="100" spans="1:28" x14ac:dyDescent="0.3">
      <c r="A100" s="7">
        <v>45535</v>
      </c>
      <c r="B100">
        <v>2</v>
      </c>
      <c r="C100" t="s">
        <v>250</v>
      </c>
      <c r="D100" t="s">
        <v>26</v>
      </c>
      <c r="E100">
        <v>25</v>
      </c>
      <c r="F100">
        <v>2</v>
      </c>
      <c r="G100">
        <v>2</v>
      </c>
      <c r="H100" t="s">
        <v>27</v>
      </c>
      <c r="I100">
        <v>3</v>
      </c>
      <c r="J100" s="10">
        <v>0.27083333333333331</v>
      </c>
      <c r="K100" s="10">
        <v>0.4145833333333333</v>
      </c>
      <c r="L100" s="10">
        <f t="shared" si="5"/>
        <v>0.14374999999999999</v>
      </c>
      <c r="M100" s="12">
        <f t="shared" si="4"/>
        <v>3.4499999999999997</v>
      </c>
      <c r="N100" s="12">
        <f>Table35[[#This Row],[Trip Hours]]*Table35[[#This Row],['#Angler]]</f>
        <v>10.35</v>
      </c>
      <c r="O100" t="s">
        <v>28</v>
      </c>
      <c r="P100" t="s">
        <v>56</v>
      </c>
      <c r="Q100" t="s">
        <v>237</v>
      </c>
      <c r="R100" s="11">
        <v>0</v>
      </c>
      <c r="S100">
        <v>0</v>
      </c>
      <c r="T100">
        <v>0</v>
      </c>
      <c r="U100" s="11">
        <v>0</v>
      </c>
      <c r="V100">
        <v>0</v>
      </c>
      <c r="W100">
        <v>0</v>
      </c>
      <c r="X100" s="11">
        <f t="shared" si="6"/>
        <v>0</v>
      </c>
      <c r="Y100">
        <f t="shared" si="6"/>
        <v>0</v>
      </c>
      <c r="Z100">
        <f t="shared" si="6"/>
        <v>0</v>
      </c>
      <c r="AA100" s="11"/>
    </row>
    <row r="101" spans="1:28" x14ac:dyDescent="0.3">
      <c r="A101" s="7">
        <v>45535</v>
      </c>
      <c r="B101">
        <v>2</v>
      </c>
      <c r="C101" t="s">
        <v>250</v>
      </c>
      <c r="D101" t="s">
        <v>26</v>
      </c>
      <c r="E101">
        <v>26</v>
      </c>
      <c r="F101">
        <v>2</v>
      </c>
      <c r="G101">
        <v>2</v>
      </c>
      <c r="H101" t="s">
        <v>27</v>
      </c>
      <c r="I101">
        <v>2</v>
      </c>
      <c r="J101" s="10">
        <v>0.39583333333333331</v>
      </c>
      <c r="K101" s="10">
        <v>0.41666666666666669</v>
      </c>
      <c r="L101" s="10">
        <f t="shared" si="5"/>
        <v>2.083333333333337E-2</v>
      </c>
      <c r="M101" s="12">
        <f t="shared" si="4"/>
        <v>0.50000000000000089</v>
      </c>
      <c r="N101" s="12">
        <f>Table35[[#This Row],[Trip Hours]]*Table35[[#This Row],['#Angler]]</f>
        <v>1.0000000000000018</v>
      </c>
      <c r="O101" t="s">
        <v>28</v>
      </c>
      <c r="P101" t="s">
        <v>56</v>
      </c>
      <c r="Q101" t="s">
        <v>241</v>
      </c>
      <c r="R101" s="11">
        <v>0</v>
      </c>
      <c r="S101">
        <v>0</v>
      </c>
      <c r="T101">
        <v>0</v>
      </c>
      <c r="U101" s="11">
        <v>0</v>
      </c>
      <c r="V101">
        <v>0</v>
      </c>
      <c r="W101">
        <v>0</v>
      </c>
      <c r="X101" s="11">
        <f t="shared" si="6"/>
        <v>0</v>
      </c>
      <c r="Y101">
        <f t="shared" si="6"/>
        <v>0</v>
      </c>
      <c r="Z101">
        <f t="shared" si="6"/>
        <v>0</v>
      </c>
      <c r="AA101" s="11"/>
    </row>
    <row r="102" spans="1:28" x14ac:dyDescent="0.3">
      <c r="A102" s="7">
        <v>45535</v>
      </c>
      <c r="B102">
        <v>2</v>
      </c>
      <c r="C102" t="s">
        <v>250</v>
      </c>
      <c r="D102" t="s">
        <v>26</v>
      </c>
      <c r="E102">
        <v>27</v>
      </c>
      <c r="F102">
        <v>2</v>
      </c>
      <c r="G102">
        <v>2</v>
      </c>
      <c r="H102" t="s">
        <v>27</v>
      </c>
      <c r="I102">
        <v>1</v>
      </c>
      <c r="J102" s="10">
        <v>0.25</v>
      </c>
      <c r="K102" s="10">
        <v>0.41666666666666669</v>
      </c>
      <c r="L102" s="10">
        <f t="shared" si="5"/>
        <v>0.16666666666666669</v>
      </c>
      <c r="M102" s="12">
        <f t="shared" si="4"/>
        <v>4</v>
      </c>
      <c r="N102" s="12">
        <f>Table35[[#This Row],[Trip Hours]]*Table35[[#This Row],['#Angler]]</f>
        <v>4</v>
      </c>
      <c r="O102" t="s">
        <v>28</v>
      </c>
      <c r="P102" t="s">
        <v>269</v>
      </c>
      <c r="Q102" t="s">
        <v>244</v>
      </c>
      <c r="R102" s="11">
        <v>0</v>
      </c>
      <c r="S102">
        <v>0</v>
      </c>
      <c r="T102">
        <v>0</v>
      </c>
      <c r="U102" s="11">
        <v>0</v>
      </c>
      <c r="V102">
        <v>0</v>
      </c>
      <c r="W102">
        <v>0</v>
      </c>
      <c r="X102" s="11">
        <f t="shared" si="6"/>
        <v>0</v>
      </c>
      <c r="Y102">
        <f t="shared" si="6"/>
        <v>0</v>
      </c>
      <c r="Z102">
        <f t="shared" si="6"/>
        <v>0</v>
      </c>
      <c r="AA102" s="11"/>
    </row>
    <row r="103" spans="1:28" x14ac:dyDescent="0.3">
      <c r="A103" s="7">
        <v>45535</v>
      </c>
      <c r="B103">
        <v>2</v>
      </c>
      <c r="C103" t="s">
        <v>250</v>
      </c>
      <c r="D103" t="s">
        <v>26</v>
      </c>
      <c r="E103">
        <v>28</v>
      </c>
      <c r="F103">
        <v>2</v>
      </c>
      <c r="G103">
        <v>2</v>
      </c>
      <c r="H103" t="s">
        <v>27</v>
      </c>
      <c r="I103">
        <v>2</v>
      </c>
      <c r="J103" s="10">
        <v>0.35416666666666669</v>
      </c>
      <c r="K103" s="10">
        <v>0.41666666666666669</v>
      </c>
      <c r="L103" s="10">
        <f t="shared" si="5"/>
        <v>6.25E-2</v>
      </c>
      <c r="M103" s="12">
        <f t="shared" si="4"/>
        <v>1.5</v>
      </c>
      <c r="N103" s="12">
        <f>Table35[[#This Row],[Trip Hours]]*Table35[[#This Row],['#Angler]]</f>
        <v>3</v>
      </c>
      <c r="O103" t="s">
        <v>28</v>
      </c>
      <c r="P103" t="s">
        <v>56</v>
      </c>
      <c r="Q103" t="s">
        <v>244</v>
      </c>
      <c r="R103" s="11">
        <v>1</v>
      </c>
      <c r="S103">
        <v>0</v>
      </c>
      <c r="T103">
        <v>0</v>
      </c>
      <c r="U103" s="11">
        <v>0</v>
      </c>
      <c r="V103">
        <v>0</v>
      </c>
      <c r="W103">
        <v>0</v>
      </c>
      <c r="X103" s="11">
        <f t="shared" si="6"/>
        <v>1</v>
      </c>
      <c r="Y103">
        <f t="shared" si="6"/>
        <v>0</v>
      </c>
      <c r="Z103">
        <f t="shared" si="6"/>
        <v>0</v>
      </c>
      <c r="AA103" s="11"/>
    </row>
    <row r="104" spans="1:28" x14ac:dyDescent="0.3">
      <c r="A104" s="7">
        <v>45535</v>
      </c>
      <c r="B104">
        <v>2</v>
      </c>
      <c r="C104" t="s">
        <v>250</v>
      </c>
      <c r="D104" t="s">
        <v>26</v>
      </c>
      <c r="E104">
        <v>29</v>
      </c>
      <c r="F104">
        <v>2</v>
      </c>
      <c r="G104">
        <v>2</v>
      </c>
      <c r="H104" t="s">
        <v>27</v>
      </c>
      <c r="I104">
        <v>2</v>
      </c>
      <c r="J104" s="10">
        <v>0.29166666666666669</v>
      </c>
      <c r="K104" s="10">
        <v>0.41666666666666669</v>
      </c>
      <c r="L104" s="10">
        <f t="shared" si="5"/>
        <v>0.125</v>
      </c>
      <c r="M104" s="12">
        <f t="shared" si="4"/>
        <v>3</v>
      </c>
      <c r="N104" s="12">
        <f>Table35[[#This Row],[Trip Hours]]*Table35[[#This Row],['#Angler]]</f>
        <v>6</v>
      </c>
      <c r="O104" t="s">
        <v>28</v>
      </c>
      <c r="P104" t="s">
        <v>56</v>
      </c>
      <c r="Q104" t="s">
        <v>244</v>
      </c>
      <c r="R104" s="11">
        <v>0</v>
      </c>
      <c r="S104">
        <v>0</v>
      </c>
      <c r="T104">
        <v>0</v>
      </c>
      <c r="U104" s="11">
        <v>1</v>
      </c>
      <c r="V104">
        <v>0</v>
      </c>
      <c r="W104">
        <v>0</v>
      </c>
      <c r="X104" s="11">
        <f t="shared" si="6"/>
        <v>1</v>
      </c>
      <c r="Y104">
        <f t="shared" si="6"/>
        <v>0</v>
      </c>
      <c r="Z104">
        <f t="shared" si="6"/>
        <v>0</v>
      </c>
      <c r="AA104" s="11"/>
      <c r="AB104" t="s">
        <v>270</v>
      </c>
    </row>
    <row r="105" spans="1:28" x14ac:dyDescent="0.3">
      <c r="A105" s="7">
        <v>45535</v>
      </c>
      <c r="B105">
        <v>2</v>
      </c>
      <c r="C105" t="s">
        <v>250</v>
      </c>
      <c r="D105" t="s">
        <v>26</v>
      </c>
      <c r="E105">
        <v>30</v>
      </c>
      <c r="F105">
        <v>2</v>
      </c>
      <c r="G105">
        <v>2</v>
      </c>
      <c r="H105" t="s">
        <v>27</v>
      </c>
      <c r="I105">
        <v>2</v>
      </c>
      <c r="J105" s="10">
        <v>0.29166666666666669</v>
      </c>
      <c r="K105" s="10">
        <v>0.4201388888888889</v>
      </c>
      <c r="L105" s="10">
        <f t="shared" si="5"/>
        <v>0.12847222222222221</v>
      </c>
      <c r="M105" s="12">
        <f t="shared" si="4"/>
        <v>3.083333333333333</v>
      </c>
      <c r="N105" s="12">
        <f>Table35[[#This Row],[Trip Hours]]*Table35[[#This Row],['#Angler]]</f>
        <v>6.1666666666666661</v>
      </c>
      <c r="O105" t="s">
        <v>28</v>
      </c>
      <c r="P105" t="s">
        <v>56</v>
      </c>
      <c r="Q105" t="s">
        <v>244</v>
      </c>
      <c r="R105" s="11">
        <v>1</v>
      </c>
      <c r="S105">
        <v>0</v>
      </c>
      <c r="T105">
        <v>0</v>
      </c>
      <c r="U105" s="11">
        <v>0</v>
      </c>
      <c r="V105">
        <v>0</v>
      </c>
      <c r="W105">
        <v>0</v>
      </c>
      <c r="X105" s="11">
        <f t="shared" si="6"/>
        <v>1</v>
      </c>
      <c r="Y105">
        <f t="shared" si="6"/>
        <v>0</v>
      </c>
      <c r="Z105">
        <f t="shared" si="6"/>
        <v>0</v>
      </c>
      <c r="AA105" s="11"/>
    </row>
    <row r="106" spans="1:28" x14ac:dyDescent="0.3">
      <c r="A106" s="7">
        <v>45535</v>
      </c>
      <c r="B106">
        <v>2</v>
      </c>
      <c r="C106" t="s">
        <v>250</v>
      </c>
      <c r="D106" t="s">
        <v>42</v>
      </c>
      <c r="E106">
        <v>31</v>
      </c>
      <c r="F106">
        <v>2</v>
      </c>
      <c r="G106">
        <v>3</v>
      </c>
      <c r="H106" t="s">
        <v>27</v>
      </c>
      <c r="I106">
        <v>2</v>
      </c>
      <c r="J106" s="10">
        <v>0.70833333333333337</v>
      </c>
      <c r="K106" s="10">
        <v>0.76180555555555562</v>
      </c>
      <c r="L106" s="10">
        <f t="shared" si="5"/>
        <v>5.3472222222222254E-2</v>
      </c>
      <c r="M106" s="12">
        <f t="shared" si="4"/>
        <v>1.2833333333333341</v>
      </c>
      <c r="N106" s="12">
        <f>Table35[[#This Row],[Trip Hours]]*Table35[[#This Row],['#Angler]]</f>
        <v>2.5666666666666682</v>
      </c>
      <c r="O106" t="s">
        <v>25</v>
      </c>
      <c r="P106" t="s">
        <v>29</v>
      </c>
      <c r="Q106" t="s">
        <v>241</v>
      </c>
      <c r="R106" s="11">
        <v>0</v>
      </c>
      <c r="S106">
        <v>0</v>
      </c>
      <c r="T106">
        <v>0</v>
      </c>
      <c r="U106" s="11">
        <v>0</v>
      </c>
      <c r="V106">
        <v>0</v>
      </c>
      <c r="W106">
        <v>0</v>
      </c>
      <c r="X106" s="11">
        <f t="shared" si="6"/>
        <v>0</v>
      </c>
      <c r="Y106">
        <f t="shared" si="6"/>
        <v>0</v>
      </c>
      <c r="Z106">
        <f t="shared" si="6"/>
        <v>0</v>
      </c>
      <c r="AA106" s="11"/>
    </row>
    <row r="107" spans="1:28" x14ac:dyDescent="0.3">
      <c r="A107" s="7">
        <v>45539</v>
      </c>
      <c r="B107">
        <v>3</v>
      </c>
      <c r="C107" t="s">
        <v>236</v>
      </c>
      <c r="D107" t="s">
        <v>26</v>
      </c>
      <c r="E107">
        <v>1</v>
      </c>
      <c r="F107">
        <v>2</v>
      </c>
      <c r="G107">
        <v>1</v>
      </c>
      <c r="H107" t="s">
        <v>27</v>
      </c>
      <c r="I107">
        <v>3</v>
      </c>
      <c r="J107" s="10">
        <v>0.22916666666666666</v>
      </c>
      <c r="K107" s="10">
        <v>0.27777777777777779</v>
      </c>
      <c r="L107" s="10">
        <f t="shared" si="5"/>
        <v>4.8611111111111133E-2</v>
      </c>
      <c r="M107" s="12">
        <f t="shared" si="4"/>
        <v>1.1666666666666672</v>
      </c>
      <c r="N107" s="12">
        <f>Table35[[#This Row],[Trip Hours]]*Table35[[#This Row],['#Angler]]</f>
        <v>3.5000000000000018</v>
      </c>
      <c r="O107" t="s">
        <v>28</v>
      </c>
      <c r="P107" t="s">
        <v>49</v>
      </c>
      <c r="Q107" t="s">
        <v>241</v>
      </c>
      <c r="R107" s="11">
        <v>0</v>
      </c>
      <c r="S107">
        <v>0</v>
      </c>
      <c r="T107">
        <v>0</v>
      </c>
      <c r="U107" s="11">
        <v>0</v>
      </c>
      <c r="V107">
        <v>0</v>
      </c>
      <c r="W107">
        <v>0</v>
      </c>
      <c r="X107" s="11">
        <f t="shared" si="6"/>
        <v>0</v>
      </c>
      <c r="Y107">
        <f t="shared" si="6"/>
        <v>0</v>
      </c>
      <c r="Z107">
        <f t="shared" si="6"/>
        <v>0</v>
      </c>
      <c r="AA107" s="11"/>
    </row>
    <row r="108" spans="1:28" x14ac:dyDescent="0.3">
      <c r="A108" s="7">
        <v>45539</v>
      </c>
      <c r="B108">
        <v>3</v>
      </c>
      <c r="C108" t="s">
        <v>236</v>
      </c>
      <c r="D108" t="s">
        <v>26</v>
      </c>
      <c r="E108">
        <v>2</v>
      </c>
      <c r="F108">
        <v>2</v>
      </c>
      <c r="G108">
        <v>1</v>
      </c>
      <c r="H108" t="s">
        <v>27</v>
      </c>
      <c r="I108">
        <v>1</v>
      </c>
      <c r="J108" s="10">
        <v>0.27777777777777779</v>
      </c>
      <c r="K108" s="10">
        <v>0.28194444444444444</v>
      </c>
      <c r="L108" s="10">
        <f t="shared" si="5"/>
        <v>4.1666666666666519E-3</v>
      </c>
      <c r="M108" s="12">
        <f t="shared" si="4"/>
        <v>9.9999999999999645E-2</v>
      </c>
      <c r="N108" s="12">
        <f>Table35[[#This Row],[Trip Hours]]*Table35[[#This Row],['#Angler]]</f>
        <v>9.9999999999999645E-2</v>
      </c>
      <c r="O108" t="s">
        <v>28</v>
      </c>
      <c r="P108" t="s">
        <v>56</v>
      </c>
      <c r="Q108" t="s">
        <v>247</v>
      </c>
      <c r="R108" s="11">
        <v>0</v>
      </c>
      <c r="S108">
        <v>0</v>
      </c>
      <c r="T108">
        <v>0</v>
      </c>
      <c r="U108" s="11">
        <v>0</v>
      </c>
      <c r="V108">
        <v>0</v>
      </c>
      <c r="W108">
        <v>0</v>
      </c>
      <c r="X108" s="11">
        <f t="shared" si="6"/>
        <v>0</v>
      </c>
      <c r="Y108">
        <f t="shared" si="6"/>
        <v>0</v>
      </c>
      <c r="Z108">
        <f t="shared" si="6"/>
        <v>0</v>
      </c>
      <c r="AA108" s="11"/>
    </row>
    <row r="109" spans="1:28" x14ac:dyDescent="0.3">
      <c r="A109" s="7">
        <v>45539</v>
      </c>
      <c r="B109">
        <v>3</v>
      </c>
      <c r="C109" t="s">
        <v>236</v>
      </c>
      <c r="D109" t="s">
        <v>26</v>
      </c>
      <c r="E109">
        <v>3</v>
      </c>
      <c r="F109">
        <v>2</v>
      </c>
      <c r="G109">
        <v>2</v>
      </c>
      <c r="H109" t="s">
        <v>27</v>
      </c>
      <c r="I109">
        <v>1</v>
      </c>
      <c r="J109" s="10">
        <v>0.27777777777777779</v>
      </c>
      <c r="K109" s="10">
        <v>0.28819444444444448</v>
      </c>
      <c r="L109" s="10">
        <f t="shared" si="5"/>
        <v>1.0416666666666685E-2</v>
      </c>
      <c r="M109" s="12">
        <f t="shared" si="4"/>
        <v>0.25000000000000044</v>
      </c>
      <c r="N109" s="12">
        <f>Table35[[#This Row],[Trip Hours]]*Table35[[#This Row],['#Angler]]</f>
        <v>0.25000000000000044</v>
      </c>
      <c r="O109" t="s">
        <v>28</v>
      </c>
      <c r="P109" t="s">
        <v>271</v>
      </c>
      <c r="Q109" t="s">
        <v>237</v>
      </c>
      <c r="R109" s="11">
        <v>0</v>
      </c>
      <c r="S109">
        <v>0</v>
      </c>
      <c r="T109">
        <v>0</v>
      </c>
      <c r="U109" s="11">
        <v>0</v>
      </c>
      <c r="V109">
        <v>0</v>
      </c>
      <c r="W109">
        <v>0</v>
      </c>
      <c r="X109" s="11">
        <f t="shared" si="6"/>
        <v>0</v>
      </c>
      <c r="Y109">
        <f t="shared" si="6"/>
        <v>0</v>
      </c>
      <c r="Z109">
        <f t="shared" si="6"/>
        <v>0</v>
      </c>
      <c r="AA109" s="11"/>
    </row>
    <row r="110" spans="1:28" x14ac:dyDescent="0.3">
      <c r="A110" s="7">
        <v>45539</v>
      </c>
      <c r="B110">
        <v>3</v>
      </c>
      <c r="C110" t="s">
        <v>236</v>
      </c>
      <c r="D110" t="s">
        <v>26</v>
      </c>
      <c r="E110">
        <v>4</v>
      </c>
      <c r="F110">
        <v>2</v>
      </c>
      <c r="G110">
        <v>2</v>
      </c>
      <c r="H110" t="s">
        <v>27</v>
      </c>
      <c r="I110">
        <v>1</v>
      </c>
      <c r="J110" s="10">
        <v>0.2673611111111111</v>
      </c>
      <c r="K110" s="10">
        <v>0.28819444444444448</v>
      </c>
      <c r="L110" s="10">
        <f t="shared" si="5"/>
        <v>2.083333333333337E-2</v>
      </c>
      <c r="M110" s="12">
        <f t="shared" si="4"/>
        <v>0.50000000000000089</v>
      </c>
      <c r="N110" s="12">
        <f>Table35[[#This Row],[Trip Hours]]*Table35[[#This Row],['#Angler]]</f>
        <v>0.50000000000000089</v>
      </c>
      <c r="O110" t="s">
        <v>28</v>
      </c>
      <c r="P110" t="s">
        <v>272</v>
      </c>
      <c r="Q110" t="s">
        <v>241</v>
      </c>
      <c r="R110" s="11">
        <v>0</v>
      </c>
      <c r="S110">
        <v>0</v>
      </c>
      <c r="T110">
        <v>0</v>
      </c>
      <c r="U110" s="11">
        <v>0</v>
      </c>
      <c r="V110">
        <v>0</v>
      </c>
      <c r="W110">
        <v>0</v>
      </c>
      <c r="X110" s="11">
        <f t="shared" si="6"/>
        <v>0</v>
      </c>
      <c r="Y110">
        <f t="shared" si="6"/>
        <v>0</v>
      </c>
      <c r="Z110">
        <f t="shared" si="6"/>
        <v>0</v>
      </c>
      <c r="AA110" s="11"/>
    </row>
    <row r="111" spans="1:28" x14ac:dyDescent="0.3">
      <c r="A111" s="7">
        <v>45539</v>
      </c>
      <c r="B111">
        <v>3</v>
      </c>
      <c r="C111" t="s">
        <v>236</v>
      </c>
      <c r="D111" t="s">
        <v>26</v>
      </c>
      <c r="E111">
        <v>5</v>
      </c>
      <c r="F111">
        <v>2</v>
      </c>
      <c r="G111">
        <v>2</v>
      </c>
      <c r="H111" t="s">
        <v>27</v>
      </c>
      <c r="I111">
        <v>1</v>
      </c>
      <c r="J111" s="10">
        <v>0.2673611111111111</v>
      </c>
      <c r="K111" s="10">
        <v>0.2951388888888889</v>
      </c>
      <c r="L111" s="10">
        <f t="shared" si="5"/>
        <v>2.777777777777779E-2</v>
      </c>
      <c r="M111" s="12">
        <f t="shared" si="4"/>
        <v>0.66666666666666696</v>
      </c>
      <c r="N111" s="12">
        <f>Table35[[#This Row],[Trip Hours]]*Table35[[#This Row],['#Angler]]</f>
        <v>0.66666666666666696</v>
      </c>
      <c r="O111" t="s">
        <v>28</v>
      </c>
      <c r="P111" t="s">
        <v>56</v>
      </c>
      <c r="Q111" t="s">
        <v>241</v>
      </c>
      <c r="R111" s="11">
        <v>0</v>
      </c>
      <c r="S111">
        <v>0</v>
      </c>
      <c r="T111">
        <v>0</v>
      </c>
      <c r="U111" s="11">
        <v>0</v>
      </c>
      <c r="V111">
        <v>0</v>
      </c>
      <c r="W111">
        <v>0</v>
      </c>
      <c r="X111" s="11">
        <f t="shared" si="6"/>
        <v>0</v>
      </c>
      <c r="Y111">
        <f t="shared" si="6"/>
        <v>0</v>
      </c>
      <c r="Z111">
        <f t="shared" si="6"/>
        <v>0</v>
      </c>
      <c r="AA111" s="11"/>
    </row>
    <row r="112" spans="1:28" x14ac:dyDescent="0.3">
      <c r="A112" s="7">
        <v>45539</v>
      </c>
      <c r="B112">
        <v>3</v>
      </c>
      <c r="C112" t="s">
        <v>236</v>
      </c>
      <c r="D112" t="s">
        <v>26</v>
      </c>
      <c r="E112">
        <v>6</v>
      </c>
      <c r="F112">
        <v>2</v>
      </c>
      <c r="G112">
        <v>2</v>
      </c>
      <c r="H112" t="s">
        <v>27</v>
      </c>
      <c r="I112">
        <v>1</v>
      </c>
      <c r="J112" s="10">
        <v>0.28819444444444448</v>
      </c>
      <c r="K112" s="10">
        <v>0.30069444444444443</v>
      </c>
      <c r="L112" s="10">
        <f t="shared" si="5"/>
        <v>1.2499999999999956E-2</v>
      </c>
      <c r="M112" s="12">
        <f t="shared" si="4"/>
        <v>0.29999999999999893</v>
      </c>
      <c r="N112" s="12">
        <f>Table35[[#This Row],[Trip Hours]]*Table35[[#This Row],['#Angler]]</f>
        <v>0.29999999999999893</v>
      </c>
      <c r="O112" t="s">
        <v>28</v>
      </c>
      <c r="P112" t="s">
        <v>273</v>
      </c>
      <c r="Q112" t="s">
        <v>247</v>
      </c>
      <c r="R112" s="11">
        <v>0</v>
      </c>
      <c r="S112">
        <v>0</v>
      </c>
      <c r="T112">
        <v>0</v>
      </c>
      <c r="U112" s="11">
        <v>0</v>
      </c>
      <c r="V112">
        <v>0</v>
      </c>
      <c r="W112">
        <v>0</v>
      </c>
      <c r="X112" s="11">
        <f t="shared" si="6"/>
        <v>0</v>
      </c>
      <c r="Y112">
        <f t="shared" si="6"/>
        <v>0</v>
      </c>
      <c r="Z112">
        <f t="shared" si="6"/>
        <v>0</v>
      </c>
      <c r="AA112" s="11"/>
    </row>
    <row r="113" spans="1:28" x14ac:dyDescent="0.3">
      <c r="A113" s="7">
        <v>45539</v>
      </c>
      <c r="B113">
        <v>3</v>
      </c>
      <c r="C113" t="s">
        <v>236</v>
      </c>
      <c r="D113" t="s">
        <v>26</v>
      </c>
      <c r="E113">
        <v>7</v>
      </c>
      <c r="F113">
        <v>2</v>
      </c>
      <c r="G113">
        <v>2</v>
      </c>
      <c r="H113" t="s">
        <v>27</v>
      </c>
      <c r="I113">
        <v>1</v>
      </c>
      <c r="J113" s="10">
        <v>0.22916666666666666</v>
      </c>
      <c r="K113" s="10">
        <v>0.30416666666666664</v>
      </c>
      <c r="L113" s="10">
        <f t="shared" si="5"/>
        <v>7.4999999999999983E-2</v>
      </c>
      <c r="M113" s="12">
        <f t="shared" si="4"/>
        <v>1.7999999999999996</v>
      </c>
      <c r="N113" s="12">
        <f>Table35[[#This Row],[Trip Hours]]*Table35[[#This Row],['#Angler]]</f>
        <v>1.7999999999999996</v>
      </c>
      <c r="O113" t="s">
        <v>28</v>
      </c>
      <c r="P113" t="s">
        <v>56</v>
      </c>
      <c r="Q113" t="s">
        <v>244</v>
      </c>
      <c r="R113" s="11">
        <v>0</v>
      </c>
      <c r="S113">
        <v>0</v>
      </c>
      <c r="T113">
        <v>0</v>
      </c>
      <c r="U113" s="11">
        <v>0</v>
      </c>
      <c r="V113">
        <v>0</v>
      </c>
      <c r="W113">
        <v>0</v>
      </c>
      <c r="X113" s="11">
        <f t="shared" si="6"/>
        <v>0</v>
      </c>
      <c r="Y113">
        <f t="shared" si="6"/>
        <v>0</v>
      </c>
      <c r="Z113">
        <f t="shared" si="6"/>
        <v>0</v>
      </c>
      <c r="AA113" s="11" t="s">
        <v>274</v>
      </c>
      <c r="AB113" t="s">
        <v>275</v>
      </c>
    </row>
    <row r="114" spans="1:28" x14ac:dyDescent="0.3">
      <c r="A114" s="7">
        <v>45539</v>
      </c>
      <c r="B114">
        <v>3</v>
      </c>
      <c r="C114" t="s">
        <v>236</v>
      </c>
      <c r="D114" t="s">
        <v>26</v>
      </c>
      <c r="E114">
        <v>8</v>
      </c>
      <c r="F114">
        <v>2</v>
      </c>
      <c r="G114">
        <v>2</v>
      </c>
      <c r="H114" t="s">
        <v>27</v>
      </c>
      <c r="I114">
        <v>1</v>
      </c>
      <c r="J114" s="10">
        <v>0.25</v>
      </c>
      <c r="K114" s="10">
        <v>0.30416666666666664</v>
      </c>
      <c r="L114" s="10">
        <f t="shared" si="5"/>
        <v>5.4166666666666641E-2</v>
      </c>
      <c r="M114" s="12">
        <f t="shared" si="4"/>
        <v>1.2999999999999994</v>
      </c>
      <c r="N114" s="12">
        <f>Table35[[#This Row],[Trip Hours]]*Table35[[#This Row],['#Angler]]</f>
        <v>1.2999999999999994</v>
      </c>
      <c r="O114" t="s">
        <v>28</v>
      </c>
      <c r="P114" t="s">
        <v>56</v>
      </c>
      <c r="Q114" t="s">
        <v>244</v>
      </c>
      <c r="R114" s="11">
        <v>0</v>
      </c>
      <c r="S114">
        <v>0</v>
      </c>
      <c r="T114">
        <v>0</v>
      </c>
      <c r="U114" s="11">
        <v>0</v>
      </c>
      <c r="V114">
        <v>0</v>
      </c>
      <c r="W114">
        <v>0</v>
      </c>
      <c r="X114" s="11">
        <f t="shared" si="6"/>
        <v>0</v>
      </c>
      <c r="Y114">
        <f t="shared" si="6"/>
        <v>0</v>
      </c>
      <c r="Z114">
        <f t="shared" si="6"/>
        <v>0</v>
      </c>
      <c r="AA114" s="11"/>
    </row>
    <row r="115" spans="1:28" x14ac:dyDescent="0.3">
      <c r="A115" s="7">
        <v>45539</v>
      </c>
      <c r="B115">
        <v>3</v>
      </c>
      <c r="C115" t="s">
        <v>236</v>
      </c>
      <c r="D115" t="s">
        <v>26</v>
      </c>
      <c r="E115">
        <v>9</v>
      </c>
      <c r="F115">
        <v>2</v>
      </c>
      <c r="G115">
        <v>2</v>
      </c>
      <c r="H115" t="s">
        <v>27</v>
      </c>
      <c r="I115">
        <v>1</v>
      </c>
      <c r="J115" s="10">
        <v>0.2638888888888889</v>
      </c>
      <c r="K115" s="10">
        <v>0.30972222222222223</v>
      </c>
      <c r="L115" s="10">
        <f t="shared" si="5"/>
        <v>4.5833333333333337E-2</v>
      </c>
      <c r="M115" s="12">
        <f t="shared" si="4"/>
        <v>1.1000000000000001</v>
      </c>
      <c r="N115" s="12">
        <f>Table35[[#This Row],[Trip Hours]]*Table35[[#This Row],['#Angler]]</f>
        <v>1.1000000000000001</v>
      </c>
      <c r="O115" t="s">
        <v>28</v>
      </c>
      <c r="P115" t="s">
        <v>56</v>
      </c>
      <c r="Q115" t="s">
        <v>241</v>
      </c>
      <c r="R115" s="11">
        <v>0</v>
      </c>
      <c r="S115">
        <v>0</v>
      </c>
      <c r="T115">
        <v>0</v>
      </c>
      <c r="U115" s="11">
        <v>0</v>
      </c>
      <c r="V115">
        <v>0</v>
      </c>
      <c r="W115">
        <v>0</v>
      </c>
      <c r="X115" s="11">
        <f t="shared" si="6"/>
        <v>0</v>
      </c>
      <c r="Y115">
        <f t="shared" si="6"/>
        <v>0</v>
      </c>
      <c r="Z115">
        <f t="shared" si="6"/>
        <v>0</v>
      </c>
      <c r="AA115" s="11"/>
    </row>
    <row r="116" spans="1:28" x14ac:dyDescent="0.3">
      <c r="A116" s="7">
        <v>45539</v>
      </c>
      <c r="B116">
        <v>3</v>
      </c>
      <c r="C116" t="s">
        <v>236</v>
      </c>
      <c r="D116" t="s">
        <v>26</v>
      </c>
      <c r="E116">
        <v>10</v>
      </c>
      <c r="F116">
        <v>2</v>
      </c>
      <c r="G116">
        <v>2</v>
      </c>
      <c r="H116" t="s">
        <v>27</v>
      </c>
      <c r="I116">
        <v>2</v>
      </c>
      <c r="J116" s="10">
        <v>0.30555555555555552</v>
      </c>
      <c r="K116" s="10">
        <v>0.32430555555555557</v>
      </c>
      <c r="L116" s="10">
        <f t="shared" si="5"/>
        <v>1.8750000000000044E-2</v>
      </c>
      <c r="M116" s="12">
        <f t="shared" si="4"/>
        <v>0.45000000000000107</v>
      </c>
      <c r="N116" s="12">
        <f>Table35[[#This Row],[Trip Hours]]*Table35[[#This Row],['#Angler]]</f>
        <v>0.90000000000000213</v>
      </c>
      <c r="O116" t="s">
        <v>28</v>
      </c>
      <c r="P116" t="s">
        <v>56</v>
      </c>
      <c r="Q116" t="s">
        <v>244</v>
      </c>
      <c r="R116" s="11">
        <v>0</v>
      </c>
      <c r="S116">
        <v>0</v>
      </c>
      <c r="T116">
        <v>0</v>
      </c>
      <c r="U116" s="11">
        <v>0</v>
      </c>
      <c r="V116">
        <v>0</v>
      </c>
      <c r="W116">
        <v>0</v>
      </c>
      <c r="X116" s="11">
        <f t="shared" si="6"/>
        <v>0</v>
      </c>
      <c r="Y116">
        <f t="shared" si="6"/>
        <v>0</v>
      </c>
      <c r="Z116">
        <f t="shared" si="6"/>
        <v>0</v>
      </c>
      <c r="AA116" s="11"/>
    </row>
    <row r="117" spans="1:28" x14ac:dyDescent="0.3">
      <c r="A117" s="7">
        <v>45539</v>
      </c>
      <c r="B117">
        <v>3</v>
      </c>
      <c r="C117" t="s">
        <v>236</v>
      </c>
      <c r="D117" t="s">
        <v>26</v>
      </c>
      <c r="E117">
        <v>11</v>
      </c>
      <c r="F117">
        <v>2</v>
      </c>
      <c r="G117">
        <v>2</v>
      </c>
      <c r="H117" t="s">
        <v>27</v>
      </c>
      <c r="I117">
        <v>1</v>
      </c>
      <c r="J117" s="10">
        <v>0.27083333333333331</v>
      </c>
      <c r="K117" s="10">
        <v>0.33055555555555555</v>
      </c>
      <c r="L117" s="10">
        <f t="shared" si="5"/>
        <v>5.9722222222222232E-2</v>
      </c>
      <c r="M117" s="12">
        <f t="shared" si="4"/>
        <v>1.4333333333333336</v>
      </c>
      <c r="N117" s="12">
        <f>Table35[[#This Row],[Trip Hours]]*Table35[[#This Row],['#Angler]]</f>
        <v>1.4333333333333336</v>
      </c>
      <c r="O117" t="s">
        <v>28</v>
      </c>
      <c r="P117" t="s">
        <v>49</v>
      </c>
      <c r="Q117" t="s">
        <v>241</v>
      </c>
      <c r="R117" s="11">
        <v>0</v>
      </c>
      <c r="S117">
        <v>0</v>
      </c>
      <c r="T117">
        <v>0</v>
      </c>
      <c r="U117" s="11">
        <v>0</v>
      </c>
      <c r="V117">
        <v>0</v>
      </c>
      <c r="W117">
        <v>0</v>
      </c>
      <c r="X117" s="11">
        <f t="shared" si="6"/>
        <v>0</v>
      </c>
      <c r="Y117">
        <f t="shared" si="6"/>
        <v>0</v>
      </c>
      <c r="Z117">
        <f t="shared" si="6"/>
        <v>0</v>
      </c>
      <c r="AA117" s="11"/>
    </row>
    <row r="118" spans="1:28" x14ac:dyDescent="0.3">
      <c r="A118" s="7">
        <v>45539</v>
      </c>
      <c r="B118">
        <v>3</v>
      </c>
      <c r="C118" t="s">
        <v>236</v>
      </c>
      <c r="D118" t="s">
        <v>26</v>
      </c>
      <c r="E118">
        <v>12</v>
      </c>
      <c r="F118">
        <v>2</v>
      </c>
      <c r="G118">
        <v>3</v>
      </c>
      <c r="H118" t="s">
        <v>27</v>
      </c>
      <c r="I118">
        <v>1</v>
      </c>
      <c r="J118" s="10">
        <v>0.22916666666666666</v>
      </c>
      <c r="K118" s="10">
        <v>0.35416666666666669</v>
      </c>
      <c r="L118" s="10">
        <f t="shared" si="5"/>
        <v>0.12500000000000003</v>
      </c>
      <c r="M118" s="12">
        <f t="shared" si="4"/>
        <v>3.0000000000000009</v>
      </c>
      <c r="N118" s="12">
        <f>Table35[[#This Row],[Trip Hours]]*Table35[[#This Row],['#Angler]]</f>
        <v>3.0000000000000009</v>
      </c>
      <c r="O118" t="s">
        <v>25</v>
      </c>
      <c r="P118" t="s">
        <v>56</v>
      </c>
      <c r="Q118" t="s">
        <v>244</v>
      </c>
      <c r="R118" s="11">
        <v>0</v>
      </c>
      <c r="S118">
        <v>0</v>
      </c>
      <c r="T118">
        <v>0</v>
      </c>
      <c r="U118" s="11">
        <v>0</v>
      </c>
      <c r="V118">
        <v>0</v>
      </c>
      <c r="W118">
        <v>0</v>
      </c>
      <c r="X118" s="11">
        <f t="shared" si="6"/>
        <v>0</v>
      </c>
      <c r="Y118">
        <f t="shared" si="6"/>
        <v>0</v>
      </c>
      <c r="Z118">
        <f t="shared" si="6"/>
        <v>0</v>
      </c>
      <c r="AA118" s="11"/>
    </row>
    <row r="119" spans="1:28" x14ac:dyDescent="0.3">
      <c r="A119" s="7">
        <v>45539</v>
      </c>
      <c r="B119">
        <v>3</v>
      </c>
      <c r="C119" t="s">
        <v>236</v>
      </c>
      <c r="D119" t="s">
        <v>26</v>
      </c>
      <c r="E119">
        <v>13</v>
      </c>
      <c r="F119">
        <v>2</v>
      </c>
      <c r="G119">
        <v>3</v>
      </c>
      <c r="H119" t="s">
        <v>27</v>
      </c>
      <c r="I119">
        <v>1</v>
      </c>
      <c r="J119" s="10">
        <v>0.25</v>
      </c>
      <c r="K119" s="10">
        <v>0.35416666666666669</v>
      </c>
      <c r="L119" s="10">
        <f t="shared" si="5"/>
        <v>0.10416666666666669</v>
      </c>
      <c r="M119" s="12">
        <f t="shared" si="4"/>
        <v>2.5000000000000004</v>
      </c>
      <c r="N119" s="12">
        <f>Table35[[#This Row],[Trip Hours]]*Table35[[#This Row],['#Angler]]</f>
        <v>2.5000000000000004</v>
      </c>
      <c r="O119" t="s">
        <v>25</v>
      </c>
      <c r="P119" t="s">
        <v>56</v>
      </c>
      <c r="Q119" t="s">
        <v>244</v>
      </c>
      <c r="R119" s="11">
        <v>0</v>
      </c>
      <c r="S119">
        <v>0</v>
      </c>
      <c r="T119">
        <v>0</v>
      </c>
      <c r="U119" s="11">
        <v>0</v>
      </c>
      <c r="V119">
        <v>0</v>
      </c>
      <c r="W119">
        <v>0</v>
      </c>
      <c r="X119" s="11">
        <f t="shared" si="6"/>
        <v>0</v>
      </c>
      <c r="Y119">
        <f t="shared" si="6"/>
        <v>0</v>
      </c>
      <c r="Z119">
        <f t="shared" si="6"/>
        <v>0</v>
      </c>
      <c r="AA119" s="11"/>
    </row>
    <row r="120" spans="1:28" x14ac:dyDescent="0.3">
      <c r="A120" s="7">
        <v>45539</v>
      </c>
      <c r="B120">
        <v>3</v>
      </c>
      <c r="C120" t="s">
        <v>236</v>
      </c>
      <c r="D120" t="s">
        <v>26</v>
      </c>
      <c r="E120">
        <v>14</v>
      </c>
      <c r="F120">
        <v>2</v>
      </c>
      <c r="G120">
        <v>3</v>
      </c>
      <c r="H120" t="s">
        <v>27</v>
      </c>
      <c r="I120">
        <v>1</v>
      </c>
      <c r="J120" s="10">
        <v>0.34375</v>
      </c>
      <c r="K120" s="10">
        <v>0.36180555555555555</v>
      </c>
      <c r="L120" s="10">
        <f t="shared" si="5"/>
        <v>1.8055555555555547E-2</v>
      </c>
      <c r="M120" s="12">
        <f t="shared" si="4"/>
        <v>0.43333333333333313</v>
      </c>
      <c r="N120" s="12">
        <f>Table35[[#This Row],[Trip Hours]]*Table35[[#This Row],['#Angler]]</f>
        <v>0.43333333333333313</v>
      </c>
      <c r="O120" t="s">
        <v>28</v>
      </c>
      <c r="P120" t="s">
        <v>56</v>
      </c>
      <c r="Q120" t="s">
        <v>237</v>
      </c>
      <c r="R120" s="11">
        <v>0</v>
      </c>
      <c r="S120">
        <v>0</v>
      </c>
      <c r="T120">
        <v>0</v>
      </c>
      <c r="U120" s="11">
        <v>0</v>
      </c>
      <c r="V120">
        <v>0</v>
      </c>
      <c r="W120">
        <v>0</v>
      </c>
      <c r="X120" s="11">
        <f t="shared" si="6"/>
        <v>0</v>
      </c>
      <c r="Y120">
        <f t="shared" si="6"/>
        <v>0</v>
      </c>
      <c r="Z120">
        <f t="shared" si="6"/>
        <v>0</v>
      </c>
      <c r="AA120" s="11"/>
    </row>
    <row r="121" spans="1:28" x14ac:dyDescent="0.3">
      <c r="A121" s="7">
        <v>45539</v>
      </c>
      <c r="B121">
        <v>3</v>
      </c>
      <c r="C121" t="s">
        <v>236</v>
      </c>
      <c r="D121" t="s">
        <v>26</v>
      </c>
      <c r="E121">
        <v>15</v>
      </c>
      <c r="F121">
        <v>2</v>
      </c>
      <c r="G121">
        <v>4</v>
      </c>
      <c r="H121" t="s">
        <v>27</v>
      </c>
      <c r="I121">
        <v>1</v>
      </c>
      <c r="J121" s="10">
        <v>0.36458333333333331</v>
      </c>
      <c r="K121" s="10">
        <v>0.38541666666666669</v>
      </c>
      <c r="L121" s="10">
        <f t="shared" si="5"/>
        <v>2.083333333333337E-2</v>
      </c>
      <c r="M121" s="12">
        <f t="shared" si="4"/>
        <v>0.50000000000000089</v>
      </c>
      <c r="N121" s="12">
        <f>Table35[[#This Row],[Trip Hours]]*Table35[[#This Row],['#Angler]]</f>
        <v>0.50000000000000089</v>
      </c>
      <c r="O121" t="s">
        <v>28</v>
      </c>
      <c r="P121" t="s">
        <v>56</v>
      </c>
      <c r="Q121" t="s">
        <v>241</v>
      </c>
      <c r="R121" s="11">
        <v>0</v>
      </c>
      <c r="S121">
        <v>0</v>
      </c>
      <c r="T121">
        <v>0</v>
      </c>
      <c r="U121" s="11">
        <v>0</v>
      </c>
      <c r="V121">
        <v>0</v>
      </c>
      <c r="W121">
        <v>0</v>
      </c>
      <c r="X121" s="11">
        <f t="shared" si="6"/>
        <v>0</v>
      </c>
      <c r="Y121">
        <f t="shared" si="6"/>
        <v>0</v>
      </c>
      <c r="Z121">
        <f t="shared" si="6"/>
        <v>0</v>
      </c>
      <c r="AA121" s="11"/>
    </row>
    <row r="122" spans="1:28" x14ac:dyDescent="0.3">
      <c r="A122" s="7">
        <v>45539</v>
      </c>
      <c r="B122">
        <v>3</v>
      </c>
      <c r="C122" t="s">
        <v>236</v>
      </c>
      <c r="D122" t="s">
        <v>26</v>
      </c>
      <c r="E122">
        <v>16</v>
      </c>
      <c r="F122">
        <v>2</v>
      </c>
      <c r="G122">
        <v>5</v>
      </c>
      <c r="H122" t="s">
        <v>27</v>
      </c>
      <c r="I122">
        <v>1</v>
      </c>
      <c r="J122" s="10">
        <v>0.39583333333333331</v>
      </c>
      <c r="K122" s="10">
        <v>0.41250000000000003</v>
      </c>
      <c r="L122" s="10">
        <f t="shared" si="5"/>
        <v>1.6666666666666718E-2</v>
      </c>
      <c r="M122" s="12">
        <f t="shared" si="4"/>
        <v>0.40000000000000124</v>
      </c>
      <c r="N122" s="12">
        <f>Table35[[#This Row],[Trip Hours]]*Table35[[#This Row],['#Angler]]</f>
        <v>0.40000000000000124</v>
      </c>
      <c r="O122" t="s">
        <v>28</v>
      </c>
      <c r="P122" t="s">
        <v>56</v>
      </c>
      <c r="Q122" t="s">
        <v>237</v>
      </c>
      <c r="R122" s="11">
        <v>0</v>
      </c>
      <c r="S122">
        <v>0</v>
      </c>
      <c r="T122">
        <v>0</v>
      </c>
      <c r="U122" s="11">
        <v>0</v>
      </c>
      <c r="V122">
        <v>0</v>
      </c>
      <c r="W122">
        <v>0</v>
      </c>
      <c r="X122" s="11">
        <f t="shared" si="6"/>
        <v>0</v>
      </c>
      <c r="Y122">
        <f t="shared" si="6"/>
        <v>0</v>
      </c>
      <c r="Z122">
        <f t="shared" si="6"/>
        <v>0</v>
      </c>
      <c r="AA122" s="11"/>
    </row>
    <row r="123" spans="1:28" x14ac:dyDescent="0.3">
      <c r="A123" s="7">
        <v>45539</v>
      </c>
      <c r="B123">
        <v>3</v>
      </c>
      <c r="C123" t="s">
        <v>236</v>
      </c>
      <c r="D123" t="s">
        <v>42</v>
      </c>
      <c r="E123">
        <v>17</v>
      </c>
      <c r="F123">
        <v>1</v>
      </c>
      <c r="G123">
        <v>4</v>
      </c>
      <c r="H123" t="s">
        <v>27</v>
      </c>
      <c r="I123">
        <v>2</v>
      </c>
      <c r="J123" s="10">
        <v>0.75</v>
      </c>
      <c r="K123" s="10">
        <v>0.78263888888888899</v>
      </c>
      <c r="L123" s="10">
        <f t="shared" si="5"/>
        <v>3.2638888888888995E-2</v>
      </c>
      <c r="M123" s="12">
        <f t="shared" si="4"/>
        <v>0.78333333333333588</v>
      </c>
      <c r="N123" s="12">
        <f>Table35[[#This Row],[Trip Hours]]*Table35[[#This Row],['#Angler]]</f>
        <v>1.5666666666666718</v>
      </c>
      <c r="O123" t="s">
        <v>25</v>
      </c>
      <c r="P123" t="s">
        <v>29</v>
      </c>
      <c r="Q123" t="s">
        <v>241</v>
      </c>
      <c r="R123" s="11">
        <v>0</v>
      </c>
      <c r="S123">
        <v>0</v>
      </c>
      <c r="T123">
        <v>0</v>
      </c>
      <c r="U123" s="11">
        <v>0</v>
      </c>
      <c r="V123">
        <v>0</v>
      </c>
      <c r="W123">
        <v>0</v>
      </c>
      <c r="X123" s="11">
        <f t="shared" si="6"/>
        <v>0</v>
      </c>
      <c r="Y123">
        <f t="shared" si="6"/>
        <v>0</v>
      </c>
      <c r="Z123">
        <f t="shared" si="6"/>
        <v>0</v>
      </c>
      <c r="AA123" s="11"/>
    </row>
    <row r="124" spans="1:28" x14ac:dyDescent="0.3">
      <c r="A124" s="7">
        <v>45539</v>
      </c>
      <c r="B124">
        <v>3</v>
      </c>
      <c r="C124" t="s">
        <v>236</v>
      </c>
      <c r="D124" t="s">
        <v>42</v>
      </c>
      <c r="E124">
        <v>18</v>
      </c>
      <c r="F124">
        <v>1</v>
      </c>
      <c r="G124">
        <v>1</v>
      </c>
      <c r="H124" t="s">
        <v>35</v>
      </c>
      <c r="I124">
        <v>1</v>
      </c>
      <c r="J124" s="10">
        <v>0.41666666666666669</v>
      </c>
      <c r="K124" s="10">
        <v>0.8256944444444444</v>
      </c>
      <c r="L124" s="10">
        <f t="shared" si="5"/>
        <v>0.40902777777777771</v>
      </c>
      <c r="M124" s="12">
        <f t="shared" si="4"/>
        <v>9.8166666666666647</v>
      </c>
      <c r="N124" s="12">
        <f>Table35[[#This Row],[Trip Hours]]*Table35[[#This Row],['#Angler]]</f>
        <v>9.8166666666666647</v>
      </c>
      <c r="O124" t="s">
        <v>25</v>
      </c>
      <c r="P124" t="s">
        <v>49</v>
      </c>
      <c r="Q124" t="s">
        <v>247</v>
      </c>
      <c r="R124" s="11">
        <v>0</v>
      </c>
      <c r="S124">
        <v>0</v>
      </c>
      <c r="T124">
        <v>0</v>
      </c>
      <c r="U124" s="11">
        <v>0</v>
      </c>
      <c r="V124">
        <v>0</v>
      </c>
      <c r="W124">
        <v>0</v>
      </c>
      <c r="X124" s="11">
        <f t="shared" si="6"/>
        <v>0</v>
      </c>
      <c r="Y124">
        <f t="shared" si="6"/>
        <v>0</v>
      </c>
      <c r="Z124">
        <f t="shared" si="6"/>
        <v>0</v>
      </c>
      <c r="AA124" s="11"/>
    </row>
    <row r="125" spans="1:28" x14ac:dyDescent="0.3">
      <c r="A125" s="7">
        <v>45540</v>
      </c>
      <c r="B125">
        <v>3</v>
      </c>
      <c r="C125" t="s">
        <v>236</v>
      </c>
      <c r="D125" t="s">
        <v>26</v>
      </c>
      <c r="E125">
        <v>1</v>
      </c>
      <c r="F125">
        <v>1</v>
      </c>
      <c r="G125">
        <v>1</v>
      </c>
      <c r="H125" t="s">
        <v>35</v>
      </c>
      <c r="I125">
        <v>3</v>
      </c>
      <c r="J125" s="10">
        <v>0.29166666666666669</v>
      </c>
      <c r="K125" s="10">
        <v>0.34375</v>
      </c>
      <c r="L125" s="10">
        <f t="shared" si="5"/>
        <v>5.2083333333333315E-2</v>
      </c>
      <c r="M125" s="12">
        <f t="shared" si="4"/>
        <v>1.2499999999999996</v>
      </c>
      <c r="N125" s="12">
        <f>Table35[[#This Row],[Trip Hours]]*Table35[[#This Row],['#Angler]]</f>
        <v>3.7499999999999987</v>
      </c>
      <c r="O125" t="s">
        <v>25</v>
      </c>
      <c r="P125" t="s">
        <v>248</v>
      </c>
      <c r="Q125" t="s">
        <v>247</v>
      </c>
      <c r="R125" s="11">
        <v>0</v>
      </c>
      <c r="S125">
        <v>2</v>
      </c>
      <c r="T125">
        <v>0</v>
      </c>
      <c r="U125" s="11">
        <v>0</v>
      </c>
      <c r="V125">
        <v>0</v>
      </c>
      <c r="W125">
        <v>0</v>
      </c>
      <c r="X125" s="11">
        <f t="shared" si="6"/>
        <v>0</v>
      </c>
      <c r="Y125">
        <f t="shared" si="6"/>
        <v>2</v>
      </c>
      <c r="Z125">
        <f t="shared" si="6"/>
        <v>0</v>
      </c>
      <c r="AA125" s="11"/>
    </row>
    <row r="126" spans="1:28" x14ac:dyDescent="0.3">
      <c r="A126" s="7">
        <v>45540</v>
      </c>
      <c r="B126">
        <v>3</v>
      </c>
      <c r="C126" t="s">
        <v>236</v>
      </c>
      <c r="D126" t="s">
        <v>26</v>
      </c>
      <c r="E126">
        <v>2</v>
      </c>
      <c r="F126">
        <v>1</v>
      </c>
      <c r="G126">
        <v>1</v>
      </c>
      <c r="H126" t="s">
        <v>35</v>
      </c>
      <c r="I126">
        <v>1</v>
      </c>
      <c r="J126" s="10">
        <v>0.27083333333333331</v>
      </c>
      <c r="K126" s="10">
        <v>0.34791666666666665</v>
      </c>
      <c r="L126" s="10">
        <f t="shared" si="5"/>
        <v>7.7083333333333337E-2</v>
      </c>
      <c r="M126" s="12">
        <f t="shared" si="4"/>
        <v>1.85</v>
      </c>
      <c r="N126" s="12">
        <f>Table35[[#This Row],[Trip Hours]]*Table35[[#This Row],['#Angler]]</f>
        <v>1.85</v>
      </c>
      <c r="O126" t="s">
        <v>25</v>
      </c>
      <c r="P126" t="s">
        <v>242</v>
      </c>
      <c r="Q126" t="s">
        <v>247</v>
      </c>
      <c r="R126" s="11">
        <v>0</v>
      </c>
      <c r="S126">
        <v>0</v>
      </c>
      <c r="T126">
        <v>0</v>
      </c>
      <c r="U126" s="11">
        <v>0</v>
      </c>
      <c r="V126">
        <v>0</v>
      </c>
      <c r="W126">
        <v>0</v>
      </c>
      <c r="X126" s="11">
        <f t="shared" si="6"/>
        <v>0</v>
      </c>
      <c r="Y126">
        <f t="shared" si="6"/>
        <v>0</v>
      </c>
      <c r="Z126">
        <f t="shared" si="6"/>
        <v>0</v>
      </c>
      <c r="AA126" s="11"/>
      <c r="AB126" t="s">
        <v>276</v>
      </c>
    </row>
    <row r="127" spans="1:28" x14ac:dyDescent="0.3">
      <c r="A127" s="7">
        <v>45540</v>
      </c>
      <c r="B127">
        <v>3</v>
      </c>
      <c r="C127" t="s">
        <v>236</v>
      </c>
      <c r="D127" t="s">
        <v>26</v>
      </c>
      <c r="E127">
        <v>3</v>
      </c>
      <c r="F127">
        <v>1</v>
      </c>
      <c r="G127">
        <v>1</v>
      </c>
      <c r="H127" t="s">
        <v>35</v>
      </c>
      <c r="I127">
        <v>1</v>
      </c>
      <c r="J127" s="10">
        <v>0.25</v>
      </c>
      <c r="K127" s="10">
        <v>0.37083333333333335</v>
      </c>
      <c r="L127" s="10">
        <f t="shared" si="5"/>
        <v>0.12083333333333335</v>
      </c>
      <c r="M127" s="12">
        <f t="shared" si="4"/>
        <v>2.9000000000000004</v>
      </c>
      <c r="N127" s="12">
        <f>Table35[[#This Row],[Trip Hours]]*Table35[[#This Row],['#Angler]]</f>
        <v>2.9000000000000004</v>
      </c>
      <c r="O127" t="s">
        <v>25</v>
      </c>
      <c r="P127" t="s">
        <v>37</v>
      </c>
      <c r="Q127" t="s">
        <v>247</v>
      </c>
      <c r="R127" s="11">
        <v>0</v>
      </c>
      <c r="S127">
        <v>3</v>
      </c>
      <c r="T127">
        <v>0</v>
      </c>
      <c r="U127" s="11">
        <v>0</v>
      </c>
      <c r="V127">
        <v>0</v>
      </c>
      <c r="W127">
        <v>0</v>
      </c>
      <c r="X127" s="11">
        <f t="shared" si="6"/>
        <v>0</v>
      </c>
      <c r="Y127">
        <f t="shared" si="6"/>
        <v>3</v>
      </c>
      <c r="Z127">
        <f t="shared" si="6"/>
        <v>0</v>
      </c>
      <c r="AA127" s="11"/>
    </row>
    <row r="128" spans="1:28" x14ac:dyDescent="0.3">
      <c r="A128" s="7">
        <v>45540</v>
      </c>
      <c r="B128">
        <v>3</v>
      </c>
      <c r="C128" t="s">
        <v>236</v>
      </c>
      <c r="D128" t="s">
        <v>26</v>
      </c>
      <c r="E128">
        <v>4</v>
      </c>
      <c r="F128">
        <v>1</v>
      </c>
      <c r="G128">
        <v>1</v>
      </c>
      <c r="H128" t="s">
        <v>35</v>
      </c>
      <c r="I128">
        <v>3</v>
      </c>
      <c r="J128" s="10">
        <v>0.25</v>
      </c>
      <c r="K128" s="10">
        <v>0.3833333333333333</v>
      </c>
      <c r="L128" s="10">
        <f t="shared" si="5"/>
        <v>0.1333333333333333</v>
      </c>
      <c r="M128" s="12">
        <f t="shared" si="4"/>
        <v>3.1999999999999993</v>
      </c>
      <c r="N128" s="12">
        <f>Table35[[#This Row],[Trip Hours]]*Table35[[#This Row],['#Angler]]</f>
        <v>9.5999999999999979</v>
      </c>
      <c r="O128" t="s">
        <v>25</v>
      </c>
      <c r="P128" t="s">
        <v>248</v>
      </c>
      <c r="Q128" t="s">
        <v>247</v>
      </c>
      <c r="R128" s="11">
        <v>0</v>
      </c>
      <c r="S128">
        <v>9</v>
      </c>
      <c r="T128">
        <v>0</v>
      </c>
      <c r="U128" s="11">
        <v>0</v>
      </c>
      <c r="V128">
        <v>0</v>
      </c>
      <c r="W128">
        <v>0</v>
      </c>
      <c r="X128" s="11">
        <f t="shared" si="6"/>
        <v>0</v>
      </c>
      <c r="Y128">
        <f t="shared" si="6"/>
        <v>9</v>
      </c>
      <c r="Z128">
        <f t="shared" si="6"/>
        <v>0</v>
      </c>
      <c r="AA128" s="11"/>
    </row>
    <row r="129" spans="1:27" x14ac:dyDescent="0.3">
      <c r="A129" s="7">
        <v>45540</v>
      </c>
      <c r="B129">
        <v>3</v>
      </c>
      <c r="C129" t="s">
        <v>236</v>
      </c>
      <c r="D129" t="s">
        <v>26</v>
      </c>
      <c r="E129">
        <v>5</v>
      </c>
      <c r="F129">
        <v>1</v>
      </c>
      <c r="G129">
        <v>1</v>
      </c>
      <c r="H129" t="s">
        <v>35</v>
      </c>
      <c r="I129">
        <v>1</v>
      </c>
      <c r="J129" s="10">
        <v>0.25</v>
      </c>
      <c r="K129" s="10">
        <v>0.41666666666666669</v>
      </c>
      <c r="L129" s="10">
        <f t="shared" si="5"/>
        <v>0.16666666666666669</v>
      </c>
      <c r="M129" s="12">
        <f t="shared" si="4"/>
        <v>4</v>
      </c>
      <c r="N129" s="12">
        <f>Table35[[#This Row],[Trip Hours]]*Table35[[#This Row],['#Angler]]</f>
        <v>4</v>
      </c>
      <c r="O129" t="s">
        <v>25</v>
      </c>
      <c r="P129" t="s">
        <v>277</v>
      </c>
      <c r="Q129" t="s">
        <v>247</v>
      </c>
      <c r="R129" s="11">
        <v>0</v>
      </c>
      <c r="S129">
        <v>2</v>
      </c>
      <c r="T129">
        <v>0</v>
      </c>
      <c r="U129" s="11">
        <v>0</v>
      </c>
      <c r="V129">
        <v>8</v>
      </c>
      <c r="W129">
        <v>0</v>
      </c>
      <c r="X129" s="11">
        <f t="shared" si="6"/>
        <v>0</v>
      </c>
      <c r="Y129">
        <f t="shared" si="6"/>
        <v>10</v>
      </c>
      <c r="Z129">
        <f t="shared" si="6"/>
        <v>0</v>
      </c>
      <c r="AA129" s="11"/>
    </row>
    <row r="130" spans="1:27" x14ac:dyDescent="0.3">
      <c r="A130" s="7">
        <v>45540</v>
      </c>
      <c r="B130">
        <v>3</v>
      </c>
      <c r="C130" t="s">
        <v>236</v>
      </c>
      <c r="D130" t="s">
        <v>26</v>
      </c>
      <c r="E130">
        <v>6</v>
      </c>
      <c r="F130">
        <v>1</v>
      </c>
      <c r="G130">
        <v>1</v>
      </c>
      <c r="H130" t="s">
        <v>35</v>
      </c>
      <c r="I130">
        <v>1</v>
      </c>
      <c r="J130" s="10">
        <v>0.25</v>
      </c>
      <c r="K130" s="10">
        <v>0.4284722222222222</v>
      </c>
      <c r="L130" s="10">
        <f t="shared" si="5"/>
        <v>0.1784722222222222</v>
      </c>
      <c r="M130" s="12">
        <f t="shared" ref="M130:M193" si="7">L130*24</f>
        <v>4.2833333333333332</v>
      </c>
      <c r="N130" s="12">
        <f>Table35[[#This Row],[Trip Hours]]*Table35[[#This Row],['#Angler]]</f>
        <v>4.2833333333333332</v>
      </c>
      <c r="O130" t="s">
        <v>25</v>
      </c>
      <c r="P130" t="s">
        <v>49</v>
      </c>
      <c r="Q130" t="s">
        <v>247</v>
      </c>
      <c r="R130" s="11">
        <v>0</v>
      </c>
      <c r="S130">
        <v>2</v>
      </c>
      <c r="T130">
        <v>0</v>
      </c>
      <c r="U130" s="11">
        <v>0</v>
      </c>
      <c r="V130">
        <v>4</v>
      </c>
      <c r="W130">
        <v>0</v>
      </c>
      <c r="X130" s="11">
        <f t="shared" si="6"/>
        <v>0</v>
      </c>
      <c r="Y130">
        <f t="shared" si="6"/>
        <v>6</v>
      </c>
      <c r="Z130">
        <f t="shared" si="6"/>
        <v>0</v>
      </c>
      <c r="AA130" s="11"/>
    </row>
    <row r="131" spans="1:27" x14ac:dyDescent="0.3">
      <c r="A131" s="7">
        <v>45540</v>
      </c>
      <c r="B131">
        <v>3</v>
      </c>
      <c r="C131" t="s">
        <v>236</v>
      </c>
      <c r="D131" t="s">
        <v>42</v>
      </c>
      <c r="E131">
        <v>7</v>
      </c>
      <c r="F131">
        <v>1</v>
      </c>
      <c r="G131">
        <v>4</v>
      </c>
      <c r="H131" t="s">
        <v>27</v>
      </c>
      <c r="I131">
        <v>1</v>
      </c>
      <c r="J131" s="10">
        <v>0.66666666666666663</v>
      </c>
      <c r="K131" s="10">
        <v>0.67986111111111114</v>
      </c>
      <c r="L131" s="10">
        <f t="shared" si="5"/>
        <v>1.3194444444444509E-2</v>
      </c>
      <c r="M131" s="12">
        <f t="shared" si="7"/>
        <v>0.31666666666666821</v>
      </c>
      <c r="N131" s="12">
        <f>Table35[[#This Row],[Trip Hours]]*Table35[[#This Row],['#Angler]]</f>
        <v>0.31666666666666821</v>
      </c>
      <c r="O131" t="s">
        <v>25</v>
      </c>
      <c r="P131" t="s">
        <v>148</v>
      </c>
      <c r="Q131" t="s">
        <v>247</v>
      </c>
      <c r="R131" s="11">
        <v>0</v>
      </c>
      <c r="S131">
        <v>0</v>
      </c>
      <c r="T131">
        <v>0</v>
      </c>
      <c r="U131" s="11">
        <v>0</v>
      </c>
      <c r="V131">
        <v>0</v>
      </c>
      <c r="W131">
        <v>0</v>
      </c>
      <c r="X131" s="11">
        <f t="shared" si="6"/>
        <v>0</v>
      </c>
      <c r="Y131">
        <f t="shared" si="6"/>
        <v>0</v>
      </c>
      <c r="Z131">
        <f t="shared" si="6"/>
        <v>0</v>
      </c>
      <c r="AA131" s="11"/>
    </row>
    <row r="132" spans="1:27" x14ac:dyDescent="0.3">
      <c r="A132" s="7">
        <v>45540</v>
      </c>
      <c r="B132">
        <v>3</v>
      </c>
      <c r="C132" t="s">
        <v>236</v>
      </c>
      <c r="D132" t="s">
        <v>42</v>
      </c>
      <c r="E132">
        <v>8</v>
      </c>
      <c r="F132">
        <v>2</v>
      </c>
      <c r="G132">
        <v>5</v>
      </c>
      <c r="H132" t="s">
        <v>27</v>
      </c>
      <c r="I132">
        <v>2</v>
      </c>
      <c r="J132" s="10">
        <v>0.70833333333333337</v>
      </c>
      <c r="K132" s="10">
        <v>0.81388888888888899</v>
      </c>
      <c r="L132" s="10">
        <f t="shared" ref="L132:L195" si="8">K132-J132</f>
        <v>0.10555555555555562</v>
      </c>
      <c r="M132" s="12">
        <f t="shared" si="7"/>
        <v>2.533333333333335</v>
      </c>
      <c r="N132" s="12">
        <f>Table35[[#This Row],[Trip Hours]]*Table35[[#This Row],['#Angler]]</f>
        <v>5.06666666666667</v>
      </c>
      <c r="O132" t="s">
        <v>25</v>
      </c>
      <c r="P132" t="s">
        <v>56</v>
      </c>
      <c r="Q132" t="s">
        <v>237</v>
      </c>
      <c r="R132" s="11">
        <v>0</v>
      </c>
      <c r="S132">
        <v>0</v>
      </c>
      <c r="T132">
        <v>0</v>
      </c>
      <c r="U132" s="11">
        <v>0</v>
      </c>
      <c r="V132">
        <v>0</v>
      </c>
      <c r="W132">
        <v>0</v>
      </c>
      <c r="X132" s="11">
        <f t="shared" si="6"/>
        <v>0</v>
      </c>
      <c r="Y132">
        <f t="shared" si="6"/>
        <v>0</v>
      </c>
      <c r="Z132">
        <f t="shared" si="6"/>
        <v>0</v>
      </c>
      <c r="AA132" s="11"/>
    </row>
    <row r="133" spans="1:27" x14ac:dyDescent="0.3">
      <c r="A133" s="7">
        <v>45541</v>
      </c>
      <c r="B133">
        <v>3</v>
      </c>
      <c r="C133" t="s">
        <v>236</v>
      </c>
      <c r="D133" t="s">
        <v>26</v>
      </c>
      <c r="E133">
        <v>1</v>
      </c>
      <c r="F133">
        <v>2</v>
      </c>
      <c r="G133">
        <v>2</v>
      </c>
      <c r="H133" t="s">
        <v>27</v>
      </c>
      <c r="I133">
        <v>1</v>
      </c>
      <c r="J133" s="10">
        <v>0.32291666666666669</v>
      </c>
      <c r="K133" s="10">
        <v>0.33680555555555558</v>
      </c>
      <c r="L133" s="10">
        <f t="shared" si="8"/>
        <v>1.3888888888888895E-2</v>
      </c>
      <c r="M133" s="12">
        <f t="shared" si="7"/>
        <v>0.33333333333333348</v>
      </c>
      <c r="N133" s="12">
        <f>Table35[[#This Row],[Trip Hours]]*Table35[[#This Row],['#Angler]]</f>
        <v>0.33333333333333348</v>
      </c>
      <c r="O133" t="s">
        <v>25</v>
      </c>
      <c r="P133" t="s">
        <v>49</v>
      </c>
      <c r="Q133" t="s">
        <v>241</v>
      </c>
      <c r="R133" s="11">
        <v>0</v>
      </c>
      <c r="S133">
        <v>0</v>
      </c>
      <c r="T133">
        <v>0</v>
      </c>
      <c r="U133" s="11">
        <v>0</v>
      </c>
      <c r="V133">
        <v>0</v>
      </c>
      <c r="W133">
        <v>0</v>
      </c>
      <c r="X133" s="11">
        <f t="shared" si="6"/>
        <v>0</v>
      </c>
      <c r="Y133">
        <f t="shared" si="6"/>
        <v>0</v>
      </c>
      <c r="Z133">
        <f t="shared" si="6"/>
        <v>0</v>
      </c>
      <c r="AA133" s="11"/>
    </row>
    <row r="134" spans="1:27" x14ac:dyDescent="0.3">
      <c r="A134" s="7">
        <v>45541</v>
      </c>
      <c r="B134">
        <v>3</v>
      </c>
      <c r="C134" t="s">
        <v>236</v>
      </c>
      <c r="D134" t="s">
        <v>42</v>
      </c>
      <c r="E134">
        <v>2</v>
      </c>
      <c r="F134">
        <v>2</v>
      </c>
      <c r="G134">
        <v>4</v>
      </c>
      <c r="H134" t="s">
        <v>27</v>
      </c>
      <c r="I134">
        <v>2</v>
      </c>
      <c r="J134" s="10">
        <v>0.58333333333333337</v>
      </c>
      <c r="K134" s="10">
        <v>0.6958333333333333</v>
      </c>
      <c r="L134" s="10">
        <f t="shared" si="8"/>
        <v>0.11249999999999993</v>
      </c>
      <c r="M134" s="12">
        <f t="shared" si="7"/>
        <v>2.6999999999999984</v>
      </c>
      <c r="N134" s="12">
        <f>Table35[[#This Row],[Trip Hours]]*Table35[[#This Row],['#Angler]]</f>
        <v>5.3999999999999968</v>
      </c>
      <c r="O134" t="s">
        <v>28</v>
      </c>
      <c r="P134" t="s">
        <v>56</v>
      </c>
      <c r="Q134" t="s">
        <v>241</v>
      </c>
      <c r="R134" s="11">
        <v>0</v>
      </c>
      <c r="S134">
        <v>0</v>
      </c>
      <c r="T134">
        <v>0</v>
      </c>
      <c r="U134" s="11">
        <v>0</v>
      </c>
      <c r="V134">
        <v>0</v>
      </c>
      <c r="W134">
        <v>0</v>
      </c>
      <c r="X134" s="11">
        <f t="shared" si="6"/>
        <v>0</v>
      </c>
      <c r="Y134">
        <f t="shared" si="6"/>
        <v>0</v>
      </c>
      <c r="Z134">
        <f t="shared" si="6"/>
        <v>0</v>
      </c>
      <c r="AA134" s="11"/>
    </row>
    <row r="135" spans="1:27" x14ac:dyDescent="0.3">
      <c r="A135" s="7">
        <v>45541</v>
      </c>
      <c r="B135">
        <v>3</v>
      </c>
      <c r="C135" t="s">
        <v>236</v>
      </c>
      <c r="D135" t="s">
        <v>42</v>
      </c>
      <c r="E135">
        <v>3</v>
      </c>
      <c r="F135">
        <v>2</v>
      </c>
      <c r="G135">
        <v>3</v>
      </c>
      <c r="H135" t="s">
        <v>27</v>
      </c>
      <c r="I135">
        <v>1</v>
      </c>
      <c r="J135" s="10">
        <v>0.6875</v>
      </c>
      <c r="K135" s="10">
        <v>0.70208333333333339</v>
      </c>
      <c r="L135" s="10">
        <f t="shared" si="8"/>
        <v>1.4583333333333393E-2</v>
      </c>
      <c r="M135" s="12">
        <f t="shared" si="7"/>
        <v>0.35000000000000142</v>
      </c>
      <c r="N135" s="12">
        <f>Table35[[#This Row],[Trip Hours]]*Table35[[#This Row],['#Angler]]</f>
        <v>0.35000000000000142</v>
      </c>
      <c r="O135" t="s">
        <v>28</v>
      </c>
      <c r="P135" t="s">
        <v>148</v>
      </c>
      <c r="Q135" t="s">
        <v>244</v>
      </c>
      <c r="R135" s="11">
        <v>0</v>
      </c>
      <c r="S135">
        <v>0</v>
      </c>
      <c r="T135">
        <v>0</v>
      </c>
      <c r="U135" s="11">
        <v>0</v>
      </c>
      <c r="V135">
        <v>0</v>
      </c>
      <c r="W135">
        <v>0</v>
      </c>
      <c r="X135" s="11">
        <f t="shared" si="6"/>
        <v>0</v>
      </c>
      <c r="Y135">
        <f t="shared" si="6"/>
        <v>0</v>
      </c>
      <c r="Z135">
        <f t="shared" si="6"/>
        <v>0</v>
      </c>
      <c r="AA135" s="11"/>
    </row>
    <row r="136" spans="1:27" x14ac:dyDescent="0.3">
      <c r="A136" s="7">
        <v>45541</v>
      </c>
      <c r="B136">
        <v>3</v>
      </c>
      <c r="C136" t="s">
        <v>236</v>
      </c>
      <c r="D136" t="s">
        <v>42</v>
      </c>
      <c r="E136">
        <v>4</v>
      </c>
      <c r="F136">
        <v>2</v>
      </c>
      <c r="G136">
        <v>3</v>
      </c>
      <c r="H136" t="s">
        <v>27</v>
      </c>
      <c r="I136">
        <v>1</v>
      </c>
      <c r="J136" s="10">
        <v>0.66666666666666663</v>
      </c>
      <c r="K136" s="10">
        <v>0.72777777777777775</v>
      </c>
      <c r="L136" s="10">
        <f t="shared" si="8"/>
        <v>6.1111111111111116E-2</v>
      </c>
      <c r="M136" s="12">
        <f t="shared" si="7"/>
        <v>1.4666666666666668</v>
      </c>
      <c r="N136" s="12">
        <f>Table35[[#This Row],[Trip Hours]]*Table35[[#This Row],['#Angler]]</f>
        <v>1.4666666666666668</v>
      </c>
      <c r="O136" t="s">
        <v>28</v>
      </c>
      <c r="P136" t="s">
        <v>278</v>
      </c>
      <c r="Q136" t="s">
        <v>244</v>
      </c>
      <c r="R136" s="11">
        <v>0</v>
      </c>
      <c r="S136">
        <v>0</v>
      </c>
      <c r="T136">
        <v>0</v>
      </c>
      <c r="U136" s="11">
        <v>0</v>
      </c>
      <c r="V136">
        <v>0</v>
      </c>
      <c r="W136">
        <v>0</v>
      </c>
      <c r="X136" s="11">
        <f t="shared" si="6"/>
        <v>0</v>
      </c>
      <c r="Y136">
        <f t="shared" si="6"/>
        <v>0</v>
      </c>
      <c r="Z136">
        <f t="shared" si="6"/>
        <v>0</v>
      </c>
      <c r="AA136" s="11"/>
    </row>
    <row r="137" spans="1:27" x14ac:dyDescent="0.3">
      <c r="A137" s="7">
        <v>45541</v>
      </c>
      <c r="B137">
        <v>3</v>
      </c>
      <c r="C137" t="s">
        <v>236</v>
      </c>
      <c r="D137" t="s">
        <v>42</v>
      </c>
      <c r="E137">
        <v>5</v>
      </c>
      <c r="F137">
        <v>2</v>
      </c>
      <c r="G137">
        <v>3</v>
      </c>
      <c r="H137" t="s">
        <v>27</v>
      </c>
      <c r="I137">
        <v>3</v>
      </c>
      <c r="J137" s="10">
        <v>0.66666666666666663</v>
      </c>
      <c r="K137" s="10">
        <v>0.73125000000000007</v>
      </c>
      <c r="L137" s="10">
        <f t="shared" si="8"/>
        <v>6.4583333333333437E-2</v>
      </c>
      <c r="M137" s="12">
        <f t="shared" si="7"/>
        <v>1.5500000000000025</v>
      </c>
      <c r="N137" s="12">
        <f>Table35[[#This Row],[Trip Hours]]*Table35[[#This Row],['#Angler]]</f>
        <v>4.6500000000000075</v>
      </c>
      <c r="O137" t="s">
        <v>28</v>
      </c>
      <c r="P137" t="s">
        <v>56</v>
      </c>
      <c r="Q137" t="s">
        <v>241</v>
      </c>
      <c r="R137" s="11">
        <v>0</v>
      </c>
      <c r="S137">
        <v>0</v>
      </c>
      <c r="T137">
        <v>0</v>
      </c>
      <c r="U137" s="11">
        <v>0</v>
      </c>
      <c r="V137">
        <v>0</v>
      </c>
      <c r="W137">
        <v>0</v>
      </c>
      <c r="X137" s="11">
        <f t="shared" si="6"/>
        <v>0</v>
      </c>
      <c r="Y137">
        <f t="shared" si="6"/>
        <v>0</v>
      </c>
      <c r="Z137">
        <f t="shared" si="6"/>
        <v>0</v>
      </c>
      <c r="AA137" s="11"/>
    </row>
    <row r="138" spans="1:27" x14ac:dyDescent="0.3">
      <c r="A138" s="7">
        <v>45541</v>
      </c>
      <c r="B138">
        <v>3</v>
      </c>
      <c r="C138" t="s">
        <v>236</v>
      </c>
      <c r="D138" t="s">
        <v>42</v>
      </c>
      <c r="E138">
        <v>6</v>
      </c>
      <c r="F138">
        <v>2</v>
      </c>
      <c r="G138">
        <v>2</v>
      </c>
      <c r="H138" t="s">
        <v>27</v>
      </c>
      <c r="I138">
        <v>2</v>
      </c>
      <c r="J138" s="10">
        <v>0.66666666666666663</v>
      </c>
      <c r="K138" s="10">
        <v>0.73611111111111116</v>
      </c>
      <c r="L138" s="10">
        <f t="shared" si="8"/>
        <v>6.9444444444444531E-2</v>
      </c>
      <c r="M138" s="12">
        <f t="shared" si="7"/>
        <v>1.6666666666666687</v>
      </c>
      <c r="N138" s="12">
        <f>Table35[[#This Row],[Trip Hours]]*Table35[[#This Row],['#Angler]]</f>
        <v>3.3333333333333375</v>
      </c>
      <c r="O138" t="s">
        <v>28</v>
      </c>
      <c r="P138" t="s">
        <v>56</v>
      </c>
      <c r="Q138" t="s">
        <v>237</v>
      </c>
      <c r="R138" s="11">
        <v>0</v>
      </c>
      <c r="S138">
        <v>0</v>
      </c>
      <c r="T138">
        <v>0</v>
      </c>
      <c r="U138" s="11">
        <v>0</v>
      </c>
      <c r="V138">
        <v>0</v>
      </c>
      <c r="W138">
        <v>0</v>
      </c>
      <c r="X138" s="11">
        <f t="shared" si="6"/>
        <v>0</v>
      </c>
      <c r="Y138">
        <f t="shared" si="6"/>
        <v>0</v>
      </c>
      <c r="Z138">
        <f t="shared" si="6"/>
        <v>0</v>
      </c>
      <c r="AA138" s="11"/>
    </row>
    <row r="139" spans="1:27" x14ac:dyDescent="0.3">
      <c r="A139" s="7">
        <v>45541</v>
      </c>
      <c r="B139">
        <v>3</v>
      </c>
      <c r="C139" t="s">
        <v>236</v>
      </c>
      <c r="D139" t="s">
        <v>42</v>
      </c>
      <c r="E139">
        <v>7</v>
      </c>
      <c r="F139">
        <v>2</v>
      </c>
      <c r="G139">
        <v>2</v>
      </c>
      <c r="H139" t="s">
        <v>27</v>
      </c>
      <c r="I139">
        <v>2</v>
      </c>
      <c r="J139" s="10">
        <v>0.6875</v>
      </c>
      <c r="K139" s="10">
        <v>0.73958333333333337</v>
      </c>
      <c r="L139" s="10">
        <f t="shared" si="8"/>
        <v>5.208333333333337E-2</v>
      </c>
      <c r="M139" s="12">
        <f t="shared" si="7"/>
        <v>1.2500000000000009</v>
      </c>
      <c r="N139" s="12">
        <f>Table35[[#This Row],[Trip Hours]]*Table35[[#This Row],['#Angler]]</f>
        <v>2.5000000000000018</v>
      </c>
      <c r="O139" t="s">
        <v>28</v>
      </c>
      <c r="P139" t="s">
        <v>279</v>
      </c>
      <c r="Q139" t="s">
        <v>237</v>
      </c>
      <c r="R139" s="11">
        <v>0</v>
      </c>
      <c r="S139">
        <v>0</v>
      </c>
      <c r="T139">
        <v>0</v>
      </c>
      <c r="U139" s="11">
        <v>0</v>
      </c>
      <c r="V139">
        <v>0</v>
      </c>
      <c r="W139">
        <v>0</v>
      </c>
      <c r="X139" s="11">
        <f t="shared" si="6"/>
        <v>0</v>
      </c>
      <c r="Y139">
        <f t="shared" si="6"/>
        <v>0</v>
      </c>
      <c r="Z139">
        <f t="shared" si="6"/>
        <v>0</v>
      </c>
      <c r="AA139" s="11"/>
    </row>
    <row r="140" spans="1:27" x14ac:dyDescent="0.3">
      <c r="A140" s="7">
        <v>45541</v>
      </c>
      <c r="B140">
        <v>3</v>
      </c>
      <c r="C140" t="s">
        <v>236</v>
      </c>
      <c r="D140" t="s">
        <v>42</v>
      </c>
      <c r="E140">
        <v>8</v>
      </c>
      <c r="F140">
        <v>2</v>
      </c>
      <c r="G140">
        <v>2</v>
      </c>
      <c r="H140" t="s">
        <v>27</v>
      </c>
      <c r="I140">
        <v>3</v>
      </c>
      <c r="J140" s="10">
        <v>0.63541666666666663</v>
      </c>
      <c r="K140" s="10">
        <v>0.75138888888888899</v>
      </c>
      <c r="L140" s="10">
        <f t="shared" si="8"/>
        <v>0.11597222222222237</v>
      </c>
      <c r="M140" s="12">
        <f t="shared" si="7"/>
        <v>2.7833333333333368</v>
      </c>
      <c r="N140" s="12">
        <f>Table35[[#This Row],[Trip Hours]]*Table35[[#This Row],['#Angler]]</f>
        <v>8.3500000000000103</v>
      </c>
      <c r="O140" t="s">
        <v>28</v>
      </c>
      <c r="P140" t="s">
        <v>62</v>
      </c>
      <c r="Q140" t="s">
        <v>247</v>
      </c>
      <c r="R140" s="11">
        <v>0</v>
      </c>
      <c r="S140">
        <v>0</v>
      </c>
      <c r="T140">
        <v>0</v>
      </c>
      <c r="U140" s="11">
        <v>0</v>
      </c>
      <c r="V140">
        <v>0</v>
      </c>
      <c r="W140">
        <v>0</v>
      </c>
      <c r="X140" s="11">
        <f t="shared" si="6"/>
        <v>0</v>
      </c>
      <c r="Y140">
        <f t="shared" si="6"/>
        <v>0</v>
      </c>
      <c r="Z140">
        <f t="shared" si="6"/>
        <v>0</v>
      </c>
      <c r="AA140" s="11"/>
    </row>
    <row r="141" spans="1:27" x14ac:dyDescent="0.3">
      <c r="A141" s="7">
        <v>45541</v>
      </c>
      <c r="B141">
        <v>3</v>
      </c>
      <c r="C141" t="s">
        <v>236</v>
      </c>
      <c r="D141" t="s">
        <v>42</v>
      </c>
      <c r="E141">
        <v>9</v>
      </c>
      <c r="F141">
        <v>2</v>
      </c>
      <c r="G141">
        <v>2</v>
      </c>
      <c r="H141" t="s">
        <v>27</v>
      </c>
      <c r="I141">
        <v>1</v>
      </c>
      <c r="J141" s="10">
        <v>0.70833333333333337</v>
      </c>
      <c r="K141" s="10">
        <v>0.76041666666666663</v>
      </c>
      <c r="L141" s="10">
        <f t="shared" si="8"/>
        <v>5.2083333333333259E-2</v>
      </c>
      <c r="M141" s="12">
        <f t="shared" si="7"/>
        <v>1.2499999999999982</v>
      </c>
      <c r="N141" s="12">
        <f>Table35[[#This Row],[Trip Hours]]*Table35[[#This Row],['#Angler]]</f>
        <v>1.2499999999999982</v>
      </c>
      <c r="O141" t="s">
        <v>25</v>
      </c>
      <c r="P141" t="s">
        <v>280</v>
      </c>
      <c r="Q141" t="s">
        <v>238</v>
      </c>
      <c r="R141" s="11">
        <v>0</v>
      </c>
      <c r="S141">
        <v>0</v>
      </c>
      <c r="T141">
        <v>0</v>
      </c>
      <c r="U141" s="11">
        <v>0</v>
      </c>
      <c r="V141">
        <v>0</v>
      </c>
      <c r="W141">
        <v>0</v>
      </c>
      <c r="X141" s="11">
        <f t="shared" si="6"/>
        <v>0</v>
      </c>
      <c r="Y141">
        <f t="shared" si="6"/>
        <v>0</v>
      </c>
      <c r="Z141">
        <f t="shared" si="6"/>
        <v>0</v>
      </c>
      <c r="AA141" s="11"/>
    </row>
    <row r="142" spans="1:27" x14ac:dyDescent="0.3">
      <c r="A142" s="7">
        <v>45541</v>
      </c>
      <c r="B142">
        <v>3</v>
      </c>
      <c r="C142" t="s">
        <v>236</v>
      </c>
      <c r="D142" t="s">
        <v>42</v>
      </c>
      <c r="E142">
        <v>10</v>
      </c>
      <c r="F142">
        <v>2</v>
      </c>
      <c r="G142">
        <v>2</v>
      </c>
      <c r="H142" t="s">
        <v>27</v>
      </c>
      <c r="I142">
        <v>1</v>
      </c>
      <c r="J142" s="10">
        <v>0.74305555555555547</v>
      </c>
      <c r="K142" s="10">
        <v>0.7631944444444444</v>
      </c>
      <c r="L142" s="10">
        <f t="shared" si="8"/>
        <v>2.0138888888888928E-2</v>
      </c>
      <c r="M142" s="12">
        <f t="shared" si="7"/>
        <v>0.48333333333333428</v>
      </c>
      <c r="N142" s="12">
        <f>Table35[[#This Row],[Trip Hours]]*Table35[[#This Row],['#Angler]]</f>
        <v>0.48333333333333428</v>
      </c>
      <c r="O142" t="s">
        <v>28</v>
      </c>
      <c r="P142" t="s">
        <v>269</v>
      </c>
      <c r="Q142" t="s">
        <v>237</v>
      </c>
      <c r="R142" s="11">
        <v>0</v>
      </c>
      <c r="S142">
        <v>0</v>
      </c>
      <c r="T142">
        <v>0</v>
      </c>
      <c r="U142" s="11">
        <v>0</v>
      </c>
      <c r="V142">
        <v>0</v>
      </c>
      <c r="W142">
        <v>0</v>
      </c>
      <c r="X142" s="11">
        <f t="shared" si="6"/>
        <v>0</v>
      </c>
      <c r="Y142">
        <f t="shared" si="6"/>
        <v>0</v>
      </c>
      <c r="Z142">
        <f t="shared" si="6"/>
        <v>0</v>
      </c>
      <c r="AA142" s="11"/>
    </row>
    <row r="143" spans="1:27" x14ac:dyDescent="0.3">
      <c r="A143" s="7">
        <v>45541</v>
      </c>
      <c r="B143">
        <v>3</v>
      </c>
      <c r="C143" t="s">
        <v>236</v>
      </c>
      <c r="D143" t="s">
        <v>42</v>
      </c>
      <c r="E143">
        <v>11</v>
      </c>
      <c r="F143">
        <v>2</v>
      </c>
      <c r="G143">
        <v>2</v>
      </c>
      <c r="H143" t="s">
        <v>27</v>
      </c>
      <c r="I143">
        <v>1</v>
      </c>
      <c r="J143" s="10">
        <v>0.78125</v>
      </c>
      <c r="K143" s="10">
        <v>0.79027777777777775</v>
      </c>
      <c r="L143" s="10">
        <f t="shared" si="8"/>
        <v>9.0277777777777457E-3</v>
      </c>
      <c r="M143" s="12">
        <f t="shared" si="7"/>
        <v>0.2166666666666659</v>
      </c>
      <c r="N143" s="12">
        <f>Table35[[#This Row],[Trip Hours]]*Table35[[#This Row],['#Angler]]</f>
        <v>0.2166666666666659</v>
      </c>
      <c r="O143" t="s">
        <v>28</v>
      </c>
      <c r="P143" t="s">
        <v>281</v>
      </c>
      <c r="Q143" t="s">
        <v>241</v>
      </c>
      <c r="R143" s="11">
        <v>0</v>
      </c>
      <c r="S143">
        <v>0</v>
      </c>
      <c r="T143">
        <v>0</v>
      </c>
      <c r="U143" s="11">
        <v>0</v>
      </c>
      <c r="V143">
        <v>0</v>
      </c>
      <c r="W143">
        <v>0</v>
      </c>
      <c r="X143" s="11">
        <f t="shared" si="6"/>
        <v>0</v>
      </c>
      <c r="Y143">
        <f t="shared" si="6"/>
        <v>0</v>
      </c>
      <c r="Z143">
        <f t="shared" si="6"/>
        <v>0</v>
      </c>
      <c r="AA143" s="11"/>
    </row>
    <row r="144" spans="1:27" x14ac:dyDescent="0.3">
      <c r="A144" s="7">
        <v>45541</v>
      </c>
      <c r="B144">
        <v>3</v>
      </c>
      <c r="C144" t="s">
        <v>236</v>
      </c>
      <c r="D144" t="s">
        <v>42</v>
      </c>
      <c r="E144">
        <v>12</v>
      </c>
      <c r="F144">
        <v>2</v>
      </c>
      <c r="G144">
        <v>2</v>
      </c>
      <c r="H144" t="s">
        <v>27</v>
      </c>
      <c r="I144">
        <v>1</v>
      </c>
      <c r="J144" s="10">
        <v>0.78125</v>
      </c>
      <c r="K144" s="10">
        <v>0.79999999999999993</v>
      </c>
      <c r="L144" s="10">
        <f t="shared" si="8"/>
        <v>1.8749999999999933E-2</v>
      </c>
      <c r="M144" s="12">
        <f t="shared" si="7"/>
        <v>0.4499999999999984</v>
      </c>
      <c r="N144" s="12">
        <f>Table35[[#This Row],[Trip Hours]]*Table35[[#This Row],['#Angler]]</f>
        <v>0.4499999999999984</v>
      </c>
      <c r="O144" t="s">
        <v>28</v>
      </c>
      <c r="P144" t="s">
        <v>246</v>
      </c>
      <c r="Q144" t="s">
        <v>241</v>
      </c>
      <c r="R144" s="11">
        <v>0</v>
      </c>
      <c r="S144">
        <v>0</v>
      </c>
      <c r="T144">
        <v>0</v>
      </c>
      <c r="U144" s="11">
        <v>0</v>
      </c>
      <c r="V144">
        <v>0</v>
      </c>
      <c r="W144">
        <v>0</v>
      </c>
      <c r="X144" s="11">
        <f t="shared" si="6"/>
        <v>0</v>
      </c>
      <c r="Y144">
        <f t="shared" si="6"/>
        <v>0</v>
      </c>
      <c r="Z144">
        <f t="shared" si="6"/>
        <v>0</v>
      </c>
      <c r="AA144" s="11"/>
    </row>
    <row r="145" spans="1:28" x14ac:dyDescent="0.3">
      <c r="A145" s="7">
        <v>45542</v>
      </c>
      <c r="B145">
        <v>3</v>
      </c>
      <c r="C145" t="s">
        <v>250</v>
      </c>
      <c r="D145" t="s">
        <v>42</v>
      </c>
      <c r="E145">
        <v>1</v>
      </c>
      <c r="F145">
        <v>1</v>
      </c>
      <c r="G145">
        <v>1</v>
      </c>
      <c r="H145" t="s">
        <v>35</v>
      </c>
      <c r="I145">
        <v>1</v>
      </c>
      <c r="J145" s="10">
        <v>0.45833333333333331</v>
      </c>
      <c r="K145" s="10">
        <v>0.6791666666666667</v>
      </c>
      <c r="L145" s="10">
        <f t="shared" si="8"/>
        <v>0.22083333333333338</v>
      </c>
      <c r="M145" s="12">
        <f t="shared" si="7"/>
        <v>5.3000000000000007</v>
      </c>
      <c r="N145" s="12">
        <f>Table35[[#This Row],[Trip Hours]]*Table35[[#This Row],['#Angler]]</f>
        <v>5.3000000000000007</v>
      </c>
      <c r="O145" t="s">
        <v>25</v>
      </c>
      <c r="P145" t="s">
        <v>37</v>
      </c>
      <c r="Q145" t="s">
        <v>247</v>
      </c>
      <c r="R145" s="11">
        <v>0</v>
      </c>
      <c r="S145">
        <v>1</v>
      </c>
      <c r="T145">
        <v>0</v>
      </c>
      <c r="U145" s="11">
        <v>0</v>
      </c>
      <c r="V145">
        <v>0</v>
      </c>
      <c r="W145">
        <v>0</v>
      </c>
      <c r="X145" s="11">
        <f t="shared" si="6"/>
        <v>0</v>
      </c>
      <c r="Y145">
        <f t="shared" si="6"/>
        <v>1</v>
      </c>
      <c r="Z145">
        <f t="shared" si="6"/>
        <v>0</v>
      </c>
      <c r="AA145" s="11"/>
    </row>
    <row r="146" spans="1:28" x14ac:dyDescent="0.3">
      <c r="A146" s="7">
        <v>45542</v>
      </c>
      <c r="B146">
        <v>3</v>
      </c>
      <c r="C146" t="s">
        <v>250</v>
      </c>
      <c r="D146" t="s">
        <v>42</v>
      </c>
      <c r="E146">
        <v>2</v>
      </c>
      <c r="F146">
        <v>1</v>
      </c>
      <c r="G146">
        <v>1</v>
      </c>
      <c r="H146" t="s">
        <v>35</v>
      </c>
      <c r="I146">
        <v>2</v>
      </c>
      <c r="J146" s="10">
        <v>0.375</v>
      </c>
      <c r="K146" s="10">
        <v>0.70208333333333339</v>
      </c>
      <c r="L146" s="10">
        <f t="shared" si="8"/>
        <v>0.32708333333333339</v>
      </c>
      <c r="M146" s="12">
        <f t="shared" si="7"/>
        <v>7.8500000000000014</v>
      </c>
      <c r="N146" s="12">
        <f>Table35[[#This Row],[Trip Hours]]*Table35[[#This Row],['#Angler]]</f>
        <v>15.700000000000003</v>
      </c>
      <c r="O146" t="s">
        <v>25</v>
      </c>
      <c r="P146" t="s">
        <v>282</v>
      </c>
      <c r="Q146" t="s">
        <v>247</v>
      </c>
      <c r="R146" s="11">
        <v>0</v>
      </c>
      <c r="S146">
        <v>0</v>
      </c>
      <c r="T146">
        <v>0</v>
      </c>
      <c r="U146" s="11">
        <v>0</v>
      </c>
      <c r="V146">
        <v>0</v>
      </c>
      <c r="W146">
        <v>0</v>
      </c>
      <c r="X146" s="11">
        <f t="shared" si="6"/>
        <v>0</v>
      </c>
      <c r="Y146">
        <f t="shared" si="6"/>
        <v>0</v>
      </c>
      <c r="Z146">
        <f t="shared" si="6"/>
        <v>0</v>
      </c>
      <c r="AA146" s="11"/>
    </row>
    <row r="147" spans="1:28" x14ac:dyDescent="0.3">
      <c r="A147" s="7">
        <v>45542</v>
      </c>
      <c r="B147">
        <v>3</v>
      </c>
      <c r="C147" t="s">
        <v>250</v>
      </c>
      <c r="D147" t="s">
        <v>42</v>
      </c>
      <c r="E147">
        <v>3</v>
      </c>
      <c r="F147">
        <v>1</v>
      </c>
      <c r="G147">
        <v>1</v>
      </c>
      <c r="H147" t="s">
        <v>35</v>
      </c>
      <c r="I147">
        <v>2</v>
      </c>
      <c r="J147" s="10">
        <v>0.25</v>
      </c>
      <c r="K147" s="10">
        <v>0.70486111111111116</v>
      </c>
      <c r="L147" s="10">
        <f t="shared" si="8"/>
        <v>0.45486111111111116</v>
      </c>
      <c r="M147" s="12">
        <f t="shared" si="7"/>
        <v>10.916666666666668</v>
      </c>
      <c r="N147" s="12">
        <f>Table35[[#This Row],[Trip Hours]]*Table35[[#This Row],['#Angler]]</f>
        <v>21.833333333333336</v>
      </c>
      <c r="O147" t="s">
        <v>25</v>
      </c>
      <c r="P147" t="s">
        <v>283</v>
      </c>
      <c r="Q147" t="s">
        <v>241</v>
      </c>
      <c r="R147" s="11">
        <v>0</v>
      </c>
      <c r="S147">
        <v>0</v>
      </c>
      <c r="T147">
        <v>0</v>
      </c>
      <c r="U147" s="11">
        <v>0</v>
      </c>
      <c r="V147">
        <v>0</v>
      </c>
      <c r="W147">
        <v>0</v>
      </c>
      <c r="X147" s="11">
        <f t="shared" ref="X147:Z210" si="9">R147+U147</f>
        <v>0</v>
      </c>
      <c r="Y147">
        <f t="shared" si="9"/>
        <v>0</v>
      </c>
      <c r="Z147">
        <f t="shared" si="9"/>
        <v>0</v>
      </c>
      <c r="AA147" s="11"/>
    </row>
    <row r="148" spans="1:28" x14ac:dyDescent="0.3">
      <c r="A148" s="7">
        <v>45542</v>
      </c>
      <c r="B148">
        <v>3</v>
      </c>
      <c r="C148" t="s">
        <v>250</v>
      </c>
      <c r="D148" t="s">
        <v>42</v>
      </c>
      <c r="E148">
        <v>4</v>
      </c>
      <c r="F148">
        <v>1</v>
      </c>
      <c r="G148">
        <v>1</v>
      </c>
      <c r="H148" t="s">
        <v>35</v>
      </c>
      <c r="I148">
        <v>2</v>
      </c>
      <c r="J148" s="10">
        <v>0.33333333333333331</v>
      </c>
      <c r="K148" s="10">
        <v>0.73125000000000007</v>
      </c>
      <c r="L148" s="10">
        <f t="shared" si="8"/>
        <v>0.39791666666666675</v>
      </c>
      <c r="M148" s="12">
        <f t="shared" si="7"/>
        <v>9.5500000000000025</v>
      </c>
      <c r="N148" s="12">
        <f>Table35[[#This Row],[Trip Hours]]*Table35[[#This Row],['#Angler]]</f>
        <v>19.100000000000005</v>
      </c>
      <c r="O148" t="s">
        <v>25</v>
      </c>
      <c r="P148" t="s">
        <v>284</v>
      </c>
      <c r="Q148" t="s">
        <v>247</v>
      </c>
      <c r="R148" s="11">
        <v>0</v>
      </c>
      <c r="S148">
        <v>3</v>
      </c>
      <c r="T148">
        <v>0</v>
      </c>
      <c r="U148" s="11">
        <v>0</v>
      </c>
      <c r="V148">
        <v>0</v>
      </c>
      <c r="W148">
        <v>0</v>
      </c>
      <c r="X148" s="11">
        <f t="shared" si="9"/>
        <v>0</v>
      </c>
      <c r="Y148">
        <f t="shared" si="9"/>
        <v>3</v>
      </c>
      <c r="Z148">
        <f t="shared" si="9"/>
        <v>0</v>
      </c>
      <c r="AA148" s="11"/>
    </row>
    <row r="149" spans="1:28" x14ac:dyDescent="0.3">
      <c r="A149" s="7">
        <v>45542</v>
      </c>
      <c r="B149">
        <v>3</v>
      </c>
      <c r="C149" t="s">
        <v>250</v>
      </c>
      <c r="D149" t="s">
        <v>42</v>
      </c>
      <c r="E149">
        <v>5</v>
      </c>
      <c r="F149">
        <v>1</v>
      </c>
      <c r="G149">
        <v>1</v>
      </c>
      <c r="H149" t="s">
        <v>35</v>
      </c>
      <c r="I149">
        <v>4</v>
      </c>
      <c r="J149" s="10">
        <v>0.66666666666666663</v>
      </c>
      <c r="K149" s="10">
        <v>0.7715277777777777</v>
      </c>
      <c r="L149" s="10">
        <f t="shared" si="8"/>
        <v>0.10486111111111107</v>
      </c>
      <c r="M149" s="12">
        <f t="shared" si="7"/>
        <v>2.5166666666666657</v>
      </c>
      <c r="N149" s="12">
        <f>Table35[[#This Row],[Trip Hours]]*Table35[[#This Row],['#Angler]]</f>
        <v>10.066666666666663</v>
      </c>
      <c r="O149" t="s">
        <v>25</v>
      </c>
      <c r="P149" t="s">
        <v>285</v>
      </c>
      <c r="Q149" t="s">
        <v>241</v>
      </c>
      <c r="R149" s="11">
        <v>0</v>
      </c>
      <c r="S149">
        <v>0</v>
      </c>
      <c r="T149">
        <v>0</v>
      </c>
      <c r="U149" s="11">
        <v>0</v>
      </c>
      <c r="V149">
        <v>0</v>
      </c>
      <c r="W149">
        <v>0</v>
      </c>
      <c r="X149" s="11">
        <f t="shared" si="9"/>
        <v>0</v>
      </c>
      <c r="Y149">
        <f t="shared" si="9"/>
        <v>0</v>
      </c>
      <c r="Z149">
        <f t="shared" si="9"/>
        <v>0</v>
      </c>
      <c r="AA149" s="11"/>
    </row>
    <row r="150" spans="1:28" x14ac:dyDescent="0.3">
      <c r="A150" s="7">
        <v>45542</v>
      </c>
      <c r="B150">
        <v>3</v>
      </c>
      <c r="C150" t="s">
        <v>250</v>
      </c>
      <c r="D150" t="s">
        <v>42</v>
      </c>
      <c r="E150">
        <v>6</v>
      </c>
      <c r="F150">
        <v>1</v>
      </c>
      <c r="G150">
        <v>1</v>
      </c>
      <c r="H150" t="s">
        <v>35</v>
      </c>
      <c r="I150">
        <v>2</v>
      </c>
      <c r="J150" s="10">
        <v>0.67361111111111116</v>
      </c>
      <c r="K150" s="10">
        <v>0.78472222222222221</v>
      </c>
      <c r="L150" s="10">
        <f t="shared" si="8"/>
        <v>0.11111111111111105</v>
      </c>
      <c r="M150" s="12">
        <f t="shared" si="7"/>
        <v>2.6666666666666652</v>
      </c>
      <c r="N150" s="12">
        <f>Table35[[#This Row],[Trip Hours]]*Table35[[#This Row],['#Angler]]</f>
        <v>5.3333333333333304</v>
      </c>
      <c r="O150" t="s">
        <v>25</v>
      </c>
      <c r="P150" t="s">
        <v>242</v>
      </c>
      <c r="Q150" t="s">
        <v>247</v>
      </c>
      <c r="R150" s="11">
        <v>0</v>
      </c>
      <c r="S150">
        <v>0</v>
      </c>
      <c r="T150">
        <v>0</v>
      </c>
      <c r="U150" s="11">
        <v>0</v>
      </c>
      <c r="V150">
        <v>0</v>
      </c>
      <c r="W150">
        <v>0</v>
      </c>
      <c r="X150" s="11">
        <f t="shared" si="9"/>
        <v>0</v>
      </c>
      <c r="Y150">
        <f t="shared" si="9"/>
        <v>0</v>
      </c>
      <c r="Z150">
        <f t="shared" si="9"/>
        <v>0</v>
      </c>
      <c r="AA150" s="11"/>
    </row>
    <row r="151" spans="1:28" x14ac:dyDescent="0.3">
      <c r="A151" s="7">
        <v>45542</v>
      </c>
      <c r="B151">
        <v>3</v>
      </c>
      <c r="C151" t="s">
        <v>250</v>
      </c>
      <c r="D151" t="s">
        <v>42</v>
      </c>
      <c r="E151">
        <v>7</v>
      </c>
      <c r="F151">
        <v>1</v>
      </c>
      <c r="G151">
        <v>1</v>
      </c>
      <c r="H151" t="s">
        <v>35</v>
      </c>
      <c r="I151">
        <v>3</v>
      </c>
      <c r="J151" s="10">
        <v>0.58333333333333337</v>
      </c>
      <c r="K151" s="10">
        <v>0.78541666666666676</v>
      </c>
      <c r="L151" s="10">
        <f t="shared" si="8"/>
        <v>0.20208333333333339</v>
      </c>
      <c r="M151" s="12">
        <f t="shared" si="7"/>
        <v>4.8500000000000014</v>
      </c>
      <c r="N151" s="12">
        <f>Table35[[#This Row],[Trip Hours]]*Table35[[#This Row],['#Angler]]</f>
        <v>14.550000000000004</v>
      </c>
      <c r="O151" t="s">
        <v>25</v>
      </c>
      <c r="P151" t="s">
        <v>242</v>
      </c>
      <c r="Q151" t="s">
        <v>247</v>
      </c>
      <c r="R151" s="11">
        <v>0</v>
      </c>
      <c r="S151">
        <v>1</v>
      </c>
      <c r="T151">
        <v>0</v>
      </c>
      <c r="U151" s="11">
        <v>0</v>
      </c>
      <c r="V151">
        <v>0</v>
      </c>
      <c r="W151">
        <v>0</v>
      </c>
      <c r="X151" s="11">
        <f t="shared" si="9"/>
        <v>0</v>
      </c>
      <c r="Y151">
        <f t="shared" si="9"/>
        <v>1</v>
      </c>
      <c r="Z151">
        <f t="shared" si="9"/>
        <v>0</v>
      </c>
      <c r="AA151" s="11"/>
    </row>
    <row r="152" spans="1:28" x14ac:dyDescent="0.3">
      <c r="A152" s="7">
        <v>45542</v>
      </c>
      <c r="B152">
        <v>3</v>
      </c>
      <c r="C152" t="s">
        <v>250</v>
      </c>
      <c r="D152" t="s">
        <v>42</v>
      </c>
      <c r="E152">
        <v>8</v>
      </c>
      <c r="F152">
        <v>1</v>
      </c>
      <c r="G152">
        <v>1</v>
      </c>
      <c r="H152" t="s">
        <v>35</v>
      </c>
      <c r="I152">
        <v>2</v>
      </c>
      <c r="J152" s="10">
        <v>0.66666666666666663</v>
      </c>
      <c r="K152" s="10">
        <v>0.78680555555555554</v>
      </c>
      <c r="L152" s="10">
        <f t="shared" si="8"/>
        <v>0.12013888888888891</v>
      </c>
      <c r="M152" s="12">
        <f t="shared" si="7"/>
        <v>2.8833333333333337</v>
      </c>
      <c r="N152" s="12">
        <f>Table35[[#This Row],[Trip Hours]]*Table35[[#This Row],['#Angler]]</f>
        <v>5.7666666666666675</v>
      </c>
      <c r="O152" t="s">
        <v>25</v>
      </c>
      <c r="P152" t="s">
        <v>29</v>
      </c>
      <c r="Q152" t="s">
        <v>247</v>
      </c>
      <c r="R152" s="11">
        <v>0</v>
      </c>
      <c r="S152">
        <v>1</v>
      </c>
      <c r="T152">
        <v>0</v>
      </c>
      <c r="U152" s="11">
        <v>0</v>
      </c>
      <c r="V152">
        <v>0</v>
      </c>
      <c r="W152">
        <v>0</v>
      </c>
      <c r="X152" s="11">
        <f t="shared" si="9"/>
        <v>0</v>
      </c>
      <c r="Y152">
        <f t="shared" si="9"/>
        <v>1</v>
      </c>
      <c r="Z152">
        <f t="shared" si="9"/>
        <v>0</v>
      </c>
      <c r="AA152" s="11"/>
    </row>
    <row r="153" spans="1:28" x14ac:dyDescent="0.3">
      <c r="A153" s="7">
        <v>45542</v>
      </c>
      <c r="B153">
        <v>3</v>
      </c>
      <c r="C153" t="s">
        <v>250</v>
      </c>
      <c r="D153" t="s">
        <v>42</v>
      </c>
      <c r="E153">
        <v>9</v>
      </c>
      <c r="F153">
        <v>1</v>
      </c>
      <c r="G153">
        <v>1</v>
      </c>
      <c r="H153" t="s">
        <v>35</v>
      </c>
      <c r="I153">
        <v>2</v>
      </c>
      <c r="J153" s="10">
        <v>0.45833333333333331</v>
      </c>
      <c r="K153" s="10">
        <v>0.81111111111111101</v>
      </c>
      <c r="L153" s="10">
        <f t="shared" si="8"/>
        <v>0.35277777777777769</v>
      </c>
      <c r="M153" s="12">
        <f t="shared" si="7"/>
        <v>8.466666666666665</v>
      </c>
      <c r="N153" s="12">
        <f>Table35[[#This Row],[Trip Hours]]*Table35[[#This Row],['#Angler]]</f>
        <v>16.93333333333333</v>
      </c>
      <c r="O153" t="s">
        <v>25</v>
      </c>
      <c r="P153" t="s">
        <v>91</v>
      </c>
      <c r="Q153" t="s">
        <v>247</v>
      </c>
      <c r="R153" s="11">
        <v>0</v>
      </c>
      <c r="S153">
        <v>0</v>
      </c>
      <c r="T153">
        <v>0</v>
      </c>
      <c r="U153" s="11">
        <v>0</v>
      </c>
      <c r="V153">
        <v>0</v>
      </c>
      <c r="W153">
        <v>0</v>
      </c>
      <c r="X153" s="11">
        <f t="shared" si="9"/>
        <v>0</v>
      </c>
      <c r="Y153">
        <f t="shared" si="9"/>
        <v>0</v>
      </c>
      <c r="Z153">
        <f t="shared" si="9"/>
        <v>0</v>
      </c>
      <c r="AA153" s="11"/>
    </row>
    <row r="154" spans="1:28" x14ac:dyDescent="0.3">
      <c r="A154" s="7">
        <v>45542</v>
      </c>
      <c r="B154">
        <v>3</v>
      </c>
      <c r="C154" t="s">
        <v>250</v>
      </c>
      <c r="D154" t="s">
        <v>42</v>
      </c>
      <c r="E154">
        <v>10</v>
      </c>
      <c r="F154">
        <v>1</v>
      </c>
      <c r="G154">
        <v>1</v>
      </c>
      <c r="H154" t="s">
        <v>35</v>
      </c>
      <c r="I154">
        <v>2</v>
      </c>
      <c r="K154" s="10">
        <v>0.81180555555555556</v>
      </c>
      <c r="L154" s="10">
        <f t="shared" si="8"/>
        <v>0.81180555555555556</v>
      </c>
      <c r="M154" s="12">
        <f t="shared" si="7"/>
        <v>19.483333333333334</v>
      </c>
      <c r="N154" s="12">
        <f>Table35[[#This Row],[Trip Hours]]*Table35[[#This Row],['#Angler]]</f>
        <v>38.966666666666669</v>
      </c>
      <c r="O154" t="s">
        <v>25</v>
      </c>
      <c r="Q154"/>
      <c r="R154" s="11">
        <v>0</v>
      </c>
      <c r="S154">
        <v>0</v>
      </c>
      <c r="T154">
        <v>0</v>
      </c>
      <c r="U154" s="11">
        <v>0</v>
      </c>
      <c r="V154">
        <v>0</v>
      </c>
      <c r="W154">
        <v>0</v>
      </c>
      <c r="X154" s="11">
        <f t="shared" si="9"/>
        <v>0</v>
      </c>
      <c r="Y154">
        <f t="shared" si="9"/>
        <v>0</v>
      </c>
      <c r="Z154">
        <f t="shared" si="9"/>
        <v>0</v>
      </c>
      <c r="AA154" s="11"/>
      <c r="AB154" t="s">
        <v>286</v>
      </c>
    </row>
    <row r="155" spans="1:28" x14ac:dyDescent="0.3">
      <c r="A155" s="7">
        <v>45546</v>
      </c>
      <c r="B155">
        <v>4</v>
      </c>
      <c r="C155" t="s">
        <v>236</v>
      </c>
      <c r="D155" t="s">
        <v>26</v>
      </c>
      <c r="E155">
        <v>1</v>
      </c>
      <c r="F155">
        <v>2</v>
      </c>
      <c r="G155">
        <v>2</v>
      </c>
      <c r="H155" t="s">
        <v>27</v>
      </c>
      <c r="I155">
        <v>2</v>
      </c>
      <c r="J155" s="10">
        <v>0.27083333333333331</v>
      </c>
      <c r="K155" s="10">
        <v>0.3666666666666667</v>
      </c>
      <c r="L155" s="10">
        <f t="shared" si="8"/>
        <v>9.5833333333333381E-2</v>
      </c>
      <c r="M155" s="12">
        <f t="shared" si="7"/>
        <v>2.3000000000000012</v>
      </c>
      <c r="N155" s="12">
        <f>Table35[[#This Row],[Trip Hours]]*Table35[[#This Row],['#Angler]]</f>
        <v>4.6000000000000023</v>
      </c>
      <c r="O155" t="s">
        <v>25</v>
      </c>
      <c r="P155" t="s">
        <v>56</v>
      </c>
      <c r="Q155" t="s">
        <v>241</v>
      </c>
      <c r="R155" s="11">
        <v>0</v>
      </c>
      <c r="S155">
        <v>0</v>
      </c>
      <c r="T155">
        <v>0</v>
      </c>
      <c r="U155" s="11">
        <v>0</v>
      </c>
      <c r="V155">
        <v>0</v>
      </c>
      <c r="W155">
        <v>0</v>
      </c>
      <c r="X155" s="11">
        <f t="shared" si="9"/>
        <v>0</v>
      </c>
      <c r="Y155">
        <f t="shared" si="9"/>
        <v>0</v>
      </c>
      <c r="Z155">
        <f t="shared" si="9"/>
        <v>0</v>
      </c>
      <c r="AA155" s="11"/>
    </row>
    <row r="156" spans="1:28" x14ac:dyDescent="0.3">
      <c r="A156" s="7">
        <v>45546</v>
      </c>
      <c r="B156">
        <v>4</v>
      </c>
      <c r="C156" t="s">
        <v>236</v>
      </c>
      <c r="D156" t="s">
        <v>42</v>
      </c>
      <c r="E156">
        <v>2</v>
      </c>
      <c r="F156">
        <v>2</v>
      </c>
      <c r="G156">
        <v>1</v>
      </c>
      <c r="H156" t="s">
        <v>27</v>
      </c>
      <c r="I156">
        <v>1</v>
      </c>
      <c r="J156" s="10">
        <v>0.56944444444444442</v>
      </c>
      <c r="K156" s="10">
        <v>0.65277777777777779</v>
      </c>
      <c r="L156" s="10">
        <f t="shared" si="8"/>
        <v>8.333333333333337E-2</v>
      </c>
      <c r="M156" s="12">
        <f t="shared" si="7"/>
        <v>2.0000000000000009</v>
      </c>
      <c r="N156" s="12">
        <f>Table35[[#This Row],[Trip Hours]]*Table35[[#This Row],['#Angler]]</f>
        <v>2.0000000000000009</v>
      </c>
      <c r="O156" t="s">
        <v>28</v>
      </c>
      <c r="P156" t="s">
        <v>91</v>
      </c>
      <c r="Q156" t="s">
        <v>237</v>
      </c>
      <c r="R156" s="11">
        <v>0</v>
      </c>
      <c r="S156">
        <v>1</v>
      </c>
      <c r="T156">
        <v>0</v>
      </c>
      <c r="U156" s="11">
        <v>0</v>
      </c>
      <c r="V156">
        <v>0</v>
      </c>
      <c r="W156">
        <v>0</v>
      </c>
      <c r="X156" s="11">
        <f t="shared" si="9"/>
        <v>0</v>
      </c>
      <c r="Y156">
        <f t="shared" si="9"/>
        <v>1</v>
      </c>
      <c r="Z156">
        <f t="shared" si="9"/>
        <v>0</v>
      </c>
      <c r="AA156" s="11"/>
    </row>
    <row r="157" spans="1:28" x14ac:dyDescent="0.3">
      <c r="A157" s="7">
        <v>45546</v>
      </c>
      <c r="B157">
        <v>4</v>
      </c>
      <c r="C157" t="s">
        <v>236</v>
      </c>
      <c r="D157" t="s">
        <v>42</v>
      </c>
      <c r="E157">
        <v>3</v>
      </c>
      <c r="F157">
        <v>2</v>
      </c>
      <c r="G157">
        <v>1</v>
      </c>
      <c r="H157" t="s">
        <v>27</v>
      </c>
      <c r="I157">
        <v>1</v>
      </c>
      <c r="J157" s="10">
        <v>0.64513888888888882</v>
      </c>
      <c r="K157" s="10">
        <v>0.65555555555555556</v>
      </c>
      <c r="L157" s="10">
        <f t="shared" si="8"/>
        <v>1.0416666666666741E-2</v>
      </c>
      <c r="M157" s="12">
        <f t="shared" si="7"/>
        <v>0.25000000000000178</v>
      </c>
      <c r="N157" s="12">
        <f>Table35[[#This Row],[Trip Hours]]*Table35[[#This Row],['#Angler]]</f>
        <v>0.25000000000000178</v>
      </c>
      <c r="O157" t="s">
        <v>28</v>
      </c>
      <c r="P157" t="s">
        <v>287</v>
      </c>
      <c r="Q157" t="s">
        <v>247</v>
      </c>
      <c r="R157" s="11">
        <v>0</v>
      </c>
      <c r="S157">
        <v>0</v>
      </c>
      <c r="T157">
        <v>0</v>
      </c>
      <c r="U157" s="11">
        <v>0</v>
      </c>
      <c r="V157">
        <v>0</v>
      </c>
      <c r="W157">
        <v>0</v>
      </c>
      <c r="X157" s="11">
        <f t="shared" si="9"/>
        <v>0</v>
      </c>
      <c r="Y157">
        <f t="shared" si="9"/>
        <v>0</v>
      </c>
      <c r="Z157">
        <f t="shared" si="9"/>
        <v>0</v>
      </c>
      <c r="AA157" s="11"/>
    </row>
    <row r="158" spans="1:28" x14ac:dyDescent="0.3">
      <c r="A158" s="7">
        <v>45546</v>
      </c>
      <c r="B158">
        <v>4</v>
      </c>
      <c r="C158" t="s">
        <v>236</v>
      </c>
      <c r="D158" t="s">
        <v>42</v>
      </c>
      <c r="E158">
        <v>4</v>
      </c>
      <c r="F158">
        <v>2</v>
      </c>
      <c r="G158">
        <v>2</v>
      </c>
      <c r="H158" t="s">
        <v>27</v>
      </c>
      <c r="I158">
        <v>2</v>
      </c>
      <c r="J158" s="10">
        <v>0.6381944444444444</v>
      </c>
      <c r="K158" s="10">
        <v>0.65902777777777777</v>
      </c>
      <c r="L158" s="10">
        <f t="shared" si="8"/>
        <v>2.083333333333337E-2</v>
      </c>
      <c r="M158" s="12">
        <f t="shared" si="7"/>
        <v>0.50000000000000089</v>
      </c>
      <c r="N158" s="12">
        <f>Table35[[#This Row],[Trip Hours]]*Table35[[#This Row],['#Angler]]</f>
        <v>1.0000000000000018</v>
      </c>
      <c r="O158" t="s">
        <v>28</v>
      </c>
      <c r="P158" t="s">
        <v>56</v>
      </c>
      <c r="Q158" t="s">
        <v>241</v>
      </c>
      <c r="R158" s="11">
        <v>0</v>
      </c>
      <c r="S158">
        <v>0</v>
      </c>
      <c r="T158">
        <v>0</v>
      </c>
      <c r="U158" s="11">
        <v>0</v>
      </c>
      <c r="V158">
        <v>0</v>
      </c>
      <c r="W158">
        <v>0</v>
      </c>
      <c r="X158" s="11">
        <f t="shared" si="9"/>
        <v>0</v>
      </c>
      <c r="Y158">
        <f t="shared" si="9"/>
        <v>0</v>
      </c>
      <c r="Z158">
        <f t="shared" si="9"/>
        <v>0</v>
      </c>
      <c r="AA158" s="11"/>
    </row>
    <row r="159" spans="1:28" x14ac:dyDescent="0.3">
      <c r="A159" s="7">
        <v>45546</v>
      </c>
      <c r="B159">
        <v>4</v>
      </c>
      <c r="C159" t="s">
        <v>236</v>
      </c>
      <c r="D159" t="s">
        <v>42</v>
      </c>
      <c r="E159">
        <v>5</v>
      </c>
      <c r="F159">
        <v>2</v>
      </c>
      <c r="G159">
        <v>2</v>
      </c>
      <c r="H159" t="s">
        <v>27</v>
      </c>
      <c r="I159">
        <v>1</v>
      </c>
      <c r="J159" s="10">
        <v>0.64583333333333337</v>
      </c>
      <c r="K159" s="10">
        <v>0.66666666666666663</v>
      </c>
      <c r="L159" s="10">
        <f t="shared" si="8"/>
        <v>2.0833333333333259E-2</v>
      </c>
      <c r="M159" s="12">
        <f t="shared" si="7"/>
        <v>0.49999999999999822</v>
      </c>
      <c r="N159" s="12">
        <f>Table35[[#This Row],[Trip Hours]]*Table35[[#This Row],['#Angler]]</f>
        <v>0.49999999999999822</v>
      </c>
      <c r="O159" t="s">
        <v>28</v>
      </c>
      <c r="P159" t="s">
        <v>56</v>
      </c>
      <c r="Q159" t="s">
        <v>247</v>
      </c>
      <c r="R159" s="11">
        <v>0</v>
      </c>
      <c r="S159">
        <v>0</v>
      </c>
      <c r="T159">
        <v>0</v>
      </c>
      <c r="U159" s="11">
        <v>0</v>
      </c>
      <c r="V159">
        <v>0</v>
      </c>
      <c r="W159">
        <v>0</v>
      </c>
      <c r="X159" s="11">
        <f t="shared" si="9"/>
        <v>0</v>
      </c>
      <c r="Y159">
        <f t="shared" si="9"/>
        <v>0</v>
      </c>
      <c r="Z159">
        <f t="shared" si="9"/>
        <v>0</v>
      </c>
      <c r="AA159" s="11"/>
    </row>
    <row r="160" spans="1:28" x14ac:dyDescent="0.3">
      <c r="A160" s="7">
        <v>45546</v>
      </c>
      <c r="B160">
        <v>4</v>
      </c>
      <c r="C160" t="s">
        <v>236</v>
      </c>
      <c r="D160" t="s">
        <v>42</v>
      </c>
      <c r="E160">
        <v>6</v>
      </c>
      <c r="F160">
        <v>2</v>
      </c>
      <c r="G160">
        <v>2</v>
      </c>
      <c r="H160" t="s">
        <v>27</v>
      </c>
      <c r="I160">
        <v>1</v>
      </c>
      <c r="J160" s="10">
        <v>0.65208333333333335</v>
      </c>
      <c r="K160" s="10">
        <v>0.67291666666666661</v>
      </c>
      <c r="L160" s="10">
        <f t="shared" si="8"/>
        <v>2.0833333333333259E-2</v>
      </c>
      <c r="M160" s="12">
        <f t="shared" si="7"/>
        <v>0.49999999999999822</v>
      </c>
      <c r="N160" s="12">
        <f>Table35[[#This Row],[Trip Hours]]*Table35[[#This Row],['#Angler]]</f>
        <v>0.49999999999999822</v>
      </c>
      <c r="O160" t="s">
        <v>25</v>
      </c>
      <c r="P160" t="s">
        <v>56</v>
      </c>
      <c r="Q160" t="s">
        <v>241</v>
      </c>
      <c r="R160" s="11">
        <v>0</v>
      </c>
      <c r="S160">
        <v>0</v>
      </c>
      <c r="T160">
        <v>0</v>
      </c>
      <c r="U160" s="11">
        <v>0</v>
      </c>
      <c r="V160">
        <v>0</v>
      </c>
      <c r="W160">
        <v>0</v>
      </c>
      <c r="X160" s="11">
        <f t="shared" si="9"/>
        <v>0</v>
      </c>
      <c r="Y160">
        <f t="shared" si="9"/>
        <v>0</v>
      </c>
      <c r="Z160">
        <f t="shared" si="9"/>
        <v>0</v>
      </c>
      <c r="AA160" s="11"/>
    </row>
    <row r="161" spans="1:28" x14ac:dyDescent="0.3">
      <c r="A161" s="7">
        <v>45546</v>
      </c>
      <c r="B161">
        <v>4</v>
      </c>
      <c r="C161" t="s">
        <v>236</v>
      </c>
      <c r="D161" t="s">
        <v>42</v>
      </c>
      <c r="E161">
        <v>7</v>
      </c>
      <c r="F161">
        <v>2</v>
      </c>
      <c r="G161">
        <v>2</v>
      </c>
      <c r="H161" t="s">
        <v>27</v>
      </c>
      <c r="I161">
        <v>1</v>
      </c>
      <c r="J161" s="10">
        <v>0.64236111111111105</v>
      </c>
      <c r="K161" s="10">
        <v>0.67499999999999993</v>
      </c>
      <c r="L161" s="10">
        <f t="shared" si="8"/>
        <v>3.2638888888888884E-2</v>
      </c>
      <c r="M161" s="12">
        <f t="shared" si="7"/>
        <v>0.78333333333333321</v>
      </c>
      <c r="N161" s="12">
        <f>Table35[[#This Row],[Trip Hours]]*Table35[[#This Row],['#Angler]]</f>
        <v>0.78333333333333321</v>
      </c>
      <c r="O161" t="s">
        <v>28</v>
      </c>
      <c r="P161" t="s">
        <v>29</v>
      </c>
      <c r="Q161" t="s">
        <v>241</v>
      </c>
      <c r="R161" s="11">
        <v>0</v>
      </c>
      <c r="S161">
        <v>0</v>
      </c>
      <c r="T161">
        <v>0</v>
      </c>
      <c r="U161" s="11">
        <v>0</v>
      </c>
      <c r="V161">
        <v>0</v>
      </c>
      <c r="W161">
        <v>0</v>
      </c>
      <c r="X161" s="11">
        <f t="shared" si="9"/>
        <v>0</v>
      </c>
      <c r="Y161">
        <f t="shared" si="9"/>
        <v>0</v>
      </c>
      <c r="Z161">
        <f t="shared" si="9"/>
        <v>0</v>
      </c>
      <c r="AA161" s="11"/>
    </row>
    <row r="162" spans="1:28" x14ac:dyDescent="0.3">
      <c r="A162" s="7">
        <v>45546</v>
      </c>
      <c r="B162">
        <v>4</v>
      </c>
      <c r="C162" t="s">
        <v>236</v>
      </c>
      <c r="D162" t="s">
        <v>42</v>
      </c>
      <c r="E162">
        <v>8</v>
      </c>
      <c r="F162">
        <v>2</v>
      </c>
      <c r="G162">
        <v>2</v>
      </c>
      <c r="H162" t="s">
        <v>27</v>
      </c>
      <c r="I162">
        <v>1</v>
      </c>
      <c r="J162" s="10">
        <v>0.66319444444444442</v>
      </c>
      <c r="K162" s="10">
        <v>0.68611111111111101</v>
      </c>
      <c r="L162" s="10">
        <f t="shared" si="8"/>
        <v>2.2916666666666585E-2</v>
      </c>
      <c r="M162" s="12">
        <f t="shared" si="7"/>
        <v>0.54999999999999805</v>
      </c>
      <c r="N162" s="12">
        <f>Table35[[#This Row],[Trip Hours]]*Table35[[#This Row],['#Angler]]</f>
        <v>0.54999999999999805</v>
      </c>
      <c r="O162" t="s">
        <v>28</v>
      </c>
      <c r="P162" t="s">
        <v>56</v>
      </c>
      <c r="Q162" t="s">
        <v>244</v>
      </c>
      <c r="R162" s="11">
        <v>0</v>
      </c>
      <c r="S162">
        <v>0</v>
      </c>
      <c r="T162">
        <v>0</v>
      </c>
      <c r="U162" s="11">
        <v>0</v>
      </c>
      <c r="V162">
        <v>0</v>
      </c>
      <c r="W162">
        <v>0</v>
      </c>
      <c r="X162" s="11">
        <f t="shared" si="9"/>
        <v>0</v>
      </c>
      <c r="Y162">
        <f t="shared" si="9"/>
        <v>0</v>
      </c>
      <c r="Z162">
        <f t="shared" si="9"/>
        <v>0</v>
      </c>
      <c r="AA162" s="11"/>
    </row>
    <row r="163" spans="1:28" x14ac:dyDescent="0.3">
      <c r="A163" s="7">
        <v>45546</v>
      </c>
      <c r="B163">
        <v>4</v>
      </c>
      <c r="C163" t="s">
        <v>236</v>
      </c>
      <c r="D163" t="s">
        <v>42</v>
      </c>
      <c r="E163">
        <v>9</v>
      </c>
      <c r="F163">
        <v>2</v>
      </c>
      <c r="G163">
        <v>2</v>
      </c>
      <c r="H163" t="s">
        <v>27</v>
      </c>
      <c r="I163">
        <v>1</v>
      </c>
      <c r="J163" s="10">
        <v>0.63888888888888895</v>
      </c>
      <c r="K163" s="10">
        <v>0.69166666666666676</v>
      </c>
      <c r="L163" s="10">
        <f t="shared" si="8"/>
        <v>5.2777777777777812E-2</v>
      </c>
      <c r="M163" s="12">
        <f t="shared" si="7"/>
        <v>1.2666666666666675</v>
      </c>
      <c r="N163" s="12">
        <f>Table35[[#This Row],[Trip Hours]]*Table35[[#This Row],['#Angler]]</f>
        <v>1.2666666666666675</v>
      </c>
      <c r="O163" t="s">
        <v>25</v>
      </c>
      <c r="P163" t="s">
        <v>288</v>
      </c>
      <c r="Q163" t="s">
        <v>241</v>
      </c>
      <c r="R163" s="11">
        <v>0</v>
      </c>
      <c r="S163">
        <v>0</v>
      </c>
      <c r="T163">
        <v>0</v>
      </c>
      <c r="U163" s="11">
        <v>0</v>
      </c>
      <c r="V163">
        <v>0</v>
      </c>
      <c r="W163">
        <v>0</v>
      </c>
      <c r="X163" s="11">
        <f t="shared" si="9"/>
        <v>0</v>
      </c>
      <c r="Y163">
        <f t="shared" si="9"/>
        <v>0</v>
      </c>
      <c r="Z163">
        <f t="shared" si="9"/>
        <v>0</v>
      </c>
      <c r="AA163" s="11"/>
    </row>
    <row r="164" spans="1:28" x14ac:dyDescent="0.3">
      <c r="A164" s="7">
        <v>45546</v>
      </c>
      <c r="B164">
        <v>4</v>
      </c>
      <c r="C164" t="s">
        <v>236</v>
      </c>
      <c r="D164" t="s">
        <v>42</v>
      </c>
      <c r="E164">
        <v>10</v>
      </c>
      <c r="F164">
        <v>2</v>
      </c>
      <c r="G164">
        <v>2</v>
      </c>
      <c r="H164" t="s">
        <v>27</v>
      </c>
      <c r="I164">
        <v>1</v>
      </c>
      <c r="J164" s="10">
        <v>0.58333333333333337</v>
      </c>
      <c r="K164" s="10">
        <v>0.69444444444444453</v>
      </c>
      <c r="L164" s="10">
        <f t="shared" si="8"/>
        <v>0.11111111111111116</v>
      </c>
      <c r="M164" s="12">
        <f t="shared" si="7"/>
        <v>2.6666666666666679</v>
      </c>
      <c r="N164" s="12">
        <f>Table35[[#This Row],[Trip Hours]]*Table35[[#This Row],['#Angler]]</f>
        <v>2.6666666666666679</v>
      </c>
      <c r="O164" t="s">
        <v>28</v>
      </c>
      <c r="P164" t="s">
        <v>49</v>
      </c>
      <c r="Q164" t="s">
        <v>237</v>
      </c>
      <c r="R164" s="11">
        <v>0</v>
      </c>
      <c r="S164">
        <v>0</v>
      </c>
      <c r="T164">
        <v>0</v>
      </c>
      <c r="U164" s="11">
        <v>0</v>
      </c>
      <c r="V164">
        <v>0</v>
      </c>
      <c r="W164">
        <v>0</v>
      </c>
      <c r="X164" s="11">
        <f t="shared" si="9"/>
        <v>0</v>
      </c>
      <c r="Y164">
        <f t="shared" si="9"/>
        <v>0</v>
      </c>
      <c r="Z164">
        <f t="shared" si="9"/>
        <v>0</v>
      </c>
      <c r="AA164" s="11"/>
    </row>
    <row r="165" spans="1:28" x14ac:dyDescent="0.3">
      <c r="A165" s="7">
        <v>45546</v>
      </c>
      <c r="B165">
        <v>4</v>
      </c>
      <c r="C165" t="s">
        <v>236</v>
      </c>
      <c r="D165" t="s">
        <v>42</v>
      </c>
      <c r="E165">
        <v>11</v>
      </c>
      <c r="F165">
        <v>2</v>
      </c>
      <c r="G165">
        <v>2</v>
      </c>
      <c r="H165" t="s">
        <v>27</v>
      </c>
      <c r="I165">
        <v>2</v>
      </c>
      <c r="J165" s="10">
        <v>0.70833333333333337</v>
      </c>
      <c r="K165" s="10">
        <v>0.70833333333333337</v>
      </c>
      <c r="L165" s="10">
        <f t="shared" si="8"/>
        <v>0</v>
      </c>
      <c r="M165" s="12">
        <f t="shared" si="7"/>
        <v>0</v>
      </c>
      <c r="N165" s="12">
        <f>Table35[[#This Row],[Trip Hours]]*Table35[[#This Row],['#Angler]]</f>
        <v>0</v>
      </c>
      <c r="O165" t="s">
        <v>28</v>
      </c>
      <c r="P165" t="s">
        <v>289</v>
      </c>
      <c r="Q165" t="s">
        <v>241</v>
      </c>
      <c r="R165" s="11">
        <v>0</v>
      </c>
      <c r="S165">
        <v>0</v>
      </c>
      <c r="T165">
        <v>0</v>
      </c>
      <c r="U165" s="11">
        <v>0</v>
      </c>
      <c r="V165">
        <v>0</v>
      </c>
      <c r="W165">
        <v>0</v>
      </c>
      <c r="X165" s="11">
        <f t="shared" si="9"/>
        <v>0</v>
      </c>
      <c r="Y165">
        <f t="shared" si="9"/>
        <v>0</v>
      </c>
      <c r="Z165">
        <f t="shared" si="9"/>
        <v>0</v>
      </c>
      <c r="AA165" s="11"/>
    </row>
    <row r="166" spans="1:28" x14ac:dyDescent="0.3">
      <c r="A166" s="7">
        <v>45546</v>
      </c>
      <c r="B166">
        <v>4</v>
      </c>
      <c r="C166" t="s">
        <v>236</v>
      </c>
      <c r="D166" t="s">
        <v>42</v>
      </c>
      <c r="E166">
        <v>12</v>
      </c>
      <c r="F166">
        <v>2</v>
      </c>
      <c r="G166">
        <v>3</v>
      </c>
      <c r="H166" t="s">
        <v>27</v>
      </c>
      <c r="I166">
        <v>1</v>
      </c>
      <c r="J166" s="10">
        <v>0.72222222222222221</v>
      </c>
      <c r="K166" s="10">
        <v>0.74305555555555547</v>
      </c>
      <c r="L166" s="10">
        <f t="shared" si="8"/>
        <v>2.0833333333333259E-2</v>
      </c>
      <c r="M166" s="12">
        <f t="shared" si="7"/>
        <v>0.49999999999999822</v>
      </c>
      <c r="N166" s="12">
        <f>Table35[[#This Row],[Trip Hours]]*Table35[[#This Row],['#Angler]]</f>
        <v>0.49999999999999822</v>
      </c>
      <c r="O166" t="s">
        <v>28</v>
      </c>
      <c r="P166" t="s">
        <v>56</v>
      </c>
      <c r="Q166" t="s">
        <v>244</v>
      </c>
      <c r="R166" s="11">
        <v>0</v>
      </c>
      <c r="S166">
        <v>0</v>
      </c>
      <c r="T166">
        <v>0</v>
      </c>
      <c r="U166" s="11">
        <v>0</v>
      </c>
      <c r="V166">
        <v>0</v>
      </c>
      <c r="W166">
        <v>0</v>
      </c>
      <c r="X166" s="11">
        <f t="shared" si="9"/>
        <v>0</v>
      </c>
      <c r="Y166">
        <f t="shared" si="9"/>
        <v>0</v>
      </c>
      <c r="Z166">
        <f t="shared" si="9"/>
        <v>0</v>
      </c>
      <c r="AA166" s="11"/>
    </row>
    <row r="167" spans="1:28" x14ac:dyDescent="0.3">
      <c r="A167" s="7">
        <v>45546</v>
      </c>
      <c r="B167">
        <v>4</v>
      </c>
      <c r="C167" t="s">
        <v>236</v>
      </c>
      <c r="D167" t="s">
        <v>42</v>
      </c>
      <c r="E167">
        <v>13</v>
      </c>
      <c r="F167">
        <v>2</v>
      </c>
      <c r="G167">
        <v>3</v>
      </c>
      <c r="H167" t="s">
        <v>27</v>
      </c>
      <c r="I167">
        <v>1</v>
      </c>
      <c r="J167" s="10">
        <v>0.58333333333333337</v>
      </c>
      <c r="K167" s="10">
        <v>0.74375000000000002</v>
      </c>
      <c r="L167" s="10">
        <f t="shared" si="8"/>
        <v>0.16041666666666665</v>
      </c>
      <c r="M167" s="12">
        <f t="shared" si="7"/>
        <v>3.8499999999999996</v>
      </c>
      <c r="N167" s="12">
        <f>Table35[[#This Row],[Trip Hours]]*Table35[[#This Row],['#Angler]]</f>
        <v>3.8499999999999996</v>
      </c>
      <c r="O167" t="s">
        <v>28</v>
      </c>
      <c r="P167" t="s">
        <v>269</v>
      </c>
      <c r="Q167" t="s">
        <v>237</v>
      </c>
      <c r="R167" s="11">
        <v>0</v>
      </c>
      <c r="S167">
        <v>0</v>
      </c>
      <c r="T167">
        <v>0</v>
      </c>
      <c r="U167" s="11">
        <v>0</v>
      </c>
      <c r="V167">
        <v>0</v>
      </c>
      <c r="W167">
        <v>0</v>
      </c>
      <c r="X167" s="11">
        <f t="shared" si="9"/>
        <v>0</v>
      </c>
      <c r="Y167">
        <f t="shared" si="9"/>
        <v>0</v>
      </c>
      <c r="Z167">
        <f t="shared" si="9"/>
        <v>0</v>
      </c>
      <c r="AA167" s="11"/>
    </row>
    <row r="168" spans="1:28" x14ac:dyDescent="0.3">
      <c r="A168" s="7">
        <v>45546</v>
      </c>
      <c r="B168">
        <v>4</v>
      </c>
      <c r="C168" t="s">
        <v>236</v>
      </c>
      <c r="D168" t="s">
        <v>42</v>
      </c>
      <c r="E168">
        <v>14</v>
      </c>
      <c r="F168">
        <v>2</v>
      </c>
      <c r="G168">
        <v>3</v>
      </c>
      <c r="H168" t="s">
        <v>27</v>
      </c>
      <c r="I168">
        <v>2</v>
      </c>
      <c r="J168" s="10">
        <v>0.66666666666666663</v>
      </c>
      <c r="K168" s="10">
        <v>0.74444444444444446</v>
      </c>
      <c r="L168" s="10">
        <f t="shared" si="8"/>
        <v>7.7777777777777835E-2</v>
      </c>
      <c r="M168" s="12">
        <f t="shared" si="7"/>
        <v>1.866666666666668</v>
      </c>
      <c r="N168" s="12">
        <f>Table35[[#This Row],[Trip Hours]]*Table35[[#This Row],['#Angler]]</f>
        <v>3.7333333333333361</v>
      </c>
      <c r="O168" t="s">
        <v>28</v>
      </c>
      <c r="P168" t="s">
        <v>56</v>
      </c>
      <c r="Q168" t="s">
        <v>241</v>
      </c>
      <c r="R168" s="11">
        <v>0</v>
      </c>
      <c r="S168">
        <v>0</v>
      </c>
      <c r="T168">
        <v>0</v>
      </c>
      <c r="U168" s="11">
        <v>0</v>
      </c>
      <c r="V168">
        <v>0</v>
      </c>
      <c r="W168">
        <v>0</v>
      </c>
      <c r="X168" s="11">
        <f t="shared" si="9"/>
        <v>0</v>
      </c>
      <c r="Y168">
        <f t="shared" si="9"/>
        <v>0</v>
      </c>
      <c r="Z168">
        <f t="shared" si="9"/>
        <v>0</v>
      </c>
      <c r="AA168" s="11"/>
    </row>
    <row r="169" spans="1:28" x14ac:dyDescent="0.3">
      <c r="A169" s="7">
        <v>45546</v>
      </c>
      <c r="B169">
        <v>4</v>
      </c>
      <c r="C169" t="s">
        <v>236</v>
      </c>
      <c r="D169" t="s">
        <v>42</v>
      </c>
      <c r="E169">
        <v>15</v>
      </c>
      <c r="F169">
        <v>2</v>
      </c>
      <c r="G169">
        <v>3</v>
      </c>
      <c r="H169" t="s">
        <v>27</v>
      </c>
      <c r="I169">
        <v>2</v>
      </c>
      <c r="J169" s="10">
        <v>0.6875</v>
      </c>
      <c r="K169" s="10">
        <v>0.74652777777777779</v>
      </c>
      <c r="L169" s="10">
        <f t="shared" si="8"/>
        <v>5.902777777777779E-2</v>
      </c>
      <c r="M169" s="12">
        <f t="shared" si="7"/>
        <v>1.416666666666667</v>
      </c>
      <c r="N169" s="12">
        <f>Table35[[#This Row],[Trip Hours]]*Table35[[#This Row],['#Angler]]</f>
        <v>2.8333333333333339</v>
      </c>
      <c r="O169" t="s">
        <v>28</v>
      </c>
      <c r="P169" t="s">
        <v>148</v>
      </c>
      <c r="Q169" t="s">
        <v>244</v>
      </c>
      <c r="R169" s="11">
        <v>0</v>
      </c>
      <c r="S169">
        <v>0</v>
      </c>
      <c r="T169">
        <v>0</v>
      </c>
      <c r="U169" s="11">
        <v>2</v>
      </c>
      <c r="V169">
        <v>0</v>
      </c>
      <c r="W169">
        <v>0</v>
      </c>
      <c r="X169" s="11">
        <f t="shared" si="9"/>
        <v>2</v>
      </c>
      <c r="Y169">
        <f t="shared" si="9"/>
        <v>0</v>
      </c>
      <c r="Z169">
        <f t="shared" si="9"/>
        <v>0</v>
      </c>
      <c r="AA169" s="11"/>
      <c r="AB169" t="s">
        <v>290</v>
      </c>
    </row>
    <row r="170" spans="1:28" x14ac:dyDescent="0.3">
      <c r="A170" s="7">
        <v>45546</v>
      </c>
      <c r="B170">
        <v>4</v>
      </c>
      <c r="C170" t="s">
        <v>236</v>
      </c>
      <c r="D170" t="s">
        <v>42</v>
      </c>
      <c r="E170">
        <v>16</v>
      </c>
      <c r="F170">
        <v>2</v>
      </c>
      <c r="G170">
        <v>4</v>
      </c>
      <c r="H170" t="s">
        <v>27</v>
      </c>
      <c r="I170">
        <v>2</v>
      </c>
      <c r="J170" s="10">
        <v>0.75</v>
      </c>
      <c r="K170" s="10">
        <v>0.7597222222222223</v>
      </c>
      <c r="L170" s="10">
        <f t="shared" si="8"/>
        <v>9.7222222222222987E-3</v>
      </c>
      <c r="M170" s="12">
        <f t="shared" si="7"/>
        <v>0.23333333333333517</v>
      </c>
      <c r="N170" s="12">
        <f>Table35[[#This Row],[Trip Hours]]*Table35[[#This Row],['#Angler]]</f>
        <v>0.46666666666667034</v>
      </c>
      <c r="O170" t="s">
        <v>28</v>
      </c>
      <c r="P170" t="s">
        <v>82</v>
      </c>
      <c r="Q170" t="s">
        <v>237</v>
      </c>
      <c r="R170" s="11">
        <v>0</v>
      </c>
      <c r="S170">
        <v>0</v>
      </c>
      <c r="T170">
        <v>0</v>
      </c>
      <c r="U170" s="11">
        <v>0</v>
      </c>
      <c r="V170">
        <v>0</v>
      </c>
      <c r="W170">
        <v>0</v>
      </c>
      <c r="X170" s="11">
        <f t="shared" si="9"/>
        <v>0</v>
      </c>
      <c r="Y170">
        <f t="shared" si="9"/>
        <v>0</v>
      </c>
      <c r="Z170">
        <f t="shared" si="9"/>
        <v>0</v>
      </c>
      <c r="AA170" s="11"/>
    </row>
    <row r="171" spans="1:28" x14ac:dyDescent="0.3">
      <c r="A171" s="7">
        <v>45546</v>
      </c>
      <c r="B171">
        <v>4</v>
      </c>
      <c r="C171" t="s">
        <v>236</v>
      </c>
      <c r="D171" t="s">
        <v>42</v>
      </c>
      <c r="E171">
        <v>17</v>
      </c>
      <c r="F171">
        <v>2</v>
      </c>
      <c r="G171">
        <v>4</v>
      </c>
      <c r="H171" t="s">
        <v>27</v>
      </c>
      <c r="I171">
        <v>1</v>
      </c>
      <c r="J171" s="10">
        <v>0.69791666666666663</v>
      </c>
      <c r="K171" s="10">
        <v>0.7597222222222223</v>
      </c>
      <c r="L171" s="10">
        <f t="shared" si="8"/>
        <v>6.1805555555555669E-2</v>
      </c>
      <c r="M171" s="12">
        <f t="shared" si="7"/>
        <v>1.4833333333333361</v>
      </c>
      <c r="N171" s="12">
        <f>Table35[[#This Row],[Trip Hours]]*Table35[[#This Row],['#Angler]]</f>
        <v>1.4833333333333361</v>
      </c>
      <c r="O171" t="s">
        <v>28</v>
      </c>
      <c r="P171" t="s">
        <v>56</v>
      </c>
      <c r="Q171" t="s">
        <v>237</v>
      </c>
      <c r="R171" s="11">
        <v>2</v>
      </c>
      <c r="S171">
        <v>0</v>
      </c>
      <c r="T171">
        <v>0</v>
      </c>
      <c r="U171" s="11">
        <v>0</v>
      </c>
      <c r="V171">
        <v>0</v>
      </c>
      <c r="W171">
        <v>0</v>
      </c>
      <c r="X171" s="11">
        <f t="shared" si="9"/>
        <v>2</v>
      </c>
      <c r="Y171">
        <f t="shared" si="9"/>
        <v>0</v>
      </c>
      <c r="Z171">
        <f t="shared" si="9"/>
        <v>0</v>
      </c>
      <c r="AA171" s="11"/>
    </row>
    <row r="172" spans="1:28" x14ac:dyDescent="0.3">
      <c r="A172" s="7">
        <v>45546</v>
      </c>
      <c r="B172">
        <v>4</v>
      </c>
      <c r="C172" t="s">
        <v>236</v>
      </c>
      <c r="D172" t="s">
        <v>42</v>
      </c>
      <c r="E172">
        <v>18</v>
      </c>
      <c r="F172">
        <v>2</v>
      </c>
      <c r="G172">
        <v>4</v>
      </c>
      <c r="H172" t="s">
        <v>27</v>
      </c>
      <c r="I172">
        <v>1</v>
      </c>
      <c r="J172" s="10">
        <v>0.70833333333333337</v>
      </c>
      <c r="K172" s="10">
        <v>0.77430555555555547</v>
      </c>
      <c r="L172" s="10">
        <f t="shared" si="8"/>
        <v>6.5972222222222099E-2</v>
      </c>
      <c r="M172" s="12">
        <f t="shared" si="7"/>
        <v>1.5833333333333304</v>
      </c>
      <c r="N172" s="12">
        <f>Table35[[#This Row],[Trip Hours]]*Table35[[#This Row],['#Angler]]</f>
        <v>1.5833333333333304</v>
      </c>
      <c r="O172" t="s">
        <v>28</v>
      </c>
      <c r="P172" t="s">
        <v>279</v>
      </c>
      <c r="Q172" t="s">
        <v>241</v>
      </c>
      <c r="R172" s="11">
        <v>0</v>
      </c>
      <c r="S172">
        <v>0</v>
      </c>
      <c r="T172">
        <v>0</v>
      </c>
      <c r="U172" s="11">
        <v>0</v>
      </c>
      <c r="V172">
        <v>0</v>
      </c>
      <c r="W172">
        <v>0</v>
      </c>
      <c r="X172" s="11">
        <f t="shared" si="9"/>
        <v>0</v>
      </c>
      <c r="Y172">
        <f t="shared" si="9"/>
        <v>0</v>
      </c>
      <c r="Z172">
        <f t="shared" si="9"/>
        <v>0</v>
      </c>
      <c r="AA172" s="11"/>
    </row>
    <row r="173" spans="1:28" x14ac:dyDescent="0.3">
      <c r="A173" s="7">
        <v>45546</v>
      </c>
      <c r="B173">
        <v>4</v>
      </c>
      <c r="C173" t="s">
        <v>236</v>
      </c>
      <c r="D173" t="s">
        <v>42</v>
      </c>
      <c r="E173">
        <v>19</v>
      </c>
      <c r="F173">
        <v>2</v>
      </c>
      <c r="G173">
        <v>4</v>
      </c>
      <c r="H173" t="s">
        <v>27</v>
      </c>
      <c r="I173">
        <v>1</v>
      </c>
      <c r="J173" s="10">
        <v>0.69791666666666663</v>
      </c>
      <c r="K173" s="10">
        <v>0.77430555555555547</v>
      </c>
      <c r="L173" s="10">
        <f t="shared" si="8"/>
        <v>7.638888888888884E-2</v>
      </c>
      <c r="M173" s="12">
        <f t="shared" si="7"/>
        <v>1.8333333333333321</v>
      </c>
      <c r="N173" s="12">
        <f>Table35[[#This Row],[Trip Hours]]*Table35[[#This Row],['#Angler]]</f>
        <v>1.8333333333333321</v>
      </c>
      <c r="O173" t="s">
        <v>28</v>
      </c>
      <c r="P173" t="s">
        <v>56</v>
      </c>
      <c r="Q173" t="s">
        <v>241</v>
      </c>
      <c r="R173" s="11">
        <v>1</v>
      </c>
      <c r="S173">
        <v>0</v>
      </c>
      <c r="T173">
        <v>0</v>
      </c>
      <c r="U173" s="11">
        <v>0</v>
      </c>
      <c r="V173">
        <v>0</v>
      </c>
      <c r="W173">
        <v>0</v>
      </c>
      <c r="X173" s="11">
        <f t="shared" si="9"/>
        <v>1</v>
      </c>
      <c r="Y173">
        <f t="shared" si="9"/>
        <v>0</v>
      </c>
      <c r="Z173">
        <f t="shared" si="9"/>
        <v>0</v>
      </c>
      <c r="AA173" s="11"/>
    </row>
    <row r="174" spans="1:28" x14ac:dyDescent="0.3">
      <c r="A174" s="7">
        <v>45546</v>
      </c>
      <c r="B174">
        <v>4</v>
      </c>
      <c r="C174" t="s">
        <v>236</v>
      </c>
      <c r="D174" t="s">
        <v>42</v>
      </c>
      <c r="E174">
        <v>20</v>
      </c>
      <c r="F174">
        <v>2</v>
      </c>
      <c r="G174">
        <v>4</v>
      </c>
      <c r="H174" t="s">
        <v>27</v>
      </c>
      <c r="I174">
        <v>1</v>
      </c>
      <c r="J174" s="10">
        <v>0.66666666666666663</v>
      </c>
      <c r="K174" s="10">
        <v>0.77430555555555547</v>
      </c>
      <c r="L174" s="10">
        <f t="shared" si="8"/>
        <v>0.10763888888888884</v>
      </c>
      <c r="M174" s="12">
        <f t="shared" si="7"/>
        <v>2.5833333333333321</v>
      </c>
      <c r="N174" s="12">
        <f>Table35[[#This Row],[Trip Hours]]*Table35[[#This Row],['#Angler]]</f>
        <v>2.5833333333333321</v>
      </c>
      <c r="O174" t="s">
        <v>28</v>
      </c>
      <c r="P174" t="s">
        <v>269</v>
      </c>
      <c r="Q174" t="s">
        <v>237</v>
      </c>
      <c r="R174" s="11">
        <v>1</v>
      </c>
      <c r="S174">
        <v>0</v>
      </c>
      <c r="T174">
        <v>0</v>
      </c>
      <c r="U174" s="11">
        <v>0</v>
      </c>
      <c r="V174">
        <v>0</v>
      </c>
      <c r="W174">
        <v>0</v>
      </c>
      <c r="X174" s="11">
        <f t="shared" si="9"/>
        <v>1</v>
      </c>
      <c r="Y174">
        <f t="shared" si="9"/>
        <v>0</v>
      </c>
      <c r="Z174">
        <f t="shared" si="9"/>
        <v>0</v>
      </c>
      <c r="AA174" s="11"/>
    </row>
    <row r="175" spans="1:28" x14ac:dyDescent="0.3">
      <c r="A175" s="7">
        <v>45546</v>
      </c>
      <c r="B175">
        <v>4</v>
      </c>
      <c r="C175" t="s">
        <v>236</v>
      </c>
      <c r="D175" t="s">
        <v>42</v>
      </c>
      <c r="E175">
        <v>21</v>
      </c>
      <c r="F175">
        <v>2</v>
      </c>
      <c r="G175">
        <v>5</v>
      </c>
      <c r="H175" t="s">
        <v>27</v>
      </c>
      <c r="I175">
        <v>3</v>
      </c>
      <c r="J175" s="10">
        <v>0.72916666666666663</v>
      </c>
      <c r="K175" s="10">
        <v>0.80902777777777779</v>
      </c>
      <c r="L175" s="10">
        <f t="shared" si="8"/>
        <v>7.986111111111116E-2</v>
      </c>
      <c r="M175" s="12">
        <f t="shared" si="7"/>
        <v>1.9166666666666679</v>
      </c>
      <c r="N175" s="12">
        <f>Table35[[#This Row],[Trip Hours]]*Table35[[#This Row],['#Angler]]</f>
        <v>5.7500000000000036</v>
      </c>
      <c r="O175" t="s">
        <v>25</v>
      </c>
      <c r="P175" t="s">
        <v>269</v>
      </c>
      <c r="Q175" t="s">
        <v>237</v>
      </c>
      <c r="R175" s="11">
        <v>0</v>
      </c>
      <c r="S175">
        <v>0</v>
      </c>
      <c r="T175">
        <v>0</v>
      </c>
      <c r="U175" s="11">
        <v>0</v>
      </c>
      <c r="V175">
        <v>0</v>
      </c>
      <c r="W175">
        <v>0</v>
      </c>
      <c r="X175" s="11">
        <f t="shared" si="9"/>
        <v>0</v>
      </c>
      <c r="Y175">
        <f t="shared" si="9"/>
        <v>0</v>
      </c>
      <c r="Z175">
        <f t="shared" si="9"/>
        <v>0</v>
      </c>
      <c r="AA175" s="11"/>
    </row>
    <row r="176" spans="1:28" x14ac:dyDescent="0.3">
      <c r="A176" s="7">
        <v>45546</v>
      </c>
      <c r="B176">
        <v>4</v>
      </c>
      <c r="C176" t="s">
        <v>236</v>
      </c>
      <c r="D176" t="s">
        <v>42</v>
      </c>
      <c r="E176">
        <v>22</v>
      </c>
      <c r="F176">
        <v>2</v>
      </c>
      <c r="G176">
        <v>5</v>
      </c>
      <c r="H176" t="s">
        <v>27</v>
      </c>
      <c r="I176">
        <v>2</v>
      </c>
      <c r="J176" s="10">
        <v>0.66666666666666663</v>
      </c>
      <c r="K176" s="10">
        <v>0.80555555555555547</v>
      </c>
      <c r="L176" s="10">
        <f t="shared" si="8"/>
        <v>0.13888888888888884</v>
      </c>
      <c r="M176" s="12">
        <f t="shared" si="7"/>
        <v>3.3333333333333321</v>
      </c>
      <c r="N176" s="12">
        <f>Table35[[#This Row],[Trip Hours]]*Table35[[#This Row],['#Angler]]</f>
        <v>6.6666666666666643</v>
      </c>
      <c r="O176" t="s">
        <v>28</v>
      </c>
      <c r="P176" t="s">
        <v>56</v>
      </c>
      <c r="Q176" t="s">
        <v>241</v>
      </c>
      <c r="R176" s="11">
        <v>0</v>
      </c>
      <c r="S176">
        <v>0</v>
      </c>
      <c r="T176">
        <v>0</v>
      </c>
      <c r="U176" s="11">
        <v>0</v>
      </c>
      <c r="V176">
        <v>0</v>
      </c>
      <c r="W176">
        <v>0</v>
      </c>
      <c r="X176" s="11">
        <f t="shared" si="9"/>
        <v>0</v>
      </c>
      <c r="Y176">
        <f t="shared" si="9"/>
        <v>0</v>
      </c>
      <c r="Z176">
        <f t="shared" si="9"/>
        <v>0</v>
      </c>
      <c r="AA176" s="11"/>
      <c r="AB176" t="s">
        <v>291</v>
      </c>
    </row>
    <row r="177" spans="1:28" x14ac:dyDescent="0.3">
      <c r="A177" s="7">
        <v>45547</v>
      </c>
      <c r="B177">
        <v>4</v>
      </c>
      <c r="C177" t="s">
        <v>236</v>
      </c>
      <c r="D177" t="s">
        <v>42</v>
      </c>
      <c r="E177">
        <v>1</v>
      </c>
      <c r="F177">
        <v>2</v>
      </c>
      <c r="G177">
        <v>1</v>
      </c>
      <c r="H177" t="s">
        <v>27</v>
      </c>
      <c r="I177">
        <v>1</v>
      </c>
      <c r="J177" s="10">
        <v>0.70833333333333337</v>
      </c>
      <c r="K177" s="10">
        <v>0.75624999999999998</v>
      </c>
      <c r="L177" s="10">
        <f t="shared" si="8"/>
        <v>4.7916666666666607E-2</v>
      </c>
      <c r="M177" s="12">
        <f t="shared" si="7"/>
        <v>1.1499999999999986</v>
      </c>
      <c r="N177" s="12">
        <f>Table35[[#This Row],[Trip Hours]]*Table35[[#This Row],['#Angler]]</f>
        <v>1.1499999999999986</v>
      </c>
      <c r="O177" t="s">
        <v>28</v>
      </c>
      <c r="P177" t="s">
        <v>279</v>
      </c>
      <c r="Q177" t="s">
        <v>247</v>
      </c>
      <c r="R177" s="11">
        <v>0</v>
      </c>
      <c r="S177">
        <v>0</v>
      </c>
      <c r="T177">
        <v>0</v>
      </c>
      <c r="U177" s="11">
        <v>0</v>
      </c>
      <c r="V177">
        <v>0</v>
      </c>
      <c r="W177">
        <v>0</v>
      </c>
      <c r="X177" s="11">
        <f t="shared" si="9"/>
        <v>0</v>
      </c>
      <c r="Y177">
        <f t="shared" si="9"/>
        <v>0</v>
      </c>
      <c r="Z177">
        <f t="shared" si="9"/>
        <v>0</v>
      </c>
      <c r="AA177" s="11"/>
      <c r="AB177" t="s">
        <v>292</v>
      </c>
    </row>
    <row r="178" spans="1:28" x14ac:dyDescent="0.3">
      <c r="A178" s="7">
        <v>45547</v>
      </c>
      <c r="B178">
        <v>4</v>
      </c>
      <c r="C178" t="s">
        <v>236</v>
      </c>
      <c r="D178" t="s">
        <v>42</v>
      </c>
      <c r="E178">
        <v>2</v>
      </c>
      <c r="F178">
        <v>1</v>
      </c>
      <c r="G178">
        <v>2</v>
      </c>
      <c r="H178" t="s">
        <v>27</v>
      </c>
      <c r="I178">
        <v>1</v>
      </c>
      <c r="J178" s="10">
        <v>0.29166666666666669</v>
      </c>
      <c r="K178" s="10">
        <v>0.375</v>
      </c>
      <c r="L178" s="10">
        <f t="shared" si="8"/>
        <v>8.3333333333333315E-2</v>
      </c>
      <c r="M178" s="12">
        <f t="shared" si="7"/>
        <v>1.9999999999999996</v>
      </c>
      <c r="N178" s="12">
        <f>Table35[[#This Row],[Trip Hours]]*Table35[[#This Row],['#Angler]]</f>
        <v>1.9999999999999996</v>
      </c>
      <c r="O178" t="s">
        <v>25</v>
      </c>
      <c r="P178" t="s">
        <v>73</v>
      </c>
      <c r="Q178" t="s">
        <v>247</v>
      </c>
      <c r="R178" s="11">
        <v>0</v>
      </c>
      <c r="S178">
        <v>0</v>
      </c>
      <c r="T178">
        <v>0</v>
      </c>
      <c r="U178" s="11">
        <v>0</v>
      </c>
      <c r="V178">
        <v>0</v>
      </c>
      <c r="W178">
        <v>0</v>
      </c>
      <c r="X178" s="11">
        <f t="shared" si="9"/>
        <v>0</v>
      </c>
      <c r="Y178">
        <f t="shared" si="9"/>
        <v>0</v>
      </c>
      <c r="Z178">
        <f t="shared" si="9"/>
        <v>0</v>
      </c>
      <c r="AA178" s="11"/>
      <c r="AB178" t="s">
        <v>293</v>
      </c>
    </row>
    <row r="179" spans="1:28" x14ac:dyDescent="0.3">
      <c r="A179" s="7">
        <v>45547</v>
      </c>
      <c r="B179">
        <v>4</v>
      </c>
      <c r="C179" t="s">
        <v>236</v>
      </c>
      <c r="D179" t="s">
        <v>42</v>
      </c>
      <c r="E179">
        <v>3</v>
      </c>
      <c r="F179">
        <v>1</v>
      </c>
      <c r="G179">
        <v>2</v>
      </c>
      <c r="H179" t="s">
        <v>27</v>
      </c>
      <c r="I179">
        <v>1</v>
      </c>
      <c r="J179" s="10">
        <v>0.58333333333333337</v>
      </c>
      <c r="K179" s="10">
        <v>0.66666666666666663</v>
      </c>
      <c r="L179" s="10">
        <f t="shared" si="8"/>
        <v>8.3333333333333259E-2</v>
      </c>
      <c r="M179" s="12">
        <f t="shared" si="7"/>
        <v>1.9999999999999982</v>
      </c>
      <c r="N179" s="12">
        <f>Table35[[#This Row],[Trip Hours]]*Table35[[#This Row],['#Angler]]</f>
        <v>1.9999999999999982</v>
      </c>
      <c r="O179" t="s">
        <v>25</v>
      </c>
      <c r="P179" t="s">
        <v>73</v>
      </c>
      <c r="Q179" t="s">
        <v>247</v>
      </c>
      <c r="R179" s="11">
        <v>0</v>
      </c>
      <c r="S179">
        <v>0</v>
      </c>
      <c r="T179">
        <v>0</v>
      </c>
      <c r="U179" s="11">
        <v>0</v>
      </c>
      <c r="V179">
        <v>0</v>
      </c>
      <c r="W179">
        <v>0</v>
      </c>
      <c r="X179" s="11">
        <f t="shared" si="9"/>
        <v>0</v>
      </c>
      <c r="Y179">
        <f t="shared" si="9"/>
        <v>0</v>
      </c>
      <c r="Z179">
        <f t="shared" si="9"/>
        <v>0</v>
      </c>
      <c r="AA179" s="11"/>
    </row>
    <row r="180" spans="1:28" x14ac:dyDescent="0.3">
      <c r="A180" s="7">
        <v>45547</v>
      </c>
      <c r="B180">
        <v>4</v>
      </c>
      <c r="C180" t="s">
        <v>236</v>
      </c>
      <c r="D180" t="s">
        <v>42</v>
      </c>
      <c r="E180">
        <v>4</v>
      </c>
      <c r="F180">
        <v>2</v>
      </c>
      <c r="G180">
        <v>2</v>
      </c>
      <c r="H180" t="s">
        <v>27</v>
      </c>
      <c r="I180">
        <v>1</v>
      </c>
      <c r="J180" s="10">
        <v>0.76666666666666661</v>
      </c>
      <c r="K180" s="10">
        <v>0.78055555555555556</v>
      </c>
      <c r="L180" s="10">
        <f t="shared" si="8"/>
        <v>1.3888888888888951E-2</v>
      </c>
      <c r="M180" s="12">
        <f t="shared" si="7"/>
        <v>0.33333333333333481</v>
      </c>
      <c r="N180" s="12">
        <f>Table35[[#This Row],[Trip Hours]]*Table35[[#This Row],['#Angler]]</f>
        <v>0.33333333333333481</v>
      </c>
      <c r="O180" t="s">
        <v>28</v>
      </c>
      <c r="P180" t="s">
        <v>219</v>
      </c>
      <c r="Q180" t="s">
        <v>244</v>
      </c>
      <c r="R180" s="11">
        <v>0</v>
      </c>
      <c r="S180">
        <v>0</v>
      </c>
      <c r="T180">
        <v>0</v>
      </c>
      <c r="U180" s="11">
        <v>0</v>
      </c>
      <c r="V180">
        <v>0</v>
      </c>
      <c r="W180">
        <v>0</v>
      </c>
      <c r="X180" s="11">
        <f t="shared" si="9"/>
        <v>0</v>
      </c>
      <c r="Y180">
        <f t="shared" si="9"/>
        <v>0</v>
      </c>
      <c r="Z180">
        <f t="shared" si="9"/>
        <v>0</v>
      </c>
      <c r="AA180" s="11"/>
    </row>
    <row r="181" spans="1:28" x14ac:dyDescent="0.3">
      <c r="A181" s="7">
        <v>45547</v>
      </c>
      <c r="B181">
        <v>4</v>
      </c>
      <c r="C181" t="s">
        <v>236</v>
      </c>
      <c r="D181" t="s">
        <v>42</v>
      </c>
      <c r="E181">
        <v>5</v>
      </c>
      <c r="F181">
        <v>2</v>
      </c>
      <c r="G181">
        <v>2</v>
      </c>
      <c r="H181" t="s">
        <v>27</v>
      </c>
      <c r="I181">
        <v>2</v>
      </c>
      <c r="J181" s="10">
        <v>0.73958333333333337</v>
      </c>
      <c r="K181" s="10">
        <v>0.78125</v>
      </c>
      <c r="L181" s="10">
        <f t="shared" si="8"/>
        <v>4.166666666666663E-2</v>
      </c>
      <c r="M181" s="12">
        <f t="shared" si="7"/>
        <v>0.99999999999999911</v>
      </c>
      <c r="N181" s="12">
        <f>Table35[[#This Row],[Trip Hours]]*Table35[[#This Row],['#Angler]]</f>
        <v>1.9999999999999982</v>
      </c>
      <c r="O181" t="s">
        <v>28</v>
      </c>
      <c r="P181" t="s">
        <v>294</v>
      </c>
      <c r="Q181" t="s">
        <v>241</v>
      </c>
      <c r="R181" s="11">
        <v>0</v>
      </c>
      <c r="S181">
        <v>0</v>
      </c>
      <c r="T181">
        <v>0</v>
      </c>
      <c r="U181" s="11">
        <v>0</v>
      </c>
      <c r="V181">
        <v>0</v>
      </c>
      <c r="W181">
        <v>0</v>
      </c>
      <c r="X181" s="11">
        <f t="shared" si="9"/>
        <v>0</v>
      </c>
      <c r="Y181">
        <f t="shared" si="9"/>
        <v>0</v>
      </c>
      <c r="Z181">
        <f t="shared" si="9"/>
        <v>0</v>
      </c>
      <c r="AA181" s="11"/>
    </row>
    <row r="182" spans="1:28" x14ac:dyDescent="0.3">
      <c r="A182" s="7">
        <v>45547</v>
      </c>
      <c r="B182">
        <v>4</v>
      </c>
      <c r="C182" t="s">
        <v>236</v>
      </c>
      <c r="D182" t="s">
        <v>42</v>
      </c>
      <c r="E182">
        <v>6</v>
      </c>
      <c r="F182">
        <v>2</v>
      </c>
      <c r="G182">
        <v>2</v>
      </c>
      <c r="H182" t="s">
        <v>27</v>
      </c>
      <c r="I182">
        <v>1</v>
      </c>
      <c r="J182" s="10">
        <v>0.625</v>
      </c>
      <c r="K182" s="10">
        <v>0.80208333333333337</v>
      </c>
      <c r="L182" s="10">
        <f t="shared" si="8"/>
        <v>0.17708333333333337</v>
      </c>
      <c r="M182" s="12">
        <f t="shared" si="7"/>
        <v>4.2500000000000009</v>
      </c>
      <c r="N182" s="12">
        <f>Table35[[#This Row],[Trip Hours]]*Table35[[#This Row],['#Angler]]</f>
        <v>4.2500000000000009</v>
      </c>
      <c r="O182" t="s">
        <v>25</v>
      </c>
      <c r="P182" t="s">
        <v>56</v>
      </c>
      <c r="Q182" t="s">
        <v>247</v>
      </c>
      <c r="R182" s="11">
        <v>0</v>
      </c>
      <c r="S182">
        <v>0</v>
      </c>
      <c r="T182">
        <v>0</v>
      </c>
      <c r="U182" s="11">
        <v>0</v>
      </c>
      <c r="V182">
        <v>0</v>
      </c>
      <c r="W182">
        <v>0</v>
      </c>
      <c r="X182" s="11">
        <f t="shared" si="9"/>
        <v>0</v>
      </c>
      <c r="Y182">
        <f t="shared" si="9"/>
        <v>0</v>
      </c>
      <c r="Z182">
        <f t="shared" si="9"/>
        <v>0</v>
      </c>
      <c r="AA182" s="11"/>
    </row>
    <row r="183" spans="1:28" x14ac:dyDescent="0.3">
      <c r="A183" s="7">
        <v>45547</v>
      </c>
      <c r="B183">
        <v>4</v>
      </c>
      <c r="C183" t="s">
        <v>236</v>
      </c>
      <c r="D183" t="s">
        <v>42</v>
      </c>
      <c r="E183">
        <v>7</v>
      </c>
      <c r="F183">
        <v>2</v>
      </c>
      <c r="G183">
        <v>2</v>
      </c>
      <c r="H183" t="s">
        <v>27</v>
      </c>
      <c r="I183">
        <v>1</v>
      </c>
      <c r="J183" s="10">
        <v>0.76041666666666663</v>
      </c>
      <c r="K183" s="10">
        <v>0.80208333333333337</v>
      </c>
      <c r="L183" s="10">
        <f t="shared" si="8"/>
        <v>4.1666666666666741E-2</v>
      </c>
      <c r="M183" s="12">
        <f t="shared" si="7"/>
        <v>1.0000000000000018</v>
      </c>
      <c r="N183" s="12">
        <f>Table35[[#This Row],[Trip Hours]]*Table35[[#This Row],['#Angler]]</f>
        <v>1.0000000000000018</v>
      </c>
      <c r="O183" t="s">
        <v>25</v>
      </c>
      <c r="P183" t="s">
        <v>56</v>
      </c>
      <c r="Q183" t="s">
        <v>241</v>
      </c>
      <c r="R183" s="11">
        <v>0</v>
      </c>
      <c r="S183">
        <v>0</v>
      </c>
      <c r="T183">
        <v>0</v>
      </c>
      <c r="U183" s="11">
        <v>0</v>
      </c>
      <c r="V183">
        <v>0</v>
      </c>
      <c r="W183">
        <v>0</v>
      </c>
      <c r="X183" s="11">
        <f t="shared" si="9"/>
        <v>0</v>
      </c>
      <c r="Y183">
        <f t="shared" si="9"/>
        <v>0</v>
      </c>
      <c r="Z183">
        <f t="shared" si="9"/>
        <v>0</v>
      </c>
      <c r="AA183" s="11"/>
    </row>
    <row r="184" spans="1:28" x14ac:dyDescent="0.3">
      <c r="A184" s="7">
        <v>45547</v>
      </c>
      <c r="B184">
        <v>4</v>
      </c>
      <c r="C184" t="s">
        <v>236</v>
      </c>
      <c r="D184" t="s">
        <v>42</v>
      </c>
      <c r="E184">
        <v>8</v>
      </c>
      <c r="F184">
        <v>2</v>
      </c>
      <c r="G184">
        <v>4</v>
      </c>
      <c r="H184" t="s">
        <v>27</v>
      </c>
      <c r="I184">
        <v>2</v>
      </c>
      <c r="J184" s="10">
        <v>0.66666666666666663</v>
      </c>
      <c r="K184" s="10">
        <v>0.8125</v>
      </c>
      <c r="L184" s="10">
        <f t="shared" si="8"/>
        <v>0.14583333333333337</v>
      </c>
      <c r="M184" s="12">
        <f t="shared" si="7"/>
        <v>3.5000000000000009</v>
      </c>
      <c r="N184" s="12">
        <f>Table35[[#This Row],[Trip Hours]]*Table35[[#This Row],['#Angler]]</f>
        <v>7.0000000000000018</v>
      </c>
      <c r="O184" t="s">
        <v>25</v>
      </c>
      <c r="P184" t="s">
        <v>219</v>
      </c>
      <c r="Q184" t="s">
        <v>237</v>
      </c>
      <c r="R184" s="11">
        <v>0</v>
      </c>
      <c r="S184">
        <v>0</v>
      </c>
      <c r="T184">
        <v>0</v>
      </c>
      <c r="U184" s="11">
        <v>0</v>
      </c>
      <c r="V184">
        <v>0</v>
      </c>
      <c r="W184">
        <v>0</v>
      </c>
      <c r="X184" s="11">
        <f t="shared" si="9"/>
        <v>0</v>
      </c>
      <c r="Y184">
        <f t="shared" si="9"/>
        <v>0</v>
      </c>
      <c r="Z184">
        <f t="shared" si="9"/>
        <v>0</v>
      </c>
      <c r="AA184" s="11"/>
    </row>
    <row r="185" spans="1:28" x14ac:dyDescent="0.3">
      <c r="A185" s="7">
        <v>45547</v>
      </c>
      <c r="B185">
        <v>4</v>
      </c>
      <c r="C185" t="s">
        <v>236</v>
      </c>
      <c r="D185" t="s">
        <v>42</v>
      </c>
      <c r="E185">
        <v>9</v>
      </c>
      <c r="F185">
        <v>2</v>
      </c>
      <c r="G185">
        <v>4</v>
      </c>
      <c r="H185" t="s">
        <v>27</v>
      </c>
      <c r="I185">
        <v>1</v>
      </c>
      <c r="J185" s="10">
        <v>0.70833333333333337</v>
      </c>
      <c r="K185" s="10">
        <v>0.81458333333333333</v>
      </c>
      <c r="L185" s="10">
        <f t="shared" si="8"/>
        <v>0.10624999999999996</v>
      </c>
      <c r="M185" s="12">
        <f t="shared" si="7"/>
        <v>2.5499999999999989</v>
      </c>
      <c r="N185" s="12">
        <f>Table35[[#This Row],[Trip Hours]]*Table35[[#This Row],['#Angler]]</f>
        <v>2.5499999999999989</v>
      </c>
      <c r="O185" t="s">
        <v>28</v>
      </c>
      <c r="P185" t="s">
        <v>82</v>
      </c>
      <c r="Q185" t="s">
        <v>241</v>
      </c>
      <c r="R185" s="11">
        <v>1</v>
      </c>
      <c r="S185">
        <v>0</v>
      </c>
      <c r="T185">
        <v>0</v>
      </c>
      <c r="U185" s="11">
        <v>0</v>
      </c>
      <c r="V185">
        <v>0</v>
      </c>
      <c r="W185">
        <v>0</v>
      </c>
      <c r="X185" s="11">
        <f t="shared" si="9"/>
        <v>1</v>
      </c>
      <c r="Y185">
        <f t="shared" si="9"/>
        <v>0</v>
      </c>
      <c r="Z185">
        <f t="shared" si="9"/>
        <v>0</v>
      </c>
      <c r="AA185" s="11"/>
    </row>
    <row r="186" spans="1:28" x14ac:dyDescent="0.3">
      <c r="A186" s="7">
        <v>45548</v>
      </c>
      <c r="B186">
        <v>4</v>
      </c>
      <c r="C186" t="s">
        <v>236</v>
      </c>
      <c r="D186" t="s">
        <v>26</v>
      </c>
      <c r="E186">
        <v>1</v>
      </c>
      <c r="F186">
        <v>2</v>
      </c>
      <c r="G186">
        <v>5</v>
      </c>
      <c r="H186" t="s">
        <v>27</v>
      </c>
      <c r="I186">
        <v>2</v>
      </c>
      <c r="J186" s="10">
        <v>0.23958333333333334</v>
      </c>
      <c r="K186" s="10">
        <v>0.2986111111111111</v>
      </c>
      <c r="L186" s="10">
        <f t="shared" si="8"/>
        <v>5.9027777777777762E-2</v>
      </c>
      <c r="M186" s="12">
        <f t="shared" si="7"/>
        <v>1.4166666666666663</v>
      </c>
      <c r="N186" s="12">
        <f>Table35[[#This Row],[Trip Hours]]*Table35[[#This Row],['#Angler]]</f>
        <v>2.8333333333333326</v>
      </c>
      <c r="O186" t="s">
        <v>28</v>
      </c>
      <c r="P186" t="s">
        <v>82</v>
      </c>
      <c r="Q186" t="s">
        <v>241</v>
      </c>
      <c r="R186" s="11">
        <v>0</v>
      </c>
      <c r="S186">
        <v>0</v>
      </c>
      <c r="T186">
        <v>0</v>
      </c>
      <c r="U186" s="11">
        <v>0</v>
      </c>
      <c r="V186">
        <v>0</v>
      </c>
      <c r="W186">
        <v>0</v>
      </c>
      <c r="X186" s="11">
        <f t="shared" si="9"/>
        <v>0</v>
      </c>
      <c r="Y186">
        <f t="shared" si="9"/>
        <v>0</v>
      </c>
      <c r="Z186">
        <f t="shared" si="9"/>
        <v>0</v>
      </c>
      <c r="AA186" s="11"/>
    </row>
    <row r="187" spans="1:28" x14ac:dyDescent="0.3">
      <c r="A187" s="7">
        <v>45548</v>
      </c>
      <c r="B187">
        <v>4</v>
      </c>
      <c r="C187" t="s">
        <v>236</v>
      </c>
      <c r="D187" t="s">
        <v>26</v>
      </c>
      <c r="E187">
        <v>2</v>
      </c>
      <c r="F187">
        <v>2</v>
      </c>
      <c r="G187">
        <v>4</v>
      </c>
      <c r="H187" t="s">
        <v>27</v>
      </c>
      <c r="I187">
        <v>1</v>
      </c>
      <c r="J187" s="10">
        <v>0.28125</v>
      </c>
      <c r="K187" s="10">
        <v>0.31527777777777777</v>
      </c>
      <c r="L187" s="10">
        <f t="shared" si="8"/>
        <v>3.4027777777777768E-2</v>
      </c>
      <c r="M187" s="12">
        <f t="shared" si="7"/>
        <v>0.81666666666666643</v>
      </c>
      <c r="N187" s="12">
        <f>Table35[[#This Row],[Trip Hours]]*Table35[[#This Row],['#Angler]]</f>
        <v>0.81666666666666643</v>
      </c>
      <c r="O187" t="s">
        <v>28</v>
      </c>
      <c r="P187" t="s">
        <v>56</v>
      </c>
      <c r="Q187" t="s">
        <v>244</v>
      </c>
      <c r="R187" s="11">
        <v>0</v>
      </c>
      <c r="S187">
        <v>0</v>
      </c>
      <c r="T187">
        <v>0</v>
      </c>
      <c r="U187" s="11">
        <v>0</v>
      </c>
      <c r="V187">
        <v>0</v>
      </c>
      <c r="W187">
        <v>0</v>
      </c>
      <c r="X187" s="11">
        <f t="shared" si="9"/>
        <v>0</v>
      </c>
      <c r="Y187">
        <f t="shared" si="9"/>
        <v>0</v>
      </c>
      <c r="Z187">
        <f t="shared" si="9"/>
        <v>0</v>
      </c>
      <c r="AA187" s="11"/>
    </row>
    <row r="188" spans="1:28" x14ac:dyDescent="0.3">
      <c r="A188" s="7">
        <v>45548</v>
      </c>
      <c r="B188">
        <v>4</v>
      </c>
      <c r="C188" t="s">
        <v>236</v>
      </c>
      <c r="D188" t="s">
        <v>26</v>
      </c>
      <c r="E188">
        <v>3</v>
      </c>
      <c r="F188">
        <v>2</v>
      </c>
      <c r="G188">
        <v>4</v>
      </c>
      <c r="H188" t="s">
        <v>27</v>
      </c>
      <c r="I188">
        <v>1</v>
      </c>
      <c r="J188" s="10">
        <v>0.29166666666666669</v>
      </c>
      <c r="K188" s="10">
        <v>0.31597222222222221</v>
      </c>
      <c r="L188" s="10">
        <f t="shared" si="8"/>
        <v>2.4305555555555525E-2</v>
      </c>
      <c r="M188" s="12">
        <f t="shared" si="7"/>
        <v>0.58333333333333259</v>
      </c>
      <c r="N188" s="12">
        <f>Table35[[#This Row],[Trip Hours]]*Table35[[#This Row],['#Angler]]</f>
        <v>0.58333333333333259</v>
      </c>
      <c r="O188" t="s">
        <v>28</v>
      </c>
      <c r="P188" t="s">
        <v>295</v>
      </c>
      <c r="Q188" t="s">
        <v>241</v>
      </c>
      <c r="R188" s="11">
        <v>0</v>
      </c>
      <c r="S188">
        <v>0</v>
      </c>
      <c r="T188">
        <v>0</v>
      </c>
      <c r="U188" s="11">
        <v>0</v>
      </c>
      <c r="V188">
        <v>0</v>
      </c>
      <c r="W188">
        <v>0</v>
      </c>
      <c r="X188" s="11">
        <f t="shared" si="9"/>
        <v>0</v>
      </c>
      <c r="Y188">
        <f t="shared" si="9"/>
        <v>0</v>
      </c>
      <c r="Z188">
        <f t="shared" si="9"/>
        <v>0</v>
      </c>
      <c r="AA188" s="11"/>
    </row>
    <row r="189" spans="1:28" x14ac:dyDescent="0.3">
      <c r="A189" s="7">
        <v>45548</v>
      </c>
      <c r="B189">
        <v>4</v>
      </c>
      <c r="C189" t="s">
        <v>236</v>
      </c>
      <c r="D189" t="s">
        <v>26</v>
      </c>
      <c r="E189">
        <v>4</v>
      </c>
      <c r="F189">
        <v>2</v>
      </c>
      <c r="G189">
        <v>4</v>
      </c>
      <c r="H189" t="s">
        <v>27</v>
      </c>
      <c r="I189">
        <v>1</v>
      </c>
      <c r="J189" s="10">
        <v>0.25</v>
      </c>
      <c r="K189" s="10">
        <v>0.31597222222222221</v>
      </c>
      <c r="L189" s="10">
        <f t="shared" si="8"/>
        <v>6.597222222222221E-2</v>
      </c>
      <c r="M189" s="12">
        <f t="shared" si="7"/>
        <v>1.583333333333333</v>
      </c>
      <c r="N189" s="12">
        <f>Table35[[#This Row],[Trip Hours]]*Table35[[#This Row],['#Angler]]</f>
        <v>1.583333333333333</v>
      </c>
      <c r="O189" t="s">
        <v>28</v>
      </c>
      <c r="P189" t="s">
        <v>56</v>
      </c>
      <c r="Q189" t="s">
        <v>241</v>
      </c>
      <c r="R189" s="11">
        <v>0</v>
      </c>
      <c r="S189">
        <v>0</v>
      </c>
      <c r="T189">
        <v>0</v>
      </c>
      <c r="U189" s="11">
        <v>0</v>
      </c>
      <c r="V189">
        <v>0</v>
      </c>
      <c r="W189">
        <v>0</v>
      </c>
      <c r="X189" s="11">
        <f t="shared" si="9"/>
        <v>0</v>
      </c>
      <c r="Y189">
        <f t="shared" si="9"/>
        <v>0</v>
      </c>
      <c r="Z189">
        <f t="shared" si="9"/>
        <v>0</v>
      </c>
      <c r="AA189" s="11"/>
    </row>
    <row r="190" spans="1:28" x14ac:dyDescent="0.3">
      <c r="A190" s="7">
        <v>45548</v>
      </c>
      <c r="B190">
        <v>4</v>
      </c>
      <c r="C190" t="s">
        <v>236</v>
      </c>
      <c r="D190" t="s">
        <v>26</v>
      </c>
      <c r="E190">
        <v>5</v>
      </c>
      <c r="F190">
        <v>2</v>
      </c>
      <c r="G190">
        <v>4</v>
      </c>
      <c r="H190" t="s">
        <v>27</v>
      </c>
      <c r="I190">
        <v>1</v>
      </c>
      <c r="J190" s="10">
        <v>0.27083333333333331</v>
      </c>
      <c r="K190" s="10">
        <v>0.31666666666666665</v>
      </c>
      <c r="L190" s="10">
        <f t="shared" si="8"/>
        <v>4.5833333333333337E-2</v>
      </c>
      <c r="M190" s="12">
        <f t="shared" si="7"/>
        <v>1.1000000000000001</v>
      </c>
      <c r="N190" s="12">
        <f>Table35[[#This Row],[Trip Hours]]*Table35[[#This Row],['#Angler]]</f>
        <v>1.1000000000000001</v>
      </c>
      <c r="O190" t="s">
        <v>28</v>
      </c>
      <c r="P190" t="s">
        <v>56</v>
      </c>
      <c r="Q190" t="s">
        <v>241</v>
      </c>
      <c r="R190" s="11">
        <v>0</v>
      </c>
      <c r="S190">
        <v>0</v>
      </c>
      <c r="T190">
        <v>0</v>
      </c>
      <c r="U190" s="11">
        <v>0</v>
      </c>
      <c r="V190">
        <v>0</v>
      </c>
      <c r="W190">
        <v>0</v>
      </c>
      <c r="X190" s="11">
        <f t="shared" si="9"/>
        <v>0</v>
      </c>
      <c r="Y190">
        <f t="shared" si="9"/>
        <v>0</v>
      </c>
      <c r="Z190">
        <f t="shared" si="9"/>
        <v>0</v>
      </c>
      <c r="AA190" s="11"/>
    </row>
    <row r="191" spans="1:28" x14ac:dyDescent="0.3">
      <c r="A191" s="7">
        <v>45548</v>
      </c>
      <c r="B191">
        <v>4</v>
      </c>
      <c r="C191" t="s">
        <v>236</v>
      </c>
      <c r="D191" t="s">
        <v>26</v>
      </c>
      <c r="E191">
        <v>6</v>
      </c>
      <c r="F191">
        <v>2</v>
      </c>
      <c r="G191">
        <v>4</v>
      </c>
      <c r="H191" t="s">
        <v>27</v>
      </c>
      <c r="I191">
        <v>1</v>
      </c>
      <c r="J191" s="10">
        <v>0.2590277777777778</v>
      </c>
      <c r="K191" s="10">
        <v>0.31736111111111115</v>
      </c>
      <c r="L191" s="10">
        <f t="shared" si="8"/>
        <v>5.8333333333333348E-2</v>
      </c>
      <c r="M191" s="12">
        <f t="shared" si="7"/>
        <v>1.4000000000000004</v>
      </c>
      <c r="N191" s="12">
        <f>Table35[[#This Row],[Trip Hours]]*Table35[[#This Row],['#Angler]]</f>
        <v>1.4000000000000004</v>
      </c>
      <c r="O191" t="s">
        <v>28</v>
      </c>
      <c r="P191" t="s">
        <v>56</v>
      </c>
      <c r="Q191" t="s">
        <v>237</v>
      </c>
      <c r="R191" s="11">
        <v>0</v>
      </c>
      <c r="S191">
        <v>1</v>
      </c>
      <c r="T191">
        <v>0</v>
      </c>
      <c r="U191" s="11">
        <v>0</v>
      </c>
      <c r="V191">
        <v>0</v>
      </c>
      <c r="W191">
        <v>0</v>
      </c>
      <c r="X191" s="11">
        <f t="shared" si="9"/>
        <v>0</v>
      </c>
      <c r="Y191">
        <f t="shared" si="9"/>
        <v>1</v>
      </c>
      <c r="Z191">
        <f t="shared" si="9"/>
        <v>0</v>
      </c>
      <c r="AA191" s="11"/>
    </row>
    <row r="192" spans="1:28" x14ac:dyDescent="0.3">
      <c r="A192" s="7">
        <v>45548</v>
      </c>
      <c r="B192">
        <v>4</v>
      </c>
      <c r="C192" t="s">
        <v>236</v>
      </c>
      <c r="D192" t="s">
        <v>26</v>
      </c>
      <c r="E192">
        <v>7</v>
      </c>
      <c r="F192">
        <v>2</v>
      </c>
      <c r="G192">
        <v>4</v>
      </c>
      <c r="H192" t="s">
        <v>27</v>
      </c>
      <c r="I192">
        <v>1</v>
      </c>
      <c r="J192" s="10">
        <v>0.24097222222222223</v>
      </c>
      <c r="K192" s="10">
        <v>0.31805555555555554</v>
      </c>
      <c r="L192" s="10">
        <f t="shared" si="8"/>
        <v>7.7083333333333309E-2</v>
      </c>
      <c r="M192" s="12">
        <f t="shared" si="7"/>
        <v>1.8499999999999994</v>
      </c>
      <c r="N192" s="12">
        <f>Table35[[#This Row],[Trip Hours]]*Table35[[#This Row],['#Angler]]</f>
        <v>1.8499999999999994</v>
      </c>
      <c r="O192" t="s">
        <v>28</v>
      </c>
      <c r="P192" t="s">
        <v>56</v>
      </c>
      <c r="Q192" t="s">
        <v>237</v>
      </c>
      <c r="R192" s="11">
        <v>0</v>
      </c>
      <c r="S192">
        <v>0</v>
      </c>
      <c r="T192">
        <v>0</v>
      </c>
      <c r="U192" s="11">
        <v>0</v>
      </c>
      <c r="V192">
        <v>0</v>
      </c>
      <c r="W192">
        <v>0</v>
      </c>
      <c r="X192" s="11">
        <f t="shared" si="9"/>
        <v>0</v>
      </c>
      <c r="Y192">
        <f t="shared" si="9"/>
        <v>0</v>
      </c>
      <c r="Z192">
        <f t="shared" si="9"/>
        <v>0</v>
      </c>
      <c r="AA192" s="11"/>
    </row>
    <row r="193" spans="1:28" x14ac:dyDescent="0.3">
      <c r="A193" s="7">
        <v>45548</v>
      </c>
      <c r="B193">
        <v>4</v>
      </c>
      <c r="C193" t="s">
        <v>236</v>
      </c>
      <c r="D193" t="s">
        <v>26</v>
      </c>
      <c r="E193">
        <v>8</v>
      </c>
      <c r="F193">
        <v>2</v>
      </c>
      <c r="G193">
        <v>4</v>
      </c>
      <c r="H193" t="s">
        <v>27</v>
      </c>
      <c r="I193">
        <v>1</v>
      </c>
      <c r="J193" s="10">
        <v>0.30902777777777779</v>
      </c>
      <c r="K193" s="10">
        <v>0.31944444444444448</v>
      </c>
      <c r="L193" s="10">
        <f t="shared" si="8"/>
        <v>1.0416666666666685E-2</v>
      </c>
      <c r="M193" s="12">
        <f t="shared" si="7"/>
        <v>0.25000000000000044</v>
      </c>
      <c r="N193" s="12">
        <f>Table35[[#This Row],[Trip Hours]]*Table35[[#This Row],['#Angler]]</f>
        <v>0.25000000000000044</v>
      </c>
      <c r="O193" t="s">
        <v>28</v>
      </c>
      <c r="P193" t="s">
        <v>56</v>
      </c>
      <c r="Q193" t="s">
        <v>241</v>
      </c>
      <c r="R193" s="11">
        <v>0</v>
      </c>
      <c r="S193">
        <v>0</v>
      </c>
      <c r="T193">
        <v>0</v>
      </c>
      <c r="U193" s="11">
        <v>1</v>
      </c>
      <c r="V193">
        <v>0</v>
      </c>
      <c r="W193">
        <v>0</v>
      </c>
      <c r="X193" s="11">
        <f t="shared" si="9"/>
        <v>1</v>
      </c>
      <c r="Y193">
        <f t="shared" si="9"/>
        <v>0</v>
      </c>
      <c r="Z193">
        <f t="shared" si="9"/>
        <v>0</v>
      </c>
      <c r="AA193" s="11"/>
      <c r="AB193" t="s">
        <v>175</v>
      </c>
    </row>
    <row r="194" spans="1:28" x14ac:dyDescent="0.3">
      <c r="A194" s="7">
        <v>45548</v>
      </c>
      <c r="B194">
        <v>4</v>
      </c>
      <c r="C194" t="s">
        <v>236</v>
      </c>
      <c r="D194" t="s">
        <v>26</v>
      </c>
      <c r="E194">
        <v>9</v>
      </c>
      <c r="F194">
        <v>2</v>
      </c>
      <c r="G194">
        <v>4</v>
      </c>
      <c r="H194" t="s">
        <v>27</v>
      </c>
      <c r="I194">
        <v>1</v>
      </c>
      <c r="J194" s="10">
        <v>0.27083333333333331</v>
      </c>
      <c r="K194" s="10">
        <v>0.32083333333333336</v>
      </c>
      <c r="L194" s="10">
        <f t="shared" si="8"/>
        <v>5.0000000000000044E-2</v>
      </c>
      <c r="M194" s="12">
        <f t="shared" ref="M194:M257" si="10">L194*24</f>
        <v>1.2000000000000011</v>
      </c>
      <c r="N194" s="12">
        <f>Table35[[#This Row],[Trip Hours]]*Table35[[#This Row],['#Angler]]</f>
        <v>1.2000000000000011</v>
      </c>
      <c r="O194" t="s">
        <v>28</v>
      </c>
      <c r="P194" t="s">
        <v>56</v>
      </c>
      <c r="Q194" t="s">
        <v>244</v>
      </c>
      <c r="R194" s="11">
        <v>0</v>
      </c>
      <c r="S194">
        <v>0</v>
      </c>
      <c r="T194">
        <v>0</v>
      </c>
      <c r="U194" s="11">
        <v>1</v>
      </c>
      <c r="V194">
        <v>1</v>
      </c>
      <c r="W194">
        <v>0</v>
      </c>
      <c r="X194" s="11">
        <f t="shared" si="9"/>
        <v>1</v>
      </c>
      <c r="Y194">
        <f t="shared" si="9"/>
        <v>1</v>
      </c>
      <c r="Z194">
        <f t="shared" si="9"/>
        <v>0</v>
      </c>
      <c r="AA194" s="11"/>
      <c r="AB194" t="s">
        <v>296</v>
      </c>
    </row>
    <row r="195" spans="1:28" x14ac:dyDescent="0.3">
      <c r="A195" s="7">
        <v>45548</v>
      </c>
      <c r="B195">
        <v>4</v>
      </c>
      <c r="C195" t="s">
        <v>236</v>
      </c>
      <c r="D195" t="s">
        <v>26</v>
      </c>
      <c r="E195">
        <v>10</v>
      </c>
      <c r="F195">
        <v>2</v>
      </c>
      <c r="G195">
        <v>4</v>
      </c>
      <c r="H195" t="s">
        <v>27</v>
      </c>
      <c r="I195">
        <v>2</v>
      </c>
      <c r="J195" s="10">
        <v>0.27083333333333331</v>
      </c>
      <c r="K195" s="10">
        <v>0.32777777777777778</v>
      </c>
      <c r="L195" s="10">
        <f t="shared" si="8"/>
        <v>5.6944444444444464E-2</v>
      </c>
      <c r="M195" s="12">
        <f t="shared" si="10"/>
        <v>1.3666666666666671</v>
      </c>
      <c r="N195" s="12">
        <f>Table35[[#This Row],[Trip Hours]]*Table35[[#This Row],['#Angler]]</f>
        <v>2.7333333333333343</v>
      </c>
      <c r="O195" t="s">
        <v>28</v>
      </c>
      <c r="P195" t="s">
        <v>49</v>
      </c>
      <c r="Q195" t="s">
        <v>244</v>
      </c>
      <c r="R195" s="11">
        <v>0</v>
      </c>
      <c r="S195">
        <v>0</v>
      </c>
      <c r="T195">
        <v>0</v>
      </c>
      <c r="U195" s="11">
        <v>0</v>
      </c>
      <c r="V195">
        <v>0</v>
      </c>
      <c r="W195">
        <v>0</v>
      </c>
      <c r="X195" s="11">
        <f t="shared" si="9"/>
        <v>0</v>
      </c>
      <c r="Y195">
        <f t="shared" si="9"/>
        <v>0</v>
      </c>
      <c r="Z195">
        <f t="shared" si="9"/>
        <v>0</v>
      </c>
      <c r="AA195" s="11"/>
      <c r="AB195" t="s">
        <v>297</v>
      </c>
    </row>
    <row r="196" spans="1:28" x14ac:dyDescent="0.3">
      <c r="A196" s="7">
        <v>45548</v>
      </c>
      <c r="B196">
        <v>4</v>
      </c>
      <c r="C196" t="s">
        <v>236</v>
      </c>
      <c r="D196" t="s">
        <v>26</v>
      </c>
      <c r="E196">
        <v>11</v>
      </c>
      <c r="F196">
        <v>2</v>
      </c>
      <c r="G196">
        <v>3</v>
      </c>
      <c r="H196" t="s">
        <v>27</v>
      </c>
      <c r="I196">
        <v>1</v>
      </c>
      <c r="J196" s="10">
        <v>0.29166666666666669</v>
      </c>
      <c r="K196" s="10">
        <v>0.33958333333333335</v>
      </c>
      <c r="L196" s="10">
        <f t="shared" ref="L196:L259" si="11">K196-J196</f>
        <v>4.7916666666666663E-2</v>
      </c>
      <c r="M196" s="12">
        <f t="shared" si="10"/>
        <v>1.1499999999999999</v>
      </c>
      <c r="N196" s="12">
        <f>Table35[[#This Row],[Trip Hours]]*Table35[[#This Row],['#Angler]]</f>
        <v>1.1499999999999999</v>
      </c>
      <c r="O196" t="s">
        <v>28</v>
      </c>
      <c r="P196" t="s">
        <v>56</v>
      </c>
      <c r="Q196" t="s">
        <v>241</v>
      </c>
      <c r="R196" s="11">
        <v>0</v>
      </c>
      <c r="S196">
        <v>0</v>
      </c>
      <c r="T196">
        <v>0</v>
      </c>
      <c r="U196" s="11">
        <v>0</v>
      </c>
      <c r="V196">
        <v>0</v>
      </c>
      <c r="W196">
        <v>0</v>
      </c>
      <c r="X196" s="11">
        <f t="shared" si="9"/>
        <v>0</v>
      </c>
      <c r="Y196">
        <f t="shared" si="9"/>
        <v>0</v>
      </c>
      <c r="Z196">
        <f t="shared" si="9"/>
        <v>0</v>
      </c>
      <c r="AA196" s="11"/>
    </row>
    <row r="197" spans="1:28" x14ac:dyDescent="0.3">
      <c r="A197" s="7">
        <v>45548</v>
      </c>
      <c r="B197">
        <v>4</v>
      </c>
      <c r="C197" t="s">
        <v>236</v>
      </c>
      <c r="D197" t="s">
        <v>26</v>
      </c>
      <c r="E197">
        <v>12</v>
      </c>
      <c r="F197">
        <v>2</v>
      </c>
      <c r="G197">
        <v>3</v>
      </c>
      <c r="H197" t="s">
        <v>27</v>
      </c>
      <c r="I197">
        <v>1</v>
      </c>
      <c r="J197" s="10">
        <v>0.29166666666666669</v>
      </c>
      <c r="K197" s="10">
        <v>0.33958333333333335</v>
      </c>
      <c r="L197" s="10">
        <f t="shared" si="11"/>
        <v>4.7916666666666663E-2</v>
      </c>
      <c r="M197" s="12">
        <f t="shared" si="10"/>
        <v>1.1499999999999999</v>
      </c>
      <c r="N197" s="12">
        <f>Table35[[#This Row],[Trip Hours]]*Table35[[#This Row],['#Angler]]</f>
        <v>1.1499999999999999</v>
      </c>
      <c r="O197" t="s">
        <v>28</v>
      </c>
      <c r="P197" t="s">
        <v>298</v>
      </c>
      <c r="Q197" t="s">
        <v>238</v>
      </c>
      <c r="R197" s="11">
        <v>2</v>
      </c>
      <c r="S197">
        <v>0</v>
      </c>
      <c r="T197">
        <v>0</v>
      </c>
      <c r="U197" s="11">
        <v>0</v>
      </c>
      <c r="V197">
        <v>0</v>
      </c>
      <c r="W197">
        <v>0</v>
      </c>
      <c r="X197" s="11">
        <f t="shared" si="9"/>
        <v>2</v>
      </c>
      <c r="Y197">
        <f t="shared" si="9"/>
        <v>0</v>
      </c>
      <c r="Z197">
        <f t="shared" si="9"/>
        <v>0</v>
      </c>
      <c r="AA197" s="11"/>
    </row>
    <row r="198" spans="1:28" x14ac:dyDescent="0.3">
      <c r="A198" s="7">
        <v>45548</v>
      </c>
      <c r="B198">
        <v>4</v>
      </c>
      <c r="C198" t="s">
        <v>236</v>
      </c>
      <c r="D198" t="s">
        <v>26</v>
      </c>
      <c r="E198">
        <v>13</v>
      </c>
      <c r="F198">
        <v>2</v>
      </c>
      <c r="G198">
        <v>3</v>
      </c>
      <c r="H198" t="s">
        <v>27</v>
      </c>
      <c r="I198">
        <v>2</v>
      </c>
      <c r="J198" s="10">
        <v>0.27083333333333331</v>
      </c>
      <c r="K198" s="10">
        <v>0.34027777777777773</v>
      </c>
      <c r="L198" s="10">
        <f t="shared" si="11"/>
        <v>6.944444444444442E-2</v>
      </c>
      <c r="M198" s="12">
        <f t="shared" si="10"/>
        <v>1.6666666666666661</v>
      </c>
      <c r="N198" s="12">
        <f>Table35[[#This Row],[Trip Hours]]*Table35[[#This Row],['#Angler]]</f>
        <v>3.3333333333333321</v>
      </c>
      <c r="O198" t="s">
        <v>28</v>
      </c>
      <c r="P198" t="s">
        <v>56</v>
      </c>
      <c r="Q198" t="s">
        <v>238</v>
      </c>
      <c r="R198" s="11">
        <v>0</v>
      </c>
      <c r="S198">
        <v>0</v>
      </c>
      <c r="T198">
        <v>0</v>
      </c>
      <c r="U198" s="11">
        <v>0</v>
      </c>
      <c r="V198">
        <v>0</v>
      </c>
      <c r="W198">
        <v>0</v>
      </c>
      <c r="X198" s="11">
        <f t="shared" si="9"/>
        <v>0</v>
      </c>
      <c r="Y198">
        <f t="shared" si="9"/>
        <v>0</v>
      </c>
      <c r="Z198">
        <f t="shared" si="9"/>
        <v>0</v>
      </c>
      <c r="AA198" s="11"/>
    </row>
    <row r="199" spans="1:28" x14ac:dyDescent="0.3">
      <c r="A199" s="7">
        <v>45548</v>
      </c>
      <c r="B199">
        <v>4</v>
      </c>
      <c r="C199" t="s">
        <v>236</v>
      </c>
      <c r="D199" t="s">
        <v>26</v>
      </c>
      <c r="E199">
        <v>14</v>
      </c>
      <c r="F199">
        <v>2</v>
      </c>
      <c r="G199">
        <v>3</v>
      </c>
      <c r="H199" t="s">
        <v>27</v>
      </c>
      <c r="I199">
        <v>1</v>
      </c>
      <c r="J199" s="10">
        <v>0.27083333333333331</v>
      </c>
      <c r="K199" s="10">
        <v>0.34027777777777773</v>
      </c>
      <c r="L199" s="10">
        <f t="shared" si="11"/>
        <v>6.944444444444442E-2</v>
      </c>
      <c r="M199" s="12">
        <f t="shared" si="10"/>
        <v>1.6666666666666661</v>
      </c>
      <c r="N199" s="12">
        <f>Table35[[#This Row],[Trip Hours]]*Table35[[#This Row],['#Angler]]</f>
        <v>1.6666666666666661</v>
      </c>
      <c r="O199" t="s">
        <v>28</v>
      </c>
      <c r="P199" t="s">
        <v>219</v>
      </c>
      <c r="Q199" t="s">
        <v>241</v>
      </c>
      <c r="R199" s="11">
        <v>0</v>
      </c>
      <c r="S199">
        <v>0</v>
      </c>
      <c r="T199">
        <v>0</v>
      </c>
      <c r="U199" s="11">
        <v>0</v>
      </c>
      <c r="V199">
        <v>0</v>
      </c>
      <c r="W199">
        <v>0</v>
      </c>
      <c r="X199" s="11">
        <f t="shared" si="9"/>
        <v>0</v>
      </c>
      <c r="Y199">
        <f t="shared" si="9"/>
        <v>0</v>
      </c>
      <c r="Z199">
        <f t="shared" si="9"/>
        <v>0</v>
      </c>
      <c r="AA199" s="11"/>
    </row>
    <row r="200" spans="1:28" x14ac:dyDescent="0.3">
      <c r="A200" s="7">
        <v>45548</v>
      </c>
      <c r="B200">
        <v>4</v>
      </c>
      <c r="C200" t="s">
        <v>236</v>
      </c>
      <c r="D200" t="s">
        <v>26</v>
      </c>
      <c r="E200">
        <v>15</v>
      </c>
      <c r="F200">
        <v>2</v>
      </c>
      <c r="G200">
        <v>3</v>
      </c>
      <c r="H200" t="s">
        <v>27</v>
      </c>
      <c r="I200">
        <v>2</v>
      </c>
      <c r="J200" s="10">
        <v>0.3125</v>
      </c>
      <c r="K200" s="10">
        <v>0.34166666666666662</v>
      </c>
      <c r="L200" s="10">
        <f t="shared" si="11"/>
        <v>2.9166666666666619E-2</v>
      </c>
      <c r="M200" s="12">
        <f t="shared" si="10"/>
        <v>0.69999999999999885</v>
      </c>
      <c r="N200" s="12">
        <f>Table35[[#This Row],[Trip Hours]]*Table35[[#This Row],['#Angler]]</f>
        <v>1.3999999999999977</v>
      </c>
      <c r="O200" t="s">
        <v>28</v>
      </c>
      <c r="P200" t="s">
        <v>56</v>
      </c>
      <c r="Q200" t="s">
        <v>238</v>
      </c>
      <c r="R200" s="11">
        <v>0</v>
      </c>
      <c r="S200">
        <v>0</v>
      </c>
      <c r="T200">
        <v>0</v>
      </c>
      <c r="U200" s="11">
        <v>0</v>
      </c>
      <c r="V200">
        <v>0</v>
      </c>
      <c r="W200">
        <v>0</v>
      </c>
      <c r="X200" s="11">
        <f t="shared" si="9"/>
        <v>0</v>
      </c>
      <c r="Y200">
        <f t="shared" si="9"/>
        <v>0</v>
      </c>
      <c r="Z200">
        <f t="shared" si="9"/>
        <v>0</v>
      </c>
      <c r="AA200" s="11"/>
    </row>
    <row r="201" spans="1:28" x14ac:dyDescent="0.3">
      <c r="A201" s="7">
        <v>45548</v>
      </c>
      <c r="B201">
        <v>4</v>
      </c>
      <c r="C201" t="s">
        <v>236</v>
      </c>
      <c r="D201" t="s">
        <v>26</v>
      </c>
      <c r="E201">
        <v>16</v>
      </c>
      <c r="F201">
        <v>2</v>
      </c>
      <c r="G201">
        <v>3</v>
      </c>
      <c r="H201" t="s">
        <v>27</v>
      </c>
      <c r="I201">
        <v>2</v>
      </c>
      <c r="J201" s="10">
        <v>0.25</v>
      </c>
      <c r="K201" s="10">
        <v>0.35069444444444442</v>
      </c>
      <c r="L201" s="10">
        <f t="shared" si="11"/>
        <v>0.10069444444444442</v>
      </c>
      <c r="M201" s="12">
        <f t="shared" si="10"/>
        <v>2.4166666666666661</v>
      </c>
      <c r="N201" s="12">
        <f>Table35[[#This Row],[Trip Hours]]*Table35[[#This Row],['#Angler]]</f>
        <v>4.8333333333333321</v>
      </c>
      <c r="O201" t="s">
        <v>28</v>
      </c>
      <c r="P201" t="s">
        <v>56</v>
      </c>
      <c r="Q201" t="s">
        <v>237</v>
      </c>
      <c r="R201" s="11">
        <v>0</v>
      </c>
      <c r="S201">
        <v>0</v>
      </c>
      <c r="T201">
        <v>0</v>
      </c>
      <c r="U201" s="11">
        <v>0</v>
      </c>
      <c r="V201">
        <v>0</v>
      </c>
      <c r="W201">
        <v>0</v>
      </c>
      <c r="X201" s="11">
        <f t="shared" si="9"/>
        <v>0</v>
      </c>
      <c r="Y201">
        <f t="shared" si="9"/>
        <v>0</v>
      </c>
      <c r="Z201">
        <f t="shared" si="9"/>
        <v>0</v>
      </c>
      <c r="AA201" s="11"/>
    </row>
    <row r="202" spans="1:28" x14ac:dyDescent="0.3">
      <c r="A202" s="7">
        <v>45548</v>
      </c>
      <c r="B202">
        <v>4</v>
      </c>
      <c r="C202" t="s">
        <v>236</v>
      </c>
      <c r="D202" t="s">
        <v>26</v>
      </c>
      <c r="E202">
        <v>17</v>
      </c>
      <c r="F202">
        <v>2</v>
      </c>
      <c r="G202">
        <v>3</v>
      </c>
      <c r="H202" t="s">
        <v>27</v>
      </c>
      <c r="I202">
        <v>1</v>
      </c>
      <c r="J202" s="10">
        <v>0.27083333333333331</v>
      </c>
      <c r="K202" s="10">
        <v>0.35069444444444442</v>
      </c>
      <c r="L202" s="10">
        <f t="shared" si="11"/>
        <v>7.9861111111111105E-2</v>
      </c>
      <c r="M202" s="12">
        <f t="shared" si="10"/>
        <v>1.9166666666666665</v>
      </c>
      <c r="N202" s="12">
        <f>Table35[[#This Row],[Trip Hours]]*Table35[[#This Row],['#Angler]]</f>
        <v>1.9166666666666665</v>
      </c>
      <c r="O202" t="s">
        <v>28</v>
      </c>
      <c r="P202" t="s">
        <v>56</v>
      </c>
      <c r="Q202" t="s">
        <v>238</v>
      </c>
      <c r="R202" s="11">
        <v>1</v>
      </c>
      <c r="S202">
        <v>0</v>
      </c>
      <c r="T202">
        <v>0</v>
      </c>
      <c r="U202" s="11">
        <v>0</v>
      </c>
      <c r="V202">
        <v>0</v>
      </c>
      <c r="W202">
        <v>0</v>
      </c>
      <c r="X202" s="11">
        <f t="shared" si="9"/>
        <v>1</v>
      </c>
      <c r="Y202">
        <f t="shared" si="9"/>
        <v>0</v>
      </c>
      <c r="Z202">
        <f t="shared" si="9"/>
        <v>0</v>
      </c>
      <c r="AA202" s="11"/>
    </row>
    <row r="203" spans="1:28" x14ac:dyDescent="0.3">
      <c r="A203" s="7">
        <v>45548</v>
      </c>
      <c r="B203">
        <v>4</v>
      </c>
      <c r="C203" t="s">
        <v>236</v>
      </c>
      <c r="D203" t="s">
        <v>26</v>
      </c>
      <c r="E203">
        <v>18</v>
      </c>
      <c r="F203">
        <v>2</v>
      </c>
      <c r="G203">
        <v>3</v>
      </c>
      <c r="H203" t="s">
        <v>27</v>
      </c>
      <c r="I203">
        <v>3</v>
      </c>
      <c r="J203" s="10">
        <v>0.29166666666666669</v>
      </c>
      <c r="K203" s="10">
        <v>0.35069444444444442</v>
      </c>
      <c r="L203" s="10">
        <f t="shared" si="11"/>
        <v>5.9027777777777735E-2</v>
      </c>
      <c r="M203" s="12">
        <f t="shared" si="10"/>
        <v>1.4166666666666656</v>
      </c>
      <c r="N203" s="12">
        <f>Table35[[#This Row],[Trip Hours]]*Table35[[#This Row],['#Angler]]</f>
        <v>4.2499999999999964</v>
      </c>
      <c r="O203" t="s">
        <v>28</v>
      </c>
      <c r="P203" t="s">
        <v>56</v>
      </c>
      <c r="Q203" t="s">
        <v>237</v>
      </c>
      <c r="R203" s="11">
        <v>1</v>
      </c>
      <c r="S203">
        <v>0</v>
      </c>
      <c r="T203">
        <v>0</v>
      </c>
      <c r="U203" s="11">
        <v>0</v>
      </c>
      <c r="V203">
        <v>0</v>
      </c>
      <c r="W203">
        <v>0</v>
      </c>
      <c r="X203" s="11">
        <f t="shared" si="9"/>
        <v>1</v>
      </c>
      <c r="Y203">
        <f t="shared" si="9"/>
        <v>0</v>
      </c>
      <c r="Z203">
        <f t="shared" si="9"/>
        <v>0</v>
      </c>
      <c r="AA203" s="11"/>
    </row>
    <row r="204" spans="1:28" x14ac:dyDescent="0.3">
      <c r="A204" s="7">
        <v>45548</v>
      </c>
      <c r="B204">
        <v>4</v>
      </c>
      <c r="C204" t="s">
        <v>236</v>
      </c>
      <c r="D204" t="s">
        <v>26</v>
      </c>
      <c r="E204">
        <v>19</v>
      </c>
      <c r="F204">
        <v>2</v>
      </c>
      <c r="G204">
        <v>3</v>
      </c>
      <c r="H204" t="s">
        <v>27</v>
      </c>
      <c r="I204">
        <v>1</v>
      </c>
      <c r="J204" s="10">
        <v>0.3125</v>
      </c>
      <c r="K204" s="10">
        <v>0.35416666666666669</v>
      </c>
      <c r="L204" s="10">
        <f t="shared" si="11"/>
        <v>4.1666666666666685E-2</v>
      </c>
      <c r="M204" s="12">
        <f t="shared" si="10"/>
        <v>1.0000000000000004</v>
      </c>
      <c r="N204" s="12">
        <f>Table35[[#This Row],[Trip Hours]]*Table35[[#This Row],['#Angler]]</f>
        <v>1.0000000000000004</v>
      </c>
      <c r="O204" t="s">
        <v>28</v>
      </c>
      <c r="P204" t="s">
        <v>56</v>
      </c>
      <c r="Q204" t="s">
        <v>241</v>
      </c>
      <c r="R204" s="11">
        <v>0</v>
      </c>
      <c r="S204">
        <v>0</v>
      </c>
      <c r="T204">
        <v>0</v>
      </c>
      <c r="U204" s="11">
        <v>1</v>
      </c>
      <c r="V204">
        <v>0</v>
      </c>
      <c r="W204">
        <v>0</v>
      </c>
      <c r="X204" s="11">
        <f t="shared" si="9"/>
        <v>1</v>
      </c>
      <c r="Y204">
        <f t="shared" si="9"/>
        <v>0</v>
      </c>
      <c r="Z204">
        <f t="shared" si="9"/>
        <v>0</v>
      </c>
      <c r="AA204" s="11"/>
      <c r="AB204" t="s">
        <v>175</v>
      </c>
    </row>
    <row r="205" spans="1:28" x14ac:dyDescent="0.3">
      <c r="A205" s="7">
        <v>45548</v>
      </c>
      <c r="B205">
        <v>4</v>
      </c>
      <c r="C205" t="s">
        <v>236</v>
      </c>
      <c r="D205" t="s">
        <v>26</v>
      </c>
      <c r="E205">
        <v>20</v>
      </c>
      <c r="F205">
        <v>2</v>
      </c>
      <c r="G205">
        <v>3</v>
      </c>
      <c r="H205" t="s">
        <v>27</v>
      </c>
      <c r="I205">
        <v>2</v>
      </c>
      <c r="J205" s="10">
        <v>0.29166666666666669</v>
      </c>
      <c r="K205" s="10">
        <v>0.35486111111111113</v>
      </c>
      <c r="L205" s="10">
        <f t="shared" si="11"/>
        <v>6.3194444444444442E-2</v>
      </c>
      <c r="M205" s="12">
        <f t="shared" si="10"/>
        <v>1.5166666666666666</v>
      </c>
      <c r="N205" s="12">
        <f>Table35[[#This Row],[Trip Hours]]*Table35[[#This Row],['#Angler]]</f>
        <v>3.0333333333333332</v>
      </c>
      <c r="O205" t="s">
        <v>28</v>
      </c>
      <c r="P205" t="s">
        <v>56</v>
      </c>
      <c r="Q205" t="s">
        <v>244</v>
      </c>
      <c r="R205" s="11">
        <v>1</v>
      </c>
      <c r="S205">
        <v>2</v>
      </c>
      <c r="T205">
        <v>0</v>
      </c>
      <c r="U205" s="11">
        <v>0</v>
      </c>
      <c r="V205">
        <v>0</v>
      </c>
      <c r="W205">
        <v>0</v>
      </c>
      <c r="X205" s="11">
        <f t="shared" si="9"/>
        <v>1</v>
      </c>
      <c r="Y205">
        <f t="shared" si="9"/>
        <v>2</v>
      </c>
      <c r="Z205">
        <f t="shared" si="9"/>
        <v>0</v>
      </c>
      <c r="AA205" s="11"/>
    </row>
    <row r="206" spans="1:28" x14ac:dyDescent="0.3">
      <c r="A206" s="7">
        <v>45548</v>
      </c>
      <c r="B206">
        <v>4</v>
      </c>
      <c r="C206" t="s">
        <v>236</v>
      </c>
      <c r="D206" t="s">
        <v>26</v>
      </c>
      <c r="E206">
        <v>21</v>
      </c>
      <c r="F206">
        <v>2</v>
      </c>
      <c r="G206">
        <v>3</v>
      </c>
      <c r="H206" t="s">
        <v>27</v>
      </c>
      <c r="I206">
        <v>3</v>
      </c>
      <c r="J206" s="10">
        <v>0.27083333333333331</v>
      </c>
      <c r="K206" s="10">
        <v>0.35972222222222222</v>
      </c>
      <c r="L206" s="10">
        <f t="shared" si="11"/>
        <v>8.8888888888888906E-2</v>
      </c>
      <c r="M206" s="12">
        <f t="shared" si="10"/>
        <v>2.1333333333333337</v>
      </c>
      <c r="N206" s="12">
        <f>Table35[[#This Row],[Trip Hours]]*Table35[[#This Row],['#Angler]]</f>
        <v>6.4000000000000012</v>
      </c>
      <c r="O206" t="s">
        <v>28</v>
      </c>
      <c r="P206" t="s">
        <v>56</v>
      </c>
      <c r="Q206" t="s">
        <v>237</v>
      </c>
      <c r="R206" s="11">
        <v>3</v>
      </c>
      <c r="S206">
        <v>2</v>
      </c>
      <c r="T206">
        <v>0</v>
      </c>
      <c r="U206" s="11">
        <v>0</v>
      </c>
      <c r="V206">
        <v>0</v>
      </c>
      <c r="W206">
        <v>0</v>
      </c>
      <c r="X206" s="11">
        <f t="shared" si="9"/>
        <v>3</v>
      </c>
      <c r="Y206">
        <f t="shared" si="9"/>
        <v>2</v>
      </c>
      <c r="Z206">
        <f t="shared" si="9"/>
        <v>0</v>
      </c>
      <c r="AA206" s="11"/>
    </row>
    <row r="207" spans="1:28" x14ac:dyDescent="0.3">
      <c r="A207" s="7">
        <v>45548</v>
      </c>
      <c r="B207">
        <v>4</v>
      </c>
      <c r="C207" t="s">
        <v>236</v>
      </c>
      <c r="D207" t="s">
        <v>26</v>
      </c>
      <c r="E207">
        <v>22</v>
      </c>
      <c r="F207">
        <v>2</v>
      </c>
      <c r="G207">
        <v>3</v>
      </c>
      <c r="H207" t="s">
        <v>27</v>
      </c>
      <c r="I207">
        <v>1</v>
      </c>
      <c r="J207" s="10">
        <v>0.25</v>
      </c>
      <c r="K207" s="10">
        <v>0.3611111111111111</v>
      </c>
      <c r="L207" s="10">
        <f t="shared" si="11"/>
        <v>0.1111111111111111</v>
      </c>
      <c r="M207" s="12">
        <f t="shared" si="10"/>
        <v>2.6666666666666665</v>
      </c>
      <c r="N207" s="12">
        <f>Table35[[#This Row],[Trip Hours]]*Table35[[#This Row],['#Angler]]</f>
        <v>2.6666666666666665</v>
      </c>
      <c r="O207" t="s">
        <v>28</v>
      </c>
      <c r="P207" t="s">
        <v>56</v>
      </c>
      <c r="Q207" t="s">
        <v>241</v>
      </c>
      <c r="R207" s="11">
        <v>1</v>
      </c>
      <c r="S207">
        <v>0</v>
      </c>
      <c r="T207">
        <v>0</v>
      </c>
      <c r="U207" s="11">
        <v>0</v>
      </c>
      <c r="V207">
        <v>0</v>
      </c>
      <c r="W207">
        <v>0</v>
      </c>
      <c r="X207" s="11">
        <f t="shared" si="9"/>
        <v>1</v>
      </c>
      <c r="Y207">
        <f t="shared" si="9"/>
        <v>0</v>
      </c>
      <c r="Z207">
        <f t="shared" si="9"/>
        <v>0</v>
      </c>
      <c r="AA207" s="11"/>
    </row>
    <row r="208" spans="1:28" x14ac:dyDescent="0.3">
      <c r="A208" s="7">
        <v>45548</v>
      </c>
      <c r="B208">
        <v>4</v>
      </c>
      <c r="C208" t="s">
        <v>236</v>
      </c>
      <c r="D208" t="s">
        <v>26</v>
      </c>
      <c r="E208">
        <v>23</v>
      </c>
      <c r="F208">
        <v>2</v>
      </c>
      <c r="G208">
        <v>3</v>
      </c>
      <c r="H208" t="s">
        <v>27</v>
      </c>
      <c r="I208">
        <v>1</v>
      </c>
      <c r="J208" s="10">
        <v>0.30555555555555552</v>
      </c>
      <c r="K208" s="10">
        <v>0.3611111111111111</v>
      </c>
      <c r="L208" s="10">
        <f t="shared" si="11"/>
        <v>5.555555555555558E-2</v>
      </c>
      <c r="M208" s="12">
        <f t="shared" si="10"/>
        <v>1.3333333333333339</v>
      </c>
      <c r="N208" s="12">
        <f>Table35[[#This Row],[Trip Hours]]*Table35[[#This Row],['#Angler]]</f>
        <v>1.3333333333333339</v>
      </c>
      <c r="O208" t="s">
        <v>28</v>
      </c>
      <c r="P208" t="s">
        <v>56</v>
      </c>
      <c r="Q208" t="s">
        <v>237</v>
      </c>
      <c r="R208" s="11">
        <v>0</v>
      </c>
      <c r="S208">
        <v>0</v>
      </c>
      <c r="T208">
        <v>0</v>
      </c>
      <c r="U208" s="11">
        <v>0</v>
      </c>
      <c r="V208">
        <v>0</v>
      </c>
      <c r="W208">
        <v>0</v>
      </c>
      <c r="X208" s="11">
        <f t="shared" si="9"/>
        <v>0</v>
      </c>
      <c r="Y208">
        <f t="shared" si="9"/>
        <v>0</v>
      </c>
      <c r="Z208">
        <f t="shared" si="9"/>
        <v>0</v>
      </c>
      <c r="AA208" s="11"/>
    </row>
    <row r="209" spans="1:27" x14ac:dyDescent="0.3">
      <c r="A209" s="7">
        <v>45548</v>
      </c>
      <c r="B209">
        <v>4</v>
      </c>
      <c r="C209" t="s">
        <v>236</v>
      </c>
      <c r="D209" t="s">
        <v>26</v>
      </c>
      <c r="E209">
        <v>24</v>
      </c>
      <c r="F209">
        <v>2</v>
      </c>
      <c r="G209">
        <v>3</v>
      </c>
      <c r="H209" t="s">
        <v>27</v>
      </c>
      <c r="I209">
        <v>2</v>
      </c>
      <c r="J209" s="10">
        <v>0.29166666666666669</v>
      </c>
      <c r="K209" s="10">
        <v>0.36458333333333331</v>
      </c>
      <c r="L209" s="10">
        <f t="shared" si="11"/>
        <v>7.291666666666663E-2</v>
      </c>
      <c r="M209" s="12">
        <f t="shared" si="10"/>
        <v>1.7499999999999991</v>
      </c>
      <c r="N209" s="12">
        <f>Table35[[#This Row],[Trip Hours]]*Table35[[#This Row],['#Angler]]</f>
        <v>3.4999999999999982</v>
      </c>
      <c r="O209" t="s">
        <v>28</v>
      </c>
      <c r="P209" t="s">
        <v>56</v>
      </c>
      <c r="Q209" t="s">
        <v>244</v>
      </c>
      <c r="R209" s="11">
        <v>1</v>
      </c>
      <c r="S209">
        <v>0</v>
      </c>
      <c r="T209">
        <v>0</v>
      </c>
      <c r="U209" s="11">
        <v>0</v>
      </c>
      <c r="V209">
        <v>0</v>
      </c>
      <c r="W209">
        <v>0</v>
      </c>
      <c r="X209" s="11">
        <f t="shared" si="9"/>
        <v>1</v>
      </c>
      <c r="Y209">
        <f t="shared" si="9"/>
        <v>0</v>
      </c>
      <c r="Z209">
        <f t="shared" si="9"/>
        <v>0</v>
      </c>
      <c r="AA209" s="11"/>
    </row>
    <row r="210" spans="1:27" x14ac:dyDescent="0.3">
      <c r="A210" s="7">
        <v>45548</v>
      </c>
      <c r="B210">
        <v>4</v>
      </c>
      <c r="C210" t="s">
        <v>236</v>
      </c>
      <c r="D210" t="s">
        <v>26</v>
      </c>
      <c r="E210">
        <v>25</v>
      </c>
      <c r="F210">
        <v>2</v>
      </c>
      <c r="G210">
        <v>2</v>
      </c>
      <c r="H210" t="s">
        <v>27</v>
      </c>
      <c r="I210">
        <v>1</v>
      </c>
      <c r="J210" s="10">
        <v>0.28125</v>
      </c>
      <c r="K210" s="10">
        <v>0.37361111111111112</v>
      </c>
      <c r="L210" s="10">
        <f t="shared" si="11"/>
        <v>9.2361111111111116E-2</v>
      </c>
      <c r="M210" s="12">
        <f t="shared" si="10"/>
        <v>2.2166666666666668</v>
      </c>
      <c r="N210" s="12">
        <f>Table35[[#This Row],[Trip Hours]]*Table35[[#This Row],['#Angler]]</f>
        <v>2.2166666666666668</v>
      </c>
      <c r="O210" t="s">
        <v>28</v>
      </c>
      <c r="P210" t="s">
        <v>56</v>
      </c>
      <c r="Q210" t="s">
        <v>237</v>
      </c>
      <c r="R210" s="11">
        <v>1</v>
      </c>
      <c r="S210">
        <v>0</v>
      </c>
      <c r="T210">
        <v>0</v>
      </c>
      <c r="U210" s="11">
        <v>0</v>
      </c>
      <c r="V210">
        <v>0</v>
      </c>
      <c r="W210">
        <v>0</v>
      </c>
      <c r="X210" s="11">
        <f t="shared" si="9"/>
        <v>1</v>
      </c>
      <c r="Y210">
        <f t="shared" si="9"/>
        <v>0</v>
      </c>
      <c r="Z210">
        <f t="shared" si="9"/>
        <v>0</v>
      </c>
      <c r="AA210" s="11"/>
    </row>
    <row r="211" spans="1:27" x14ac:dyDescent="0.3">
      <c r="A211" s="7">
        <v>45548</v>
      </c>
      <c r="B211">
        <v>4</v>
      </c>
      <c r="C211" t="s">
        <v>236</v>
      </c>
      <c r="D211" t="s">
        <v>26</v>
      </c>
      <c r="E211">
        <v>26</v>
      </c>
      <c r="F211">
        <v>2</v>
      </c>
      <c r="G211">
        <v>2</v>
      </c>
      <c r="H211" t="s">
        <v>27</v>
      </c>
      <c r="I211">
        <v>3</v>
      </c>
      <c r="J211" s="10">
        <v>0.375</v>
      </c>
      <c r="K211" s="10">
        <v>0.39861111111111108</v>
      </c>
      <c r="L211" s="10">
        <f t="shared" si="11"/>
        <v>2.3611111111111083E-2</v>
      </c>
      <c r="M211" s="12">
        <f t="shared" si="10"/>
        <v>0.56666666666666599</v>
      </c>
      <c r="N211" s="12">
        <f>Table35[[#This Row],[Trip Hours]]*Table35[[#This Row],['#Angler]]</f>
        <v>1.699999999999998</v>
      </c>
      <c r="O211" t="s">
        <v>28</v>
      </c>
      <c r="P211" t="s">
        <v>56</v>
      </c>
      <c r="Q211" t="s">
        <v>241</v>
      </c>
      <c r="R211" s="11">
        <v>0</v>
      </c>
      <c r="S211">
        <v>0</v>
      </c>
      <c r="T211">
        <v>0</v>
      </c>
      <c r="U211" s="11">
        <v>0</v>
      </c>
      <c r="V211">
        <v>0</v>
      </c>
      <c r="W211">
        <v>0</v>
      </c>
      <c r="X211" s="11">
        <f t="shared" ref="X211:Z274" si="12">R211+U211</f>
        <v>0</v>
      </c>
      <c r="Y211">
        <f t="shared" si="12"/>
        <v>0</v>
      </c>
      <c r="Z211">
        <f t="shared" si="12"/>
        <v>0</v>
      </c>
      <c r="AA211" s="11"/>
    </row>
    <row r="212" spans="1:27" x14ac:dyDescent="0.3">
      <c r="A212" s="7">
        <v>45548</v>
      </c>
      <c r="B212">
        <v>4</v>
      </c>
      <c r="C212" t="s">
        <v>236</v>
      </c>
      <c r="D212" t="s">
        <v>26</v>
      </c>
      <c r="E212">
        <v>27</v>
      </c>
      <c r="F212">
        <v>2</v>
      </c>
      <c r="G212">
        <v>2</v>
      </c>
      <c r="H212" t="s">
        <v>27</v>
      </c>
      <c r="I212">
        <v>1</v>
      </c>
      <c r="J212" s="10">
        <v>0.35416666666666669</v>
      </c>
      <c r="K212" s="10">
        <v>0.39930555555555558</v>
      </c>
      <c r="L212" s="10">
        <f t="shared" si="11"/>
        <v>4.5138888888888895E-2</v>
      </c>
      <c r="M212" s="12">
        <f t="shared" si="10"/>
        <v>1.0833333333333335</v>
      </c>
      <c r="N212" s="12">
        <f>Table35[[#This Row],[Trip Hours]]*Table35[[#This Row],['#Angler]]</f>
        <v>1.0833333333333335</v>
      </c>
      <c r="O212" t="s">
        <v>28</v>
      </c>
      <c r="P212" t="s">
        <v>148</v>
      </c>
      <c r="Q212" t="s">
        <v>247</v>
      </c>
      <c r="R212" s="11">
        <v>0</v>
      </c>
      <c r="S212">
        <v>0</v>
      </c>
      <c r="T212">
        <v>0</v>
      </c>
      <c r="U212" s="11">
        <v>0</v>
      </c>
      <c r="V212">
        <v>0</v>
      </c>
      <c r="W212">
        <v>0</v>
      </c>
      <c r="X212" s="11">
        <f t="shared" si="12"/>
        <v>0</v>
      </c>
      <c r="Y212">
        <f t="shared" si="12"/>
        <v>0</v>
      </c>
      <c r="Z212">
        <f t="shared" si="12"/>
        <v>0</v>
      </c>
      <c r="AA212" s="11"/>
    </row>
    <row r="213" spans="1:27" x14ac:dyDescent="0.3">
      <c r="A213" s="7">
        <v>45548</v>
      </c>
      <c r="B213">
        <v>4</v>
      </c>
      <c r="C213" t="s">
        <v>236</v>
      </c>
      <c r="D213" t="s">
        <v>26</v>
      </c>
      <c r="E213">
        <v>28</v>
      </c>
      <c r="F213">
        <v>2</v>
      </c>
      <c r="G213">
        <v>2</v>
      </c>
      <c r="H213" t="s">
        <v>27</v>
      </c>
      <c r="I213">
        <v>1</v>
      </c>
      <c r="J213" s="10">
        <v>0.375</v>
      </c>
      <c r="K213" s="10">
        <v>0.39999999999999997</v>
      </c>
      <c r="L213" s="10">
        <f t="shared" si="11"/>
        <v>2.4999999999999967E-2</v>
      </c>
      <c r="M213" s="12">
        <f t="shared" si="10"/>
        <v>0.5999999999999992</v>
      </c>
      <c r="N213" s="12">
        <f>Table35[[#This Row],[Trip Hours]]*Table35[[#This Row],['#Angler]]</f>
        <v>0.5999999999999992</v>
      </c>
      <c r="O213" t="s">
        <v>28</v>
      </c>
      <c r="P213" t="s">
        <v>49</v>
      </c>
      <c r="Q213" t="s">
        <v>247</v>
      </c>
      <c r="R213" s="11">
        <v>0</v>
      </c>
      <c r="S213">
        <v>1</v>
      </c>
      <c r="T213">
        <v>0</v>
      </c>
      <c r="U213" s="11">
        <v>0</v>
      </c>
      <c r="V213">
        <v>0</v>
      </c>
      <c r="W213">
        <v>0</v>
      </c>
      <c r="X213" s="11">
        <f t="shared" si="12"/>
        <v>0</v>
      </c>
      <c r="Y213">
        <f t="shared" si="12"/>
        <v>1</v>
      </c>
      <c r="Z213">
        <f t="shared" si="12"/>
        <v>0</v>
      </c>
      <c r="AA213" s="11"/>
    </row>
    <row r="214" spans="1:27" x14ac:dyDescent="0.3">
      <c r="A214" s="7">
        <v>45548</v>
      </c>
      <c r="B214">
        <v>4</v>
      </c>
      <c r="C214" t="s">
        <v>236</v>
      </c>
      <c r="D214" t="s">
        <v>26</v>
      </c>
      <c r="E214">
        <v>29</v>
      </c>
      <c r="F214">
        <v>2</v>
      </c>
      <c r="G214">
        <v>2</v>
      </c>
      <c r="H214" t="s">
        <v>27</v>
      </c>
      <c r="I214">
        <v>2</v>
      </c>
      <c r="J214" s="10">
        <v>0.2986111111111111</v>
      </c>
      <c r="K214" s="10">
        <v>0.40138888888888885</v>
      </c>
      <c r="L214" s="10">
        <f t="shared" si="11"/>
        <v>0.10277777777777775</v>
      </c>
      <c r="M214" s="12">
        <f t="shared" si="10"/>
        <v>2.4666666666666659</v>
      </c>
      <c r="N214" s="12">
        <f>Table35[[#This Row],[Trip Hours]]*Table35[[#This Row],['#Angler]]</f>
        <v>4.9333333333333318</v>
      </c>
      <c r="O214" t="s">
        <v>28</v>
      </c>
      <c r="P214" t="s">
        <v>56</v>
      </c>
      <c r="Q214" t="s">
        <v>244</v>
      </c>
      <c r="R214" s="11">
        <v>0</v>
      </c>
      <c r="S214">
        <v>0</v>
      </c>
      <c r="T214">
        <v>0</v>
      </c>
      <c r="U214" s="11">
        <v>0</v>
      </c>
      <c r="V214">
        <v>0</v>
      </c>
      <c r="W214">
        <v>0</v>
      </c>
      <c r="X214" s="11">
        <f t="shared" si="12"/>
        <v>0</v>
      </c>
      <c r="Y214">
        <f t="shared" si="12"/>
        <v>0</v>
      </c>
      <c r="Z214">
        <f t="shared" si="12"/>
        <v>0</v>
      </c>
      <c r="AA214" s="11"/>
    </row>
    <row r="215" spans="1:27" x14ac:dyDescent="0.3">
      <c r="A215" s="7">
        <v>45548</v>
      </c>
      <c r="B215">
        <v>4</v>
      </c>
      <c r="C215" t="s">
        <v>236</v>
      </c>
      <c r="D215" t="s">
        <v>26</v>
      </c>
      <c r="E215">
        <v>30</v>
      </c>
      <c r="F215">
        <v>2</v>
      </c>
      <c r="G215">
        <v>2</v>
      </c>
      <c r="H215" t="s">
        <v>27</v>
      </c>
      <c r="I215">
        <v>1</v>
      </c>
      <c r="J215" s="10">
        <v>0.29166666666666669</v>
      </c>
      <c r="K215" s="10">
        <v>0.40277777777777773</v>
      </c>
      <c r="L215" s="10">
        <f t="shared" si="11"/>
        <v>0.11111111111111105</v>
      </c>
      <c r="M215" s="12">
        <f t="shared" si="10"/>
        <v>2.6666666666666652</v>
      </c>
      <c r="N215" s="12">
        <f>Table35[[#This Row],[Trip Hours]]*Table35[[#This Row],['#Angler]]</f>
        <v>2.6666666666666652</v>
      </c>
      <c r="O215" t="s">
        <v>28</v>
      </c>
      <c r="P215" t="s">
        <v>56</v>
      </c>
      <c r="Q215" t="s">
        <v>241</v>
      </c>
      <c r="R215" s="11">
        <v>0</v>
      </c>
      <c r="S215">
        <v>0</v>
      </c>
      <c r="T215">
        <v>0</v>
      </c>
      <c r="U215" s="11">
        <v>0</v>
      </c>
      <c r="V215">
        <v>0</v>
      </c>
      <c r="W215">
        <v>0</v>
      </c>
      <c r="X215" s="11">
        <f t="shared" si="12"/>
        <v>0</v>
      </c>
      <c r="Y215">
        <f t="shared" si="12"/>
        <v>0</v>
      </c>
      <c r="Z215">
        <f t="shared" si="12"/>
        <v>0</v>
      </c>
      <c r="AA215" s="11"/>
    </row>
    <row r="216" spans="1:27" x14ac:dyDescent="0.3">
      <c r="A216" s="7">
        <v>45548</v>
      </c>
      <c r="B216">
        <v>4</v>
      </c>
      <c r="C216" t="s">
        <v>236</v>
      </c>
      <c r="D216" t="s">
        <v>26</v>
      </c>
      <c r="E216">
        <v>31</v>
      </c>
      <c r="F216">
        <v>2</v>
      </c>
      <c r="G216">
        <v>2</v>
      </c>
      <c r="H216" t="s">
        <v>27</v>
      </c>
      <c r="I216">
        <v>1</v>
      </c>
      <c r="J216" s="10">
        <v>0.3125</v>
      </c>
      <c r="K216" s="10">
        <v>0.40347222222222223</v>
      </c>
      <c r="L216" s="10">
        <f t="shared" si="11"/>
        <v>9.0972222222222232E-2</v>
      </c>
      <c r="M216" s="12">
        <f t="shared" si="10"/>
        <v>2.1833333333333336</v>
      </c>
      <c r="N216" s="12">
        <f>Table35[[#This Row],[Trip Hours]]*Table35[[#This Row],['#Angler]]</f>
        <v>2.1833333333333336</v>
      </c>
      <c r="O216" t="s">
        <v>28</v>
      </c>
      <c r="P216" t="s">
        <v>56</v>
      </c>
      <c r="Q216" t="s">
        <v>244</v>
      </c>
      <c r="R216" s="11">
        <v>0</v>
      </c>
      <c r="S216">
        <v>1</v>
      </c>
      <c r="T216">
        <v>0</v>
      </c>
      <c r="U216" s="11">
        <v>0</v>
      </c>
      <c r="V216">
        <v>0</v>
      </c>
      <c r="W216">
        <v>0</v>
      </c>
      <c r="X216" s="11">
        <f t="shared" si="12"/>
        <v>0</v>
      </c>
      <c r="Y216">
        <f t="shared" si="12"/>
        <v>1</v>
      </c>
      <c r="Z216">
        <f t="shared" si="12"/>
        <v>0</v>
      </c>
      <c r="AA216" s="11"/>
    </row>
    <row r="217" spans="1:27" x14ac:dyDescent="0.3">
      <c r="A217" s="7">
        <v>45548</v>
      </c>
      <c r="B217">
        <v>4</v>
      </c>
      <c r="C217" t="s">
        <v>236</v>
      </c>
      <c r="D217" t="s">
        <v>26</v>
      </c>
      <c r="E217">
        <v>32</v>
      </c>
      <c r="F217">
        <v>2</v>
      </c>
      <c r="G217">
        <v>2</v>
      </c>
      <c r="H217" t="s">
        <v>27</v>
      </c>
      <c r="I217">
        <v>1</v>
      </c>
      <c r="J217" s="10">
        <v>0.29166666666666669</v>
      </c>
      <c r="K217" s="10">
        <v>0.43194444444444446</v>
      </c>
      <c r="L217" s="10">
        <f t="shared" si="11"/>
        <v>0.14027777777777778</v>
      </c>
      <c r="M217" s="12">
        <f t="shared" si="10"/>
        <v>3.3666666666666667</v>
      </c>
      <c r="N217" s="12">
        <f>Table35[[#This Row],[Trip Hours]]*Table35[[#This Row],['#Angler]]</f>
        <v>3.3666666666666667</v>
      </c>
      <c r="O217" t="s">
        <v>25</v>
      </c>
      <c r="P217" t="s">
        <v>82</v>
      </c>
      <c r="Q217" t="s">
        <v>237</v>
      </c>
      <c r="R217" s="11">
        <v>1</v>
      </c>
      <c r="S217">
        <v>0</v>
      </c>
      <c r="T217">
        <v>0</v>
      </c>
      <c r="U217" s="11">
        <v>0</v>
      </c>
      <c r="V217">
        <v>0</v>
      </c>
      <c r="W217">
        <v>0</v>
      </c>
      <c r="X217" s="11">
        <f t="shared" si="12"/>
        <v>1</v>
      </c>
      <c r="Y217">
        <f t="shared" si="12"/>
        <v>0</v>
      </c>
      <c r="Z217">
        <f t="shared" si="12"/>
        <v>0</v>
      </c>
      <c r="AA217" s="11"/>
    </row>
    <row r="218" spans="1:27" x14ac:dyDescent="0.3">
      <c r="A218" s="7">
        <v>45548</v>
      </c>
      <c r="B218">
        <v>4</v>
      </c>
      <c r="C218" t="s">
        <v>236</v>
      </c>
      <c r="D218" t="s">
        <v>26</v>
      </c>
      <c r="E218">
        <v>33</v>
      </c>
      <c r="F218">
        <v>2</v>
      </c>
      <c r="G218">
        <v>2</v>
      </c>
      <c r="H218" t="s">
        <v>27</v>
      </c>
      <c r="I218">
        <v>1</v>
      </c>
      <c r="J218" s="10">
        <v>0.40972222222222227</v>
      </c>
      <c r="K218" s="10">
        <v>0.43333333333333335</v>
      </c>
      <c r="L218" s="10">
        <f t="shared" si="11"/>
        <v>2.3611111111111083E-2</v>
      </c>
      <c r="M218" s="12">
        <f t="shared" si="10"/>
        <v>0.56666666666666599</v>
      </c>
      <c r="N218" s="12">
        <f>Table35[[#This Row],[Trip Hours]]*Table35[[#This Row],['#Angler]]</f>
        <v>0.56666666666666599</v>
      </c>
      <c r="O218" t="s">
        <v>28</v>
      </c>
      <c r="P218" t="s">
        <v>56</v>
      </c>
      <c r="Q218" t="s">
        <v>237</v>
      </c>
      <c r="R218" s="11">
        <v>0</v>
      </c>
      <c r="S218">
        <v>0</v>
      </c>
      <c r="T218">
        <v>0</v>
      </c>
      <c r="U218" s="11">
        <v>0</v>
      </c>
      <c r="V218">
        <v>0</v>
      </c>
      <c r="W218">
        <v>0</v>
      </c>
      <c r="X218" s="11">
        <f t="shared" si="12"/>
        <v>0</v>
      </c>
      <c r="Y218">
        <f t="shared" si="12"/>
        <v>0</v>
      </c>
      <c r="Z218">
        <f t="shared" si="12"/>
        <v>0</v>
      </c>
      <c r="AA218" s="11"/>
    </row>
    <row r="219" spans="1:27" x14ac:dyDescent="0.3">
      <c r="A219" s="7">
        <v>45548</v>
      </c>
      <c r="B219">
        <v>4</v>
      </c>
      <c r="C219" t="s">
        <v>236</v>
      </c>
      <c r="D219" t="s">
        <v>26</v>
      </c>
      <c r="E219">
        <v>34</v>
      </c>
      <c r="F219">
        <v>2</v>
      </c>
      <c r="G219">
        <v>2</v>
      </c>
      <c r="H219" t="s">
        <v>27</v>
      </c>
      <c r="I219">
        <v>1</v>
      </c>
      <c r="J219" s="10">
        <v>0.27083333333333331</v>
      </c>
      <c r="K219" s="10">
        <v>0.43402777777777773</v>
      </c>
      <c r="L219" s="10">
        <f t="shared" si="11"/>
        <v>0.16319444444444442</v>
      </c>
      <c r="M219" s="12">
        <f t="shared" si="10"/>
        <v>3.9166666666666661</v>
      </c>
      <c r="N219" s="12">
        <f>Table35[[#This Row],[Trip Hours]]*Table35[[#This Row],['#Angler]]</f>
        <v>3.9166666666666661</v>
      </c>
      <c r="O219" t="s">
        <v>28</v>
      </c>
      <c r="P219" t="s">
        <v>49</v>
      </c>
      <c r="Q219" t="s">
        <v>247</v>
      </c>
      <c r="R219" s="11">
        <v>0</v>
      </c>
      <c r="S219">
        <v>0</v>
      </c>
      <c r="T219">
        <v>0</v>
      </c>
      <c r="U219" s="11">
        <v>0</v>
      </c>
      <c r="V219">
        <v>0</v>
      </c>
      <c r="W219">
        <v>0</v>
      </c>
      <c r="X219" s="11">
        <f t="shared" si="12"/>
        <v>0</v>
      </c>
      <c r="Y219">
        <f t="shared" si="12"/>
        <v>0</v>
      </c>
      <c r="Z219">
        <f t="shared" si="12"/>
        <v>0</v>
      </c>
      <c r="AA219" s="11"/>
    </row>
    <row r="220" spans="1:27" x14ac:dyDescent="0.3">
      <c r="A220" s="7">
        <v>45548</v>
      </c>
      <c r="B220">
        <v>4</v>
      </c>
      <c r="C220" t="s">
        <v>236</v>
      </c>
      <c r="D220" t="s">
        <v>26</v>
      </c>
      <c r="E220">
        <v>35</v>
      </c>
      <c r="F220">
        <v>2</v>
      </c>
      <c r="G220">
        <v>2</v>
      </c>
      <c r="H220" t="s">
        <v>27</v>
      </c>
      <c r="I220">
        <v>1</v>
      </c>
      <c r="J220" s="10">
        <v>0.27083333333333331</v>
      </c>
      <c r="K220" s="10">
        <v>0.43472222222222223</v>
      </c>
      <c r="L220" s="10">
        <f t="shared" si="11"/>
        <v>0.16388888888888892</v>
      </c>
      <c r="M220" s="12">
        <f t="shared" si="10"/>
        <v>3.933333333333334</v>
      </c>
      <c r="N220" s="12">
        <f>Table35[[#This Row],[Trip Hours]]*Table35[[#This Row],['#Angler]]</f>
        <v>3.933333333333334</v>
      </c>
      <c r="O220" t="s">
        <v>28</v>
      </c>
      <c r="P220" t="s">
        <v>299</v>
      </c>
      <c r="Q220" t="s">
        <v>244</v>
      </c>
      <c r="R220" s="11">
        <v>0</v>
      </c>
      <c r="S220">
        <v>0</v>
      </c>
      <c r="T220">
        <v>0</v>
      </c>
      <c r="U220" s="11">
        <v>0</v>
      </c>
      <c r="V220">
        <v>0</v>
      </c>
      <c r="W220">
        <v>0</v>
      </c>
      <c r="X220" s="11">
        <f t="shared" si="12"/>
        <v>0</v>
      </c>
      <c r="Y220">
        <f t="shared" si="12"/>
        <v>0</v>
      </c>
      <c r="Z220">
        <f t="shared" si="12"/>
        <v>0</v>
      </c>
      <c r="AA220" s="11"/>
    </row>
    <row r="221" spans="1:27" x14ac:dyDescent="0.3">
      <c r="A221" s="7">
        <v>45548</v>
      </c>
      <c r="B221">
        <v>4</v>
      </c>
      <c r="C221" t="s">
        <v>236</v>
      </c>
      <c r="D221" t="s">
        <v>26</v>
      </c>
      <c r="E221">
        <v>36</v>
      </c>
      <c r="F221">
        <v>2</v>
      </c>
      <c r="G221">
        <v>2</v>
      </c>
      <c r="H221" t="s">
        <v>27</v>
      </c>
      <c r="I221">
        <v>1</v>
      </c>
      <c r="J221" s="10">
        <v>0.27083333333333331</v>
      </c>
      <c r="K221" s="10">
        <v>0.43541666666666662</v>
      </c>
      <c r="L221" s="10">
        <f t="shared" si="11"/>
        <v>0.1645833333333333</v>
      </c>
      <c r="M221" s="12">
        <f t="shared" si="10"/>
        <v>3.9499999999999993</v>
      </c>
      <c r="N221" s="12">
        <f>Table35[[#This Row],[Trip Hours]]*Table35[[#This Row],['#Angler]]</f>
        <v>3.9499999999999993</v>
      </c>
      <c r="O221" t="s">
        <v>28</v>
      </c>
      <c r="P221" t="s">
        <v>272</v>
      </c>
      <c r="Q221" t="s">
        <v>238</v>
      </c>
      <c r="R221" s="11">
        <v>1</v>
      </c>
      <c r="S221">
        <v>1</v>
      </c>
      <c r="T221">
        <v>0</v>
      </c>
      <c r="U221" s="11">
        <v>0</v>
      </c>
      <c r="V221">
        <v>0</v>
      </c>
      <c r="W221">
        <v>0</v>
      </c>
      <c r="X221" s="11">
        <f t="shared" si="12"/>
        <v>1</v>
      </c>
      <c r="Y221">
        <f t="shared" si="12"/>
        <v>1</v>
      </c>
      <c r="Z221">
        <f t="shared" si="12"/>
        <v>0</v>
      </c>
      <c r="AA221" s="11"/>
    </row>
    <row r="222" spans="1:27" x14ac:dyDescent="0.3">
      <c r="A222" s="7">
        <v>45548</v>
      </c>
      <c r="B222">
        <v>4</v>
      </c>
      <c r="C222" t="s">
        <v>236</v>
      </c>
      <c r="D222" t="s">
        <v>26</v>
      </c>
      <c r="E222">
        <v>37</v>
      </c>
      <c r="F222">
        <v>2</v>
      </c>
      <c r="G222">
        <v>2</v>
      </c>
      <c r="H222" t="s">
        <v>27</v>
      </c>
      <c r="I222">
        <v>1</v>
      </c>
      <c r="J222" s="10">
        <v>0.33333333333333331</v>
      </c>
      <c r="K222" s="10">
        <v>0.4375</v>
      </c>
      <c r="L222" s="10">
        <f t="shared" si="11"/>
        <v>0.10416666666666669</v>
      </c>
      <c r="M222" s="12">
        <f t="shared" si="10"/>
        <v>2.5000000000000004</v>
      </c>
      <c r="N222" s="12">
        <f>Table35[[#This Row],[Trip Hours]]*Table35[[#This Row],['#Angler]]</f>
        <v>2.5000000000000004</v>
      </c>
      <c r="O222" t="s">
        <v>28</v>
      </c>
      <c r="P222" t="s">
        <v>56</v>
      </c>
      <c r="Q222" t="s">
        <v>241</v>
      </c>
      <c r="R222" s="11">
        <v>0</v>
      </c>
      <c r="S222">
        <v>0</v>
      </c>
      <c r="T222">
        <v>0</v>
      </c>
      <c r="U222" s="11">
        <v>0</v>
      </c>
      <c r="V222">
        <v>0</v>
      </c>
      <c r="W222">
        <v>0</v>
      </c>
      <c r="X222" s="11">
        <f t="shared" si="12"/>
        <v>0</v>
      </c>
      <c r="Y222">
        <f t="shared" si="12"/>
        <v>0</v>
      </c>
      <c r="Z222">
        <f t="shared" si="12"/>
        <v>0</v>
      </c>
      <c r="AA222" s="11"/>
    </row>
    <row r="223" spans="1:27" x14ac:dyDescent="0.3">
      <c r="A223" s="7">
        <v>45548</v>
      </c>
      <c r="B223">
        <v>4</v>
      </c>
      <c r="C223" t="s">
        <v>236</v>
      </c>
      <c r="D223" t="s">
        <v>26</v>
      </c>
      <c r="E223">
        <v>38</v>
      </c>
      <c r="F223">
        <v>2</v>
      </c>
      <c r="G223">
        <v>2</v>
      </c>
      <c r="H223" t="s">
        <v>27</v>
      </c>
      <c r="I223">
        <v>1</v>
      </c>
      <c r="J223" s="10">
        <v>0.35416666666666669</v>
      </c>
      <c r="K223" s="10">
        <v>0.44722222222222219</v>
      </c>
      <c r="L223" s="10">
        <f t="shared" si="11"/>
        <v>9.3055555555555503E-2</v>
      </c>
      <c r="M223" s="12">
        <f t="shared" si="10"/>
        <v>2.2333333333333321</v>
      </c>
      <c r="N223" s="12">
        <f>Table35[[#This Row],[Trip Hours]]*Table35[[#This Row],['#Angler]]</f>
        <v>2.2333333333333321</v>
      </c>
      <c r="O223" t="s">
        <v>28</v>
      </c>
      <c r="P223" t="s">
        <v>56</v>
      </c>
      <c r="Q223" t="s">
        <v>241</v>
      </c>
      <c r="R223" s="11">
        <v>0</v>
      </c>
      <c r="S223">
        <v>0</v>
      </c>
      <c r="T223">
        <v>0</v>
      </c>
      <c r="U223" s="11">
        <v>0</v>
      </c>
      <c r="V223">
        <v>0</v>
      </c>
      <c r="W223">
        <v>0</v>
      </c>
      <c r="X223" s="11">
        <f t="shared" si="12"/>
        <v>0</v>
      </c>
      <c r="Y223">
        <f t="shared" si="12"/>
        <v>0</v>
      </c>
      <c r="Z223">
        <f t="shared" si="12"/>
        <v>0</v>
      </c>
      <c r="AA223" s="11"/>
    </row>
    <row r="224" spans="1:27" x14ac:dyDescent="0.3">
      <c r="A224" s="7">
        <v>45548</v>
      </c>
      <c r="B224">
        <v>4</v>
      </c>
      <c r="C224" t="s">
        <v>236</v>
      </c>
      <c r="D224" t="s">
        <v>26</v>
      </c>
      <c r="E224">
        <v>39</v>
      </c>
      <c r="F224">
        <v>2</v>
      </c>
      <c r="G224">
        <v>2</v>
      </c>
      <c r="H224" t="s">
        <v>27</v>
      </c>
      <c r="I224">
        <v>1</v>
      </c>
      <c r="J224" s="10">
        <v>0.40625</v>
      </c>
      <c r="K224" s="10">
        <v>0.44722222222222219</v>
      </c>
      <c r="L224" s="10">
        <f t="shared" si="11"/>
        <v>4.0972222222222188E-2</v>
      </c>
      <c r="M224" s="12">
        <f t="shared" si="10"/>
        <v>0.9833333333333325</v>
      </c>
      <c r="N224" s="12">
        <f>Table35[[#This Row],[Trip Hours]]*Table35[[#This Row],['#Angler]]</f>
        <v>0.9833333333333325</v>
      </c>
      <c r="O224" t="s">
        <v>28</v>
      </c>
      <c r="P224" t="s">
        <v>56</v>
      </c>
      <c r="Q224" t="s">
        <v>241</v>
      </c>
      <c r="R224" s="11">
        <v>0</v>
      </c>
      <c r="S224">
        <v>0</v>
      </c>
      <c r="T224">
        <v>0</v>
      </c>
      <c r="U224" s="11">
        <v>0</v>
      </c>
      <c r="V224">
        <v>0</v>
      </c>
      <c r="W224">
        <v>0</v>
      </c>
      <c r="X224" s="11">
        <f t="shared" si="12"/>
        <v>0</v>
      </c>
      <c r="Y224">
        <f t="shared" si="12"/>
        <v>0</v>
      </c>
      <c r="Z224">
        <f t="shared" si="12"/>
        <v>0</v>
      </c>
      <c r="AA224" s="11"/>
    </row>
    <row r="225" spans="1:28" x14ac:dyDescent="0.3">
      <c r="A225" s="7">
        <v>45549</v>
      </c>
      <c r="B225">
        <v>4</v>
      </c>
      <c r="C225" t="s">
        <v>250</v>
      </c>
      <c r="D225" t="s">
        <v>26</v>
      </c>
      <c r="E225">
        <v>1</v>
      </c>
      <c r="F225">
        <v>2</v>
      </c>
      <c r="G225">
        <v>5</v>
      </c>
      <c r="H225" t="s">
        <v>27</v>
      </c>
      <c r="I225">
        <v>1</v>
      </c>
      <c r="J225" s="10">
        <v>0.27083333333333331</v>
      </c>
      <c r="K225" s="10">
        <v>0.2902777777777778</v>
      </c>
      <c r="L225" s="10">
        <f t="shared" si="11"/>
        <v>1.9444444444444486E-2</v>
      </c>
      <c r="M225" s="12">
        <f t="shared" si="10"/>
        <v>0.46666666666666767</v>
      </c>
      <c r="N225" s="12">
        <f>Table35[[#This Row],[Trip Hours]]*Table35[[#This Row],['#Angler]]</f>
        <v>0.46666666666666767</v>
      </c>
      <c r="O225" t="s">
        <v>25</v>
      </c>
      <c r="P225" t="s">
        <v>186</v>
      </c>
      <c r="Q225" t="s">
        <v>241</v>
      </c>
      <c r="R225" s="11">
        <v>0</v>
      </c>
      <c r="S225">
        <v>0</v>
      </c>
      <c r="T225">
        <v>0</v>
      </c>
      <c r="U225" s="11">
        <v>0</v>
      </c>
      <c r="V225">
        <v>0</v>
      </c>
      <c r="W225">
        <v>0</v>
      </c>
      <c r="X225" s="11">
        <f t="shared" si="12"/>
        <v>0</v>
      </c>
      <c r="Y225">
        <f t="shared" si="12"/>
        <v>0</v>
      </c>
      <c r="Z225">
        <f t="shared" si="12"/>
        <v>0</v>
      </c>
      <c r="AA225" s="11"/>
    </row>
    <row r="226" spans="1:28" x14ac:dyDescent="0.3">
      <c r="A226" s="7">
        <v>45549</v>
      </c>
      <c r="B226">
        <v>4</v>
      </c>
      <c r="C226" t="s">
        <v>250</v>
      </c>
      <c r="D226" t="s">
        <v>26</v>
      </c>
      <c r="E226">
        <v>2</v>
      </c>
      <c r="F226">
        <v>2</v>
      </c>
      <c r="G226">
        <v>4</v>
      </c>
      <c r="H226" t="s">
        <v>27</v>
      </c>
      <c r="I226">
        <v>1</v>
      </c>
      <c r="J226" s="10">
        <v>0.22916666666666666</v>
      </c>
      <c r="K226" s="10">
        <v>0.30902777777777779</v>
      </c>
      <c r="L226" s="10">
        <f t="shared" si="11"/>
        <v>7.9861111111111133E-2</v>
      </c>
      <c r="M226" s="12">
        <f t="shared" si="10"/>
        <v>1.9166666666666672</v>
      </c>
      <c r="N226" s="12">
        <f>Table35[[#This Row],[Trip Hours]]*Table35[[#This Row],['#Angler]]</f>
        <v>1.9166666666666672</v>
      </c>
      <c r="O226" t="s">
        <v>25</v>
      </c>
      <c r="P226" t="s">
        <v>148</v>
      </c>
      <c r="Q226" t="s">
        <v>247</v>
      </c>
      <c r="R226" s="11">
        <v>0</v>
      </c>
      <c r="S226">
        <v>0</v>
      </c>
      <c r="T226">
        <v>0</v>
      </c>
      <c r="U226" s="11">
        <v>2</v>
      </c>
      <c r="V226">
        <v>0</v>
      </c>
      <c r="W226">
        <v>0</v>
      </c>
      <c r="X226" s="11">
        <f t="shared" si="12"/>
        <v>2</v>
      </c>
      <c r="Y226">
        <f t="shared" si="12"/>
        <v>0</v>
      </c>
      <c r="Z226">
        <f t="shared" si="12"/>
        <v>0</v>
      </c>
      <c r="AA226" s="11"/>
    </row>
    <row r="227" spans="1:28" x14ac:dyDescent="0.3">
      <c r="A227" s="7">
        <v>45549</v>
      </c>
      <c r="B227">
        <v>4</v>
      </c>
      <c r="C227" t="s">
        <v>250</v>
      </c>
      <c r="D227" t="s">
        <v>26</v>
      </c>
      <c r="E227">
        <v>3</v>
      </c>
      <c r="F227">
        <v>2</v>
      </c>
      <c r="G227">
        <v>1</v>
      </c>
      <c r="H227" t="s">
        <v>27</v>
      </c>
      <c r="I227">
        <v>2</v>
      </c>
      <c r="J227" s="10">
        <v>0.27083333333333331</v>
      </c>
      <c r="K227" s="10">
        <v>0.41180555555555554</v>
      </c>
      <c r="L227" s="10">
        <f t="shared" si="11"/>
        <v>0.14097222222222222</v>
      </c>
      <c r="M227" s="12">
        <f t="shared" si="10"/>
        <v>3.3833333333333333</v>
      </c>
      <c r="N227" s="12">
        <f>Table35[[#This Row],[Trip Hours]]*Table35[[#This Row],['#Angler]]</f>
        <v>6.7666666666666666</v>
      </c>
      <c r="O227" t="s">
        <v>25</v>
      </c>
      <c r="P227" t="s">
        <v>56</v>
      </c>
      <c r="Q227" t="s">
        <v>241</v>
      </c>
      <c r="R227" s="11">
        <v>0</v>
      </c>
      <c r="S227">
        <v>3</v>
      </c>
      <c r="T227">
        <v>0</v>
      </c>
      <c r="U227" s="11">
        <v>0</v>
      </c>
      <c r="V227">
        <v>0</v>
      </c>
      <c r="W227">
        <v>0</v>
      </c>
      <c r="X227" s="11">
        <f t="shared" si="12"/>
        <v>0</v>
      </c>
      <c r="Y227">
        <f t="shared" si="12"/>
        <v>3</v>
      </c>
      <c r="Z227">
        <f t="shared" si="12"/>
        <v>0</v>
      </c>
      <c r="AA227" s="11"/>
    </row>
    <row r="228" spans="1:28" x14ac:dyDescent="0.3">
      <c r="A228" s="7">
        <v>45549</v>
      </c>
      <c r="B228">
        <v>4</v>
      </c>
      <c r="C228" t="s">
        <v>250</v>
      </c>
      <c r="D228" t="s">
        <v>26</v>
      </c>
      <c r="E228">
        <v>4</v>
      </c>
      <c r="F228">
        <v>1</v>
      </c>
      <c r="G228">
        <v>4</v>
      </c>
      <c r="H228" t="s">
        <v>27</v>
      </c>
      <c r="I228">
        <v>3</v>
      </c>
      <c r="J228" s="10">
        <v>0.27083333333333331</v>
      </c>
      <c r="K228" s="10">
        <v>0.4236111111111111</v>
      </c>
      <c r="L228" s="10">
        <f t="shared" si="11"/>
        <v>0.15277777777777779</v>
      </c>
      <c r="M228" s="12">
        <f t="shared" si="10"/>
        <v>3.666666666666667</v>
      </c>
      <c r="N228" s="12">
        <f>Table35[[#This Row],[Trip Hours]]*Table35[[#This Row],['#Angler]]</f>
        <v>11</v>
      </c>
      <c r="O228" t="s">
        <v>25</v>
      </c>
      <c r="P228" t="s">
        <v>272</v>
      </c>
      <c r="Q228" t="s">
        <v>247</v>
      </c>
      <c r="R228" s="11">
        <v>0</v>
      </c>
      <c r="S228">
        <v>3</v>
      </c>
      <c r="T228">
        <v>0</v>
      </c>
      <c r="U228" s="11">
        <v>0</v>
      </c>
      <c r="V228">
        <v>0</v>
      </c>
      <c r="W228">
        <v>0</v>
      </c>
      <c r="X228" s="11">
        <f t="shared" si="12"/>
        <v>0</v>
      </c>
      <c r="Y228">
        <f t="shared" si="12"/>
        <v>3</v>
      </c>
      <c r="Z228">
        <f t="shared" si="12"/>
        <v>0</v>
      </c>
      <c r="AA228" s="11"/>
    </row>
    <row r="229" spans="1:28" x14ac:dyDescent="0.3">
      <c r="A229" s="7">
        <v>45549</v>
      </c>
      <c r="B229">
        <v>4</v>
      </c>
      <c r="C229" t="s">
        <v>250</v>
      </c>
      <c r="D229" t="s">
        <v>26</v>
      </c>
      <c r="E229">
        <v>5</v>
      </c>
      <c r="F229">
        <v>1</v>
      </c>
      <c r="G229">
        <v>4</v>
      </c>
      <c r="H229" t="s">
        <v>27</v>
      </c>
      <c r="I229">
        <v>2</v>
      </c>
      <c r="J229" s="10">
        <v>0.27083333333333331</v>
      </c>
      <c r="K229" s="10">
        <v>0.42638888888888887</v>
      </c>
      <c r="L229" s="10">
        <f t="shared" si="11"/>
        <v>0.15555555555555556</v>
      </c>
      <c r="M229" s="12">
        <f t="shared" si="10"/>
        <v>3.7333333333333334</v>
      </c>
      <c r="N229" s="12">
        <f>Table35[[#This Row],[Trip Hours]]*Table35[[#This Row],['#Angler]]</f>
        <v>7.4666666666666668</v>
      </c>
      <c r="O229" t="s">
        <v>25</v>
      </c>
      <c r="P229" t="s">
        <v>300</v>
      </c>
      <c r="Q229" t="s">
        <v>247</v>
      </c>
      <c r="R229" s="11">
        <v>0</v>
      </c>
      <c r="S229">
        <v>3</v>
      </c>
      <c r="T229">
        <v>0</v>
      </c>
      <c r="U229" s="11">
        <v>0</v>
      </c>
      <c r="V229">
        <v>4</v>
      </c>
      <c r="W229">
        <v>0</v>
      </c>
      <c r="X229" s="11">
        <f t="shared" si="12"/>
        <v>0</v>
      </c>
      <c r="Y229">
        <f t="shared" si="12"/>
        <v>7</v>
      </c>
      <c r="Z229">
        <f t="shared" si="12"/>
        <v>0</v>
      </c>
      <c r="AA229" s="11"/>
    </row>
    <row r="230" spans="1:28" x14ac:dyDescent="0.3">
      <c r="A230" s="7">
        <v>45549</v>
      </c>
      <c r="B230">
        <v>4</v>
      </c>
      <c r="C230" t="s">
        <v>250</v>
      </c>
      <c r="D230" t="s">
        <v>26</v>
      </c>
      <c r="E230">
        <v>6</v>
      </c>
      <c r="F230">
        <v>1</v>
      </c>
      <c r="G230">
        <v>2</v>
      </c>
      <c r="H230" t="s">
        <v>35</v>
      </c>
      <c r="I230">
        <v>1</v>
      </c>
      <c r="J230" s="10">
        <v>0.27083333333333331</v>
      </c>
      <c r="K230" s="10">
        <v>0.4604166666666667</v>
      </c>
      <c r="L230" s="10">
        <f t="shared" si="11"/>
        <v>0.18958333333333338</v>
      </c>
      <c r="M230" s="12">
        <f t="shared" si="10"/>
        <v>4.5500000000000007</v>
      </c>
      <c r="N230" s="12">
        <f>Table35[[#This Row],[Trip Hours]]*Table35[[#This Row],['#Angler]]</f>
        <v>4.5500000000000007</v>
      </c>
      <c r="O230" t="s">
        <v>25</v>
      </c>
      <c r="P230" t="s">
        <v>239</v>
      </c>
      <c r="Q230" t="s">
        <v>247</v>
      </c>
      <c r="R230" s="11">
        <v>0</v>
      </c>
      <c r="S230">
        <v>1</v>
      </c>
      <c r="T230">
        <v>0</v>
      </c>
      <c r="U230" s="11">
        <v>0</v>
      </c>
      <c r="V230">
        <v>0</v>
      </c>
      <c r="W230">
        <v>0</v>
      </c>
      <c r="X230" s="11">
        <f t="shared" si="12"/>
        <v>0</v>
      </c>
      <c r="Y230">
        <f t="shared" si="12"/>
        <v>1</v>
      </c>
      <c r="Z230">
        <f t="shared" si="12"/>
        <v>0</v>
      </c>
      <c r="AA230" s="11"/>
    </row>
    <row r="231" spans="1:28" x14ac:dyDescent="0.3">
      <c r="A231" s="7">
        <v>45549</v>
      </c>
      <c r="B231">
        <v>4</v>
      </c>
      <c r="C231" t="s">
        <v>250</v>
      </c>
      <c r="D231" t="s">
        <v>42</v>
      </c>
      <c r="E231">
        <v>7</v>
      </c>
      <c r="F231">
        <v>1</v>
      </c>
      <c r="G231">
        <v>1</v>
      </c>
      <c r="H231" t="s">
        <v>35</v>
      </c>
      <c r="I231">
        <v>2</v>
      </c>
      <c r="J231" s="10">
        <v>0.33333333333333331</v>
      </c>
      <c r="K231" s="10">
        <v>0.68055555555555547</v>
      </c>
      <c r="L231" s="10">
        <f t="shared" si="11"/>
        <v>0.34722222222222215</v>
      </c>
      <c r="M231" s="12">
        <f t="shared" si="10"/>
        <v>8.3333333333333321</v>
      </c>
      <c r="N231" s="12">
        <f>Table35[[#This Row],[Trip Hours]]*Table35[[#This Row],['#Angler]]</f>
        <v>16.666666666666664</v>
      </c>
      <c r="O231" t="s">
        <v>25</v>
      </c>
      <c r="P231" t="s">
        <v>266</v>
      </c>
      <c r="Q231" t="s">
        <v>247</v>
      </c>
      <c r="R231" s="11">
        <v>0</v>
      </c>
      <c r="S231">
        <v>1</v>
      </c>
      <c r="T231">
        <v>0</v>
      </c>
      <c r="U231" s="11">
        <v>0</v>
      </c>
      <c r="V231">
        <v>0</v>
      </c>
      <c r="W231">
        <v>0</v>
      </c>
      <c r="X231" s="11">
        <f t="shared" si="12"/>
        <v>0</v>
      </c>
      <c r="Y231">
        <f t="shared" si="12"/>
        <v>1</v>
      </c>
      <c r="Z231">
        <f t="shared" si="12"/>
        <v>0</v>
      </c>
      <c r="AA231" s="11"/>
    </row>
    <row r="232" spans="1:28" x14ac:dyDescent="0.3">
      <c r="A232" s="7">
        <v>45549</v>
      </c>
      <c r="B232">
        <v>4</v>
      </c>
      <c r="C232" t="s">
        <v>250</v>
      </c>
      <c r="D232" t="s">
        <v>42</v>
      </c>
      <c r="E232">
        <v>8</v>
      </c>
      <c r="F232">
        <v>1</v>
      </c>
      <c r="G232">
        <v>1</v>
      </c>
      <c r="H232" t="s">
        <v>35</v>
      </c>
      <c r="I232">
        <v>4</v>
      </c>
      <c r="J232" s="10">
        <v>0.54166666666666663</v>
      </c>
      <c r="K232" s="10">
        <v>0.69930555555555562</v>
      </c>
      <c r="L232" s="10">
        <f t="shared" si="11"/>
        <v>0.15763888888888899</v>
      </c>
      <c r="M232" s="12">
        <f t="shared" si="10"/>
        <v>3.7833333333333359</v>
      </c>
      <c r="N232" s="12">
        <f>Table35[[#This Row],[Trip Hours]]*Table35[[#This Row],['#Angler]]</f>
        <v>15.133333333333344</v>
      </c>
      <c r="O232" t="s">
        <v>25</v>
      </c>
      <c r="P232" t="s">
        <v>300</v>
      </c>
      <c r="Q232" t="s">
        <v>247</v>
      </c>
      <c r="R232" s="11">
        <v>0</v>
      </c>
      <c r="S232">
        <v>0</v>
      </c>
      <c r="T232">
        <v>0</v>
      </c>
      <c r="U232" s="11">
        <v>0</v>
      </c>
      <c r="V232">
        <v>0</v>
      </c>
      <c r="W232">
        <v>0</v>
      </c>
      <c r="X232" s="11">
        <f t="shared" si="12"/>
        <v>0</v>
      </c>
      <c r="Y232">
        <f t="shared" si="12"/>
        <v>0</v>
      </c>
      <c r="Z232">
        <f t="shared" si="12"/>
        <v>0</v>
      </c>
      <c r="AA232" s="11"/>
    </row>
    <row r="233" spans="1:28" x14ac:dyDescent="0.3">
      <c r="A233" s="7">
        <v>45549</v>
      </c>
      <c r="B233">
        <v>4</v>
      </c>
      <c r="C233" t="s">
        <v>250</v>
      </c>
      <c r="D233" t="s">
        <v>42</v>
      </c>
      <c r="E233">
        <v>9</v>
      </c>
      <c r="F233">
        <v>1</v>
      </c>
      <c r="G233">
        <v>1</v>
      </c>
      <c r="H233" t="s">
        <v>35</v>
      </c>
      <c r="I233">
        <v>2</v>
      </c>
      <c r="J233" s="10">
        <v>0.58333333333333337</v>
      </c>
      <c r="K233" s="10">
        <v>0.70624999999999993</v>
      </c>
      <c r="L233" s="10">
        <f t="shared" si="11"/>
        <v>0.12291666666666656</v>
      </c>
      <c r="M233" s="12">
        <f t="shared" si="10"/>
        <v>2.9499999999999975</v>
      </c>
      <c r="N233" s="12">
        <f>Table35[[#This Row],[Trip Hours]]*Table35[[#This Row],['#Angler]]</f>
        <v>5.899999999999995</v>
      </c>
      <c r="O233" t="s">
        <v>25</v>
      </c>
      <c r="P233" t="s">
        <v>262</v>
      </c>
      <c r="Q233" t="s">
        <v>247</v>
      </c>
      <c r="R233" s="11">
        <v>0</v>
      </c>
      <c r="S233">
        <v>2</v>
      </c>
      <c r="T233">
        <v>0</v>
      </c>
      <c r="U233" s="11">
        <v>0</v>
      </c>
      <c r="V233">
        <v>0</v>
      </c>
      <c r="W233">
        <v>0</v>
      </c>
      <c r="X233" s="11">
        <f t="shared" si="12"/>
        <v>0</v>
      </c>
      <c r="Y233">
        <f t="shared" si="12"/>
        <v>2</v>
      </c>
      <c r="Z233">
        <f t="shared" si="12"/>
        <v>0</v>
      </c>
      <c r="AA233" s="11"/>
    </row>
    <row r="234" spans="1:28" x14ac:dyDescent="0.3">
      <c r="A234" s="7">
        <v>45549</v>
      </c>
      <c r="B234">
        <v>4</v>
      </c>
      <c r="C234" t="s">
        <v>250</v>
      </c>
      <c r="D234" t="s">
        <v>42</v>
      </c>
      <c r="E234">
        <v>10</v>
      </c>
      <c r="F234">
        <v>1</v>
      </c>
      <c r="G234">
        <v>1</v>
      </c>
      <c r="H234" t="s">
        <v>35</v>
      </c>
      <c r="I234">
        <v>2</v>
      </c>
      <c r="J234" s="10">
        <v>0.54166666666666663</v>
      </c>
      <c r="K234" s="10">
        <v>0.71666666666666667</v>
      </c>
      <c r="L234" s="10">
        <f t="shared" si="11"/>
        <v>0.17500000000000004</v>
      </c>
      <c r="M234" s="12">
        <f t="shared" si="10"/>
        <v>4.2000000000000011</v>
      </c>
      <c r="N234" s="12">
        <f>Table35[[#This Row],[Trip Hours]]*Table35[[#This Row],['#Angler]]</f>
        <v>8.4000000000000021</v>
      </c>
      <c r="O234" t="s">
        <v>25</v>
      </c>
      <c r="P234" t="s">
        <v>239</v>
      </c>
      <c r="Q234" t="s">
        <v>247</v>
      </c>
      <c r="R234" s="11">
        <v>0</v>
      </c>
      <c r="S234">
        <v>0</v>
      </c>
      <c r="T234">
        <v>0</v>
      </c>
      <c r="U234" s="11">
        <v>0</v>
      </c>
      <c r="V234">
        <v>0</v>
      </c>
      <c r="W234">
        <v>0</v>
      </c>
      <c r="X234" s="11">
        <f t="shared" si="12"/>
        <v>0</v>
      </c>
      <c r="Y234">
        <f t="shared" si="12"/>
        <v>0</v>
      </c>
      <c r="Z234">
        <f t="shared" si="12"/>
        <v>0</v>
      </c>
      <c r="AA234" s="11"/>
    </row>
    <row r="235" spans="1:28" x14ac:dyDescent="0.3">
      <c r="A235" s="7">
        <v>45549</v>
      </c>
      <c r="B235">
        <v>4</v>
      </c>
      <c r="C235" t="s">
        <v>250</v>
      </c>
      <c r="D235" t="s">
        <v>42</v>
      </c>
      <c r="E235">
        <v>11</v>
      </c>
      <c r="F235">
        <v>1</v>
      </c>
      <c r="G235">
        <v>1</v>
      </c>
      <c r="H235" t="s">
        <v>35</v>
      </c>
      <c r="I235">
        <v>1</v>
      </c>
      <c r="J235" s="10">
        <v>0.4375</v>
      </c>
      <c r="K235" s="10">
        <v>0.7368055555555556</v>
      </c>
      <c r="L235" s="10">
        <f t="shared" si="11"/>
        <v>0.2993055555555556</v>
      </c>
      <c r="M235" s="12">
        <f t="shared" si="10"/>
        <v>7.1833333333333345</v>
      </c>
      <c r="N235" s="12">
        <f>Table35[[#This Row],[Trip Hours]]*Table35[[#This Row],['#Angler]]</f>
        <v>7.1833333333333345</v>
      </c>
      <c r="O235" t="s">
        <v>25</v>
      </c>
      <c r="P235" t="s">
        <v>282</v>
      </c>
      <c r="Q235" t="s">
        <v>247</v>
      </c>
      <c r="R235" s="11">
        <v>0</v>
      </c>
      <c r="S235">
        <v>0</v>
      </c>
      <c r="T235">
        <v>0</v>
      </c>
      <c r="U235" s="11">
        <v>0</v>
      </c>
      <c r="V235">
        <v>0</v>
      </c>
      <c r="W235">
        <v>0</v>
      </c>
      <c r="X235" s="11">
        <f t="shared" si="12"/>
        <v>0</v>
      </c>
      <c r="Y235">
        <f t="shared" si="12"/>
        <v>0</v>
      </c>
      <c r="Z235">
        <f t="shared" si="12"/>
        <v>0</v>
      </c>
      <c r="AA235" s="11"/>
    </row>
    <row r="236" spans="1:28" x14ac:dyDescent="0.3">
      <c r="A236" s="7">
        <v>45549</v>
      </c>
      <c r="B236">
        <v>4</v>
      </c>
      <c r="C236" t="s">
        <v>250</v>
      </c>
      <c r="D236" t="s">
        <v>42</v>
      </c>
      <c r="E236">
        <v>12</v>
      </c>
      <c r="F236">
        <v>1</v>
      </c>
      <c r="G236">
        <v>1</v>
      </c>
      <c r="H236" t="s">
        <v>35</v>
      </c>
      <c r="I236">
        <v>1</v>
      </c>
      <c r="J236" s="10">
        <v>0.66666666666666663</v>
      </c>
      <c r="K236" s="10">
        <v>0.73888888888888893</v>
      </c>
      <c r="L236" s="10">
        <f t="shared" si="11"/>
        <v>7.2222222222222299E-2</v>
      </c>
      <c r="M236" s="12">
        <f t="shared" si="10"/>
        <v>1.7333333333333352</v>
      </c>
      <c r="N236" s="12">
        <f>Table35[[#This Row],[Trip Hours]]*Table35[[#This Row],['#Angler]]</f>
        <v>1.7333333333333352</v>
      </c>
      <c r="O236" t="s">
        <v>25</v>
      </c>
      <c r="P236" t="s">
        <v>301</v>
      </c>
      <c r="Q236" t="s">
        <v>247</v>
      </c>
      <c r="R236" s="11">
        <v>0</v>
      </c>
      <c r="S236">
        <v>0</v>
      </c>
      <c r="T236">
        <v>0</v>
      </c>
      <c r="U236" s="11">
        <v>0</v>
      </c>
      <c r="V236">
        <v>0</v>
      </c>
      <c r="W236">
        <v>0</v>
      </c>
      <c r="X236" s="11">
        <f t="shared" si="12"/>
        <v>0</v>
      </c>
      <c r="Y236">
        <f t="shared" si="12"/>
        <v>0</v>
      </c>
      <c r="Z236">
        <f t="shared" si="12"/>
        <v>0</v>
      </c>
      <c r="AA236" s="11"/>
    </row>
    <row r="237" spans="1:28" x14ac:dyDescent="0.3">
      <c r="A237" s="7">
        <v>45549</v>
      </c>
      <c r="B237">
        <v>4</v>
      </c>
      <c r="C237" t="s">
        <v>250</v>
      </c>
      <c r="D237" t="s">
        <v>42</v>
      </c>
      <c r="E237">
        <v>13</v>
      </c>
      <c r="F237">
        <v>1</v>
      </c>
      <c r="G237">
        <v>1</v>
      </c>
      <c r="H237" t="s">
        <v>35</v>
      </c>
      <c r="I237">
        <v>2</v>
      </c>
      <c r="J237" s="10">
        <v>0.625</v>
      </c>
      <c r="K237" s="10">
        <v>0.74791666666666667</v>
      </c>
      <c r="L237" s="10">
        <f t="shared" si="11"/>
        <v>0.12291666666666667</v>
      </c>
      <c r="M237" s="12">
        <f t="shared" si="10"/>
        <v>2.95</v>
      </c>
      <c r="N237" s="12">
        <f>Table35[[#This Row],[Trip Hours]]*Table35[[#This Row],['#Angler]]</f>
        <v>5.9</v>
      </c>
      <c r="O237" t="s">
        <v>25</v>
      </c>
      <c r="P237" t="s">
        <v>242</v>
      </c>
      <c r="Q237" t="s">
        <v>247</v>
      </c>
      <c r="R237" s="11">
        <v>0</v>
      </c>
      <c r="S237">
        <v>1</v>
      </c>
      <c r="T237">
        <v>0</v>
      </c>
      <c r="U237" s="11">
        <v>0</v>
      </c>
      <c r="V237">
        <v>0</v>
      </c>
      <c r="W237">
        <v>0</v>
      </c>
      <c r="X237" s="11">
        <f t="shared" si="12"/>
        <v>0</v>
      </c>
      <c r="Y237">
        <f t="shared" si="12"/>
        <v>1</v>
      </c>
      <c r="Z237">
        <f t="shared" si="12"/>
        <v>0</v>
      </c>
      <c r="AA237" s="11"/>
    </row>
    <row r="238" spans="1:28" x14ac:dyDescent="0.3">
      <c r="A238" s="7">
        <v>45549</v>
      </c>
      <c r="B238">
        <v>4</v>
      </c>
      <c r="C238" t="s">
        <v>250</v>
      </c>
      <c r="D238" t="s">
        <v>42</v>
      </c>
      <c r="E238">
        <v>14</v>
      </c>
      <c r="F238">
        <v>1</v>
      </c>
      <c r="G238">
        <v>1</v>
      </c>
      <c r="H238" t="s">
        <v>35</v>
      </c>
      <c r="I238">
        <v>3</v>
      </c>
      <c r="J238" s="10">
        <v>0.66666666666666663</v>
      </c>
      <c r="K238" s="10">
        <v>0.7715277777777777</v>
      </c>
      <c r="L238" s="10">
        <f t="shared" si="11"/>
        <v>0.10486111111111107</v>
      </c>
      <c r="M238" s="12">
        <f t="shared" si="10"/>
        <v>2.5166666666666657</v>
      </c>
      <c r="N238" s="12">
        <f>Table35[[#This Row],[Trip Hours]]*Table35[[#This Row],['#Angler]]</f>
        <v>7.5499999999999972</v>
      </c>
      <c r="O238" t="s">
        <v>25</v>
      </c>
      <c r="P238" t="s">
        <v>266</v>
      </c>
      <c r="Q238" t="s">
        <v>247</v>
      </c>
      <c r="R238" s="11">
        <v>0</v>
      </c>
      <c r="S238">
        <v>0</v>
      </c>
      <c r="T238">
        <v>0</v>
      </c>
      <c r="U238" s="11">
        <v>0</v>
      </c>
      <c r="V238">
        <v>0</v>
      </c>
      <c r="W238">
        <v>0</v>
      </c>
      <c r="X238" s="11">
        <f t="shared" si="12"/>
        <v>0</v>
      </c>
      <c r="Y238">
        <f t="shared" si="12"/>
        <v>0</v>
      </c>
      <c r="Z238">
        <f t="shared" si="12"/>
        <v>0</v>
      </c>
      <c r="AA238" s="11"/>
    </row>
    <row r="239" spans="1:28" x14ac:dyDescent="0.3">
      <c r="A239" s="7">
        <v>45560</v>
      </c>
      <c r="B239">
        <v>6</v>
      </c>
      <c r="C239" t="s">
        <v>236</v>
      </c>
      <c r="D239" t="s">
        <v>26</v>
      </c>
      <c r="E239">
        <v>1</v>
      </c>
      <c r="F239">
        <v>2</v>
      </c>
      <c r="G239">
        <v>5</v>
      </c>
      <c r="H239" t="s">
        <v>27</v>
      </c>
      <c r="I239">
        <v>2</v>
      </c>
      <c r="J239" s="10">
        <v>0.38194444444444442</v>
      </c>
      <c r="K239" s="10">
        <v>0.3923611111111111</v>
      </c>
      <c r="L239" s="10">
        <f t="shared" si="11"/>
        <v>1.0416666666666685E-2</v>
      </c>
      <c r="M239" s="12">
        <f t="shared" si="10"/>
        <v>0.25000000000000044</v>
      </c>
      <c r="N239" s="12">
        <f>Table35[[#This Row],[Trip Hours]]*Table35[[#This Row],['#Angler]]</f>
        <v>0.50000000000000089</v>
      </c>
      <c r="O239" t="s">
        <v>25</v>
      </c>
      <c r="P239" t="s">
        <v>148</v>
      </c>
      <c r="Q239" t="s">
        <v>247</v>
      </c>
      <c r="R239" s="11">
        <v>0</v>
      </c>
      <c r="S239">
        <v>0</v>
      </c>
      <c r="T239">
        <v>0</v>
      </c>
      <c r="U239" s="11">
        <v>0</v>
      </c>
      <c r="V239">
        <v>0</v>
      </c>
      <c r="W239">
        <v>0</v>
      </c>
      <c r="X239" s="11">
        <f t="shared" si="12"/>
        <v>0</v>
      </c>
      <c r="Y239">
        <f t="shared" si="12"/>
        <v>0</v>
      </c>
      <c r="Z239">
        <f t="shared" si="12"/>
        <v>0</v>
      </c>
      <c r="AA239" s="11"/>
    </row>
    <row r="240" spans="1:28" x14ac:dyDescent="0.3">
      <c r="A240" s="7">
        <v>45560</v>
      </c>
      <c r="B240">
        <v>6</v>
      </c>
      <c r="C240" t="s">
        <v>236</v>
      </c>
      <c r="D240" t="s">
        <v>26</v>
      </c>
      <c r="E240">
        <v>2</v>
      </c>
      <c r="F240">
        <v>2</v>
      </c>
      <c r="G240">
        <v>3</v>
      </c>
      <c r="H240" t="s">
        <v>27</v>
      </c>
      <c r="I240">
        <v>1</v>
      </c>
      <c r="J240" s="10">
        <v>0.25</v>
      </c>
      <c r="K240" s="10">
        <v>0.43055555555555558</v>
      </c>
      <c r="L240" s="10">
        <f t="shared" si="11"/>
        <v>0.18055555555555558</v>
      </c>
      <c r="M240" s="12">
        <f t="shared" si="10"/>
        <v>4.3333333333333339</v>
      </c>
      <c r="N240" s="12">
        <f>Table35[[#This Row],[Trip Hours]]*Table35[[#This Row],['#Angler]]</f>
        <v>4.3333333333333339</v>
      </c>
      <c r="O240" t="s">
        <v>25</v>
      </c>
      <c r="P240" t="s">
        <v>252</v>
      </c>
      <c r="Q240" t="s">
        <v>241</v>
      </c>
      <c r="R240" s="11">
        <v>0</v>
      </c>
      <c r="S240">
        <v>4</v>
      </c>
      <c r="T240">
        <v>0</v>
      </c>
      <c r="U240" s="11">
        <v>0</v>
      </c>
      <c r="V240">
        <v>0</v>
      </c>
      <c r="W240">
        <v>0</v>
      </c>
      <c r="X240" s="11">
        <f t="shared" si="12"/>
        <v>0</v>
      </c>
      <c r="Y240">
        <f t="shared" si="12"/>
        <v>4</v>
      </c>
      <c r="Z240">
        <f t="shared" si="12"/>
        <v>0</v>
      </c>
      <c r="AA240" s="11"/>
      <c r="AB240" t="s">
        <v>302</v>
      </c>
    </row>
    <row r="241" spans="1:28" x14ac:dyDescent="0.3">
      <c r="A241" s="7">
        <v>45560</v>
      </c>
      <c r="B241">
        <v>6</v>
      </c>
      <c r="C241" t="s">
        <v>236</v>
      </c>
      <c r="D241" t="s">
        <v>42</v>
      </c>
      <c r="E241">
        <v>3</v>
      </c>
      <c r="F241">
        <v>2</v>
      </c>
      <c r="G241">
        <v>2</v>
      </c>
      <c r="H241" t="s">
        <v>27</v>
      </c>
      <c r="I241">
        <v>1</v>
      </c>
      <c r="J241" s="10">
        <v>0.54166666666666663</v>
      </c>
      <c r="K241" s="10">
        <v>0.66527777777777775</v>
      </c>
      <c r="L241" s="10">
        <f t="shared" si="11"/>
        <v>0.12361111111111112</v>
      </c>
      <c r="M241" s="12">
        <f t="shared" si="10"/>
        <v>2.9666666666666668</v>
      </c>
      <c r="N241" s="12">
        <f>Table35[[#This Row],[Trip Hours]]*Table35[[#This Row],['#Angler]]</f>
        <v>2.9666666666666668</v>
      </c>
      <c r="O241" t="s">
        <v>28</v>
      </c>
      <c r="P241" t="s">
        <v>56</v>
      </c>
      <c r="Q241" t="s">
        <v>241</v>
      </c>
      <c r="R241" s="11">
        <v>0</v>
      </c>
      <c r="S241">
        <v>0</v>
      </c>
      <c r="T241">
        <v>0</v>
      </c>
      <c r="U241" s="11">
        <v>0</v>
      </c>
      <c r="V241">
        <v>0</v>
      </c>
      <c r="W241">
        <v>0</v>
      </c>
      <c r="X241" s="11">
        <f t="shared" si="12"/>
        <v>0</v>
      </c>
      <c r="Y241">
        <f t="shared" si="12"/>
        <v>0</v>
      </c>
      <c r="Z241">
        <f t="shared" si="12"/>
        <v>0</v>
      </c>
      <c r="AA241" s="11"/>
    </row>
    <row r="242" spans="1:28" x14ac:dyDescent="0.3">
      <c r="A242" s="7">
        <v>45560</v>
      </c>
      <c r="B242">
        <v>6</v>
      </c>
      <c r="C242" t="s">
        <v>236</v>
      </c>
      <c r="D242" t="s">
        <v>42</v>
      </c>
      <c r="E242">
        <v>4</v>
      </c>
      <c r="F242">
        <v>2</v>
      </c>
      <c r="G242">
        <v>2</v>
      </c>
      <c r="H242" t="s">
        <v>27</v>
      </c>
      <c r="I242">
        <v>2</v>
      </c>
      <c r="J242" s="10">
        <v>0.66666666666666663</v>
      </c>
      <c r="K242" s="10">
        <v>0.66805555555555562</v>
      </c>
      <c r="L242" s="10">
        <f t="shared" si="11"/>
        <v>1.388888888888995E-3</v>
      </c>
      <c r="M242" s="12">
        <f t="shared" si="10"/>
        <v>3.3333333333335879E-2</v>
      </c>
      <c r="N242" s="12">
        <f>Table35[[#This Row],[Trip Hours]]*Table35[[#This Row],['#Angler]]</f>
        <v>6.6666666666671759E-2</v>
      </c>
      <c r="O242" t="s">
        <v>28</v>
      </c>
      <c r="P242" t="s">
        <v>56</v>
      </c>
      <c r="Q242" t="s">
        <v>238</v>
      </c>
      <c r="R242" s="11">
        <v>0</v>
      </c>
      <c r="S242">
        <v>0</v>
      </c>
      <c r="T242">
        <v>0</v>
      </c>
      <c r="U242" s="11">
        <v>0</v>
      </c>
      <c r="V242">
        <v>0</v>
      </c>
      <c r="W242">
        <v>0</v>
      </c>
      <c r="X242" s="11">
        <f t="shared" si="12"/>
        <v>0</v>
      </c>
      <c r="Y242">
        <f t="shared" si="12"/>
        <v>0</v>
      </c>
      <c r="Z242">
        <f t="shared" si="12"/>
        <v>0</v>
      </c>
      <c r="AA242" s="11"/>
    </row>
    <row r="243" spans="1:28" x14ac:dyDescent="0.3">
      <c r="A243" s="7">
        <v>45560</v>
      </c>
      <c r="B243">
        <v>6</v>
      </c>
      <c r="C243" t="s">
        <v>236</v>
      </c>
      <c r="D243" t="s">
        <v>42</v>
      </c>
      <c r="E243">
        <v>5</v>
      </c>
      <c r="F243">
        <v>2</v>
      </c>
      <c r="G243">
        <v>2</v>
      </c>
      <c r="H243" t="s">
        <v>27</v>
      </c>
      <c r="I243">
        <v>2</v>
      </c>
      <c r="J243" s="10">
        <v>0.67013888888888884</v>
      </c>
      <c r="K243" s="10">
        <v>0.6777777777777777</v>
      </c>
      <c r="L243" s="10">
        <f t="shared" si="11"/>
        <v>7.6388888888888618E-3</v>
      </c>
      <c r="M243" s="12">
        <f t="shared" si="10"/>
        <v>0.18333333333333268</v>
      </c>
      <c r="N243" s="12">
        <f>Table35[[#This Row],[Trip Hours]]*Table35[[#This Row],['#Angler]]</f>
        <v>0.36666666666666536</v>
      </c>
      <c r="O243" t="s">
        <v>28</v>
      </c>
      <c r="P243" t="s">
        <v>56</v>
      </c>
      <c r="Q243" t="s">
        <v>247</v>
      </c>
      <c r="R243" s="11">
        <v>0</v>
      </c>
      <c r="S243">
        <v>0</v>
      </c>
      <c r="T243">
        <v>0</v>
      </c>
      <c r="U243" s="11">
        <v>0</v>
      </c>
      <c r="V243">
        <v>0</v>
      </c>
      <c r="W243">
        <v>0</v>
      </c>
      <c r="X243" s="11">
        <f t="shared" si="12"/>
        <v>0</v>
      </c>
      <c r="Y243">
        <f t="shared" si="12"/>
        <v>0</v>
      </c>
      <c r="Z243">
        <f t="shared" si="12"/>
        <v>0</v>
      </c>
      <c r="AA243" s="11"/>
    </row>
    <row r="244" spans="1:28" x14ac:dyDescent="0.3">
      <c r="A244" s="7">
        <v>45560</v>
      </c>
      <c r="B244">
        <v>6</v>
      </c>
      <c r="C244" t="s">
        <v>236</v>
      </c>
      <c r="D244" t="s">
        <v>42</v>
      </c>
      <c r="E244">
        <v>6</v>
      </c>
      <c r="F244">
        <v>2</v>
      </c>
      <c r="G244">
        <v>2</v>
      </c>
      <c r="H244" t="s">
        <v>27</v>
      </c>
      <c r="I244">
        <v>6</v>
      </c>
      <c r="J244" s="10">
        <v>0.67708333333333337</v>
      </c>
      <c r="K244" s="10">
        <v>0.6791666666666667</v>
      </c>
      <c r="L244" s="10">
        <f t="shared" si="11"/>
        <v>2.0833333333333259E-3</v>
      </c>
      <c r="M244" s="12">
        <f t="shared" si="10"/>
        <v>4.9999999999999822E-2</v>
      </c>
      <c r="N244" s="12">
        <f>Table35[[#This Row],[Trip Hours]]*Table35[[#This Row],['#Angler]]</f>
        <v>0.29999999999999893</v>
      </c>
      <c r="O244" t="s">
        <v>28</v>
      </c>
      <c r="P244" t="s">
        <v>56</v>
      </c>
      <c r="Q244" t="s">
        <v>241</v>
      </c>
      <c r="R244" s="11">
        <v>0</v>
      </c>
      <c r="S244">
        <v>0</v>
      </c>
      <c r="T244">
        <v>0</v>
      </c>
      <c r="U244" s="11">
        <v>0</v>
      </c>
      <c r="V244">
        <v>0</v>
      </c>
      <c r="W244">
        <v>0</v>
      </c>
      <c r="X244" s="11">
        <f t="shared" si="12"/>
        <v>0</v>
      </c>
      <c r="Y244">
        <f t="shared" si="12"/>
        <v>0</v>
      </c>
      <c r="Z244">
        <f t="shared" si="12"/>
        <v>0</v>
      </c>
      <c r="AA244" s="11"/>
    </row>
    <row r="245" spans="1:28" x14ac:dyDescent="0.3">
      <c r="A245" s="7">
        <v>45560</v>
      </c>
      <c r="B245">
        <v>6</v>
      </c>
      <c r="C245" t="s">
        <v>236</v>
      </c>
      <c r="D245" t="s">
        <v>42</v>
      </c>
      <c r="E245">
        <v>7</v>
      </c>
      <c r="F245">
        <v>2</v>
      </c>
      <c r="G245">
        <v>2</v>
      </c>
      <c r="H245" t="s">
        <v>27</v>
      </c>
      <c r="I245">
        <v>2</v>
      </c>
      <c r="J245" s="10">
        <v>0.65625</v>
      </c>
      <c r="K245" s="10">
        <v>0.6875</v>
      </c>
      <c r="L245" s="10">
        <f t="shared" si="11"/>
        <v>3.125E-2</v>
      </c>
      <c r="M245" s="12">
        <f t="shared" si="10"/>
        <v>0.75</v>
      </c>
      <c r="N245" s="12">
        <f>Table35[[#This Row],[Trip Hours]]*Table35[[#This Row],['#Angler]]</f>
        <v>1.5</v>
      </c>
      <c r="O245" t="s">
        <v>28</v>
      </c>
      <c r="P245" t="s">
        <v>303</v>
      </c>
      <c r="Q245" t="s">
        <v>238</v>
      </c>
      <c r="R245" s="11">
        <v>0</v>
      </c>
      <c r="S245">
        <v>0</v>
      </c>
      <c r="T245">
        <v>0</v>
      </c>
      <c r="U245" s="11">
        <v>0</v>
      </c>
      <c r="V245">
        <v>0</v>
      </c>
      <c r="W245">
        <v>0</v>
      </c>
      <c r="X245" s="11">
        <f t="shared" si="12"/>
        <v>0</v>
      </c>
      <c r="Y245">
        <f t="shared" si="12"/>
        <v>0</v>
      </c>
      <c r="Z245">
        <f t="shared" si="12"/>
        <v>0</v>
      </c>
      <c r="AA245" s="11"/>
    </row>
    <row r="246" spans="1:28" x14ac:dyDescent="0.3">
      <c r="A246" s="7">
        <v>45560</v>
      </c>
      <c r="B246">
        <v>6</v>
      </c>
      <c r="C246" t="s">
        <v>236</v>
      </c>
      <c r="D246" t="s">
        <v>42</v>
      </c>
      <c r="E246">
        <v>8</v>
      </c>
      <c r="F246">
        <v>2</v>
      </c>
      <c r="G246">
        <v>2</v>
      </c>
      <c r="H246" t="s">
        <v>27</v>
      </c>
      <c r="I246">
        <v>1</v>
      </c>
      <c r="J246" s="10">
        <v>0.60416666666666663</v>
      </c>
      <c r="K246" s="10">
        <v>0.6875</v>
      </c>
      <c r="L246" s="10">
        <f t="shared" si="11"/>
        <v>8.333333333333337E-2</v>
      </c>
      <c r="M246" s="12">
        <f t="shared" si="10"/>
        <v>2.0000000000000009</v>
      </c>
      <c r="N246" s="12">
        <f>Table35[[#This Row],[Trip Hours]]*Table35[[#This Row],['#Angler]]</f>
        <v>2.0000000000000009</v>
      </c>
      <c r="O246" t="s">
        <v>28</v>
      </c>
      <c r="P246" t="s">
        <v>56</v>
      </c>
      <c r="Q246" t="s">
        <v>241</v>
      </c>
      <c r="R246" s="11">
        <v>0</v>
      </c>
      <c r="S246">
        <v>0</v>
      </c>
      <c r="T246">
        <v>0</v>
      </c>
      <c r="U246" s="11">
        <v>0</v>
      </c>
      <c r="V246">
        <v>0</v>
      </c>
      <c r="W246">
        <v>0</v>
      </c>
      <c r="X246" s="11">
        <f t="shared" si="12"/>
        <v>0</v>
      </c>
      <c r="Y246">
        <f t="shared" si="12"/>
        <v>0</v>
      </c>
      <c r="Z246">
        <f t="shared" si="12"/>
        <v>0</v>
      </c>
      <c r="AA246" s="11"/>
    </row>
    <row r="247" spans="1:28" x14ac:dyDescent="0.3">
      <c r="A247" s="7">
        <v>45560</v>
      </c>
      <c r="B247">
        <v>6</v>
      </c>
      <c r="C247" t="s">
        <v>236</v>
      </c>
      <c r="D247" t="s">
        <v>42</v>
      </c>
      <c r="E247">
        <v>9</v>
      </c>
      <c r="F247">
        <v>2</v>
      </c>
      <c r="G247">
        <v>2</v>
      </c>
      <c r="H247" t="s">
        <v>27</v>
      </c>
      <c r="I247">
        <v>2</v>
      </c>
      <c r="J247" s="10">
        <v>0.67361111111111116</v>
      </c>
      <c r="K247" s="10">
        <v>0.69444444444444453</v>
      </c>
      <c r="L247" s="10">
        <f t="shared" si="11"/>
        <v>2.083333333333337E-2</v>
      </c>
      <c r="M247" s="12">
        <f t="shared" si="10"/>
        <v>0.50000000000000089</v>
      </c>
      <c r="N247" s="12">
        <f>Table35[[#This Row],[Trip Hours]]*Table35[[#This Row],['#Angler]]</f>
        <v>1.0000000000000018</v>
      </c>
      <c r="O247" t="s">
        <v>28</v>
      </c>
      <c r="P247" t="s">
        <v>294</v>
      </c>
      <c r="Q247" t="s">
        <v>247</v>
      </c>
      <c r="R247" s="11">
        <v>0</v>
      </c>
      <c r="S247">
        <v>0</v>
      </c>
      <c r="T247">
        <v>0</v>
      </c>
      <c r="U247" s="11">
        <v>0</v>
      </c>
      <c r="V247">
        <v>0</v>
      </c>
      <c r="W247">
        <v>0</v>
      </c>
      <c r="X247" s="11">
        <f t="shared" si="12"/>
        <v>0</v>
      </c>
      <c r="Y247">
        <f t="shared" si="12"/>
        <v>0</v>
      </c>
      <c r="Z247">
        <f t="shared" si="12"/>
        <v>0</v>
      </c>
      <c r="AA247" s="11"/>
    </row>
    <row r="248" spans="1:28" x14ac:dyDescent="0.3">
      <c r="A248" s="7">
        <v>45560</v>
      </c>
      <c r="B248">
        <v>6</v>
      </c>
      <c r="C248" t="s">
        <v>236</v>
      </c>
      <c r="D248" t="s">
        <v>42</v>
      </c>
      <c r="E248">
        <v>10</v>
      </c>
      <c r="F248">
        <v>2</v>
      </c>
      <c r="G248">
        <v>2</v>
      </c>
      <c r="H248" t="s">
        <v>27</v>
      </c>
      <c r="I248">
        <v>1</v>
      </c>
      <c r="J248" s="10">
        <v>0.65277777777777779</v>
      </c>
      <c r="K248" s="10">
        <v>0.69513888888888886</v>
      </c>
      <c r="L248" s="10">
        <f t="shared" si="11"/>
        <v>4.2361111111111072E-2</v>
      </c>
      <c r="M248" s="12">
        <f t="shared" si="10"/>
        <v>1.0166666666666657</v>
      </c>
      <c r="N248" s="12">
        <f>Table35[[#This Row],[Trip Hours]]*Table35[[#This Row],['#Angler]]</f>
        <v>1.0166666666666657</v>
      </c>
      <c r="O248" t="s">
        <v>28</v>
      </c>
      <c r="P248" t="s">
        <v>49</v>
      </c>
      <c r="Q248" t="s">
        <v>247</v>
      </c>
      <c r="R248" s="11">
        <v>0</v>
      </c>
      <c r="S248">
        <v>0</v>
      </c>
      <c r="T248">
        <v>0</v>
      </c>
      <c r="U248" s="11">
        <v>0</v>
      </c>
      <c r="V248">
        <v>0</v>
      </c>
      <c r="W248">
        <v>0</v>
      </c>
      <c r="X248" s="11">
        <f t="shared" si="12"/>
        <v>0</v>
      </c>
      <c r="Y248">
        <f t="shared" si="12"/>
        <v>0</v>
      </c>
      <c r="Z248">
        <f t="shared" si="12"/>
        <v>0</v>
      </c>
      <c r="AA248" s="11"/>
    </row>
    <row r="249" spans="1:28" x14ac:dyDescent="0.3">
      <c r="A249" s="7">
        <v>45560</v>
      </c>
      <c r="B249">
        <v>6</v>
      </c>
      <c r="C249" t="s">
        <v>236</v>
      </c>
      <c r="D249" t="s">
        <v>42</v>
      </c>
      <c r="E249">
        <v>11</v>
      </c>
      <c r="F249">
        <v>2</v>
      </c>
      <c r="G249">
        <v>2</v>
      </c>
      <c r="H249" t="s">
        <v>27</v>
      </c>
      <c r="I249">
        <v>2</v>
      </c>
      <c r="J249" s="10">
        <v>0.70833333333333337</v>
      </c>
      <c r="K249" s="10">
        <v>0.71875</v>
      </c>
      <c r="L249" s="10">
        <f t="shared" si="11"/>
        <v>1.041666666666663E-2</v>
      </c>
      <c r="M249" s="12">
        <f t="shared" si="10"/>
        <v>0.24999999999999911</v>
      </c>
      <c r="N249" s="12">
        <f>Table35[[#This Row],[Trip Hours]]*Table35[[#This Row],['#Angler]]</f>
        <v>0.49999999999999822</v>
      </c>
      <c r="O249" t="s">
        <v>28</v>
      </c>
      <c r="P249" t="s">
        <v>91</v>
      </c>
      <c r="Q249" t="s">
        <v>247</v>
      </c>
      <c r="R249" s="11">
        <v>0</v>
      </c>
      <c r="S249">
        <v>0</v>
      </c>
      <c r="T249">
        <v>0</v>
      </c>
      <c r="U249" s="11">
        <v>0</v>
      </c>
      <c r="V249">
        <v>0</v>
      </c>
      <c r="W249">
        <v>0</v>
      </c>
      <c r="X249" s="11">
        <f t="shared" si="12"/>
        <v>0</v>
      </c>
      <c r="Y249">
        <f t="shared" si="12"/>
        <v>0</v>
      </c>
      <c r="Z249">
        <f t="shared" si="12"/>
        <v>0</v>
      </c>
      <c r="AA249" s="11"/>
    </row>
    <row r="250" spans="1:28" x14ac:dyDescent="0.3">
      <c r="A250" s="7">
        <v>45560</v>
      </c>
      <c r="B250">
        <v>6</v>
      </c>
      <c r="C250" t="s">
        <v>236</v>
      </c>
      <c r="D250" t="s">
        <v>42</v>
      </c>
      <c r="E250">
        <v>12</v>
      </c>
      <c r="F250">
        <v>2</v>
      </c>
      <c r="G250">
        <v>3</v>
      </c>
      <c r="H250" t="s">
        <v>27</v>
      </c>
      <c r="I250">
        <v>1</v>
      </c>
      <c r="J250" s="10">
        <v>0.6875</v>
      </c>
      <c r="K250" s="10">
        <v>0.73611111111111116</v>
      </c>
      <c r="L250" s="10">
        <f t="shared" si="11"/>
        <v>4.861111111111116E-2</v>
      </c>
      <c r="M250" s="12">
        <f t="shared" si="10"/>
        <v>1.1666666666666679</v>
      </c>
      <c r="N250" s="12">
        <f>Table35[[#This Row],[Trip Hours]]*Table35[[#This Row],['#Angler]]</f>
        <v>1.1666666666666679</v>
      </c>
      <c r="O250" t="s">
        <v>28</v>
      </c>
      <c r="P250" t="s">
        <v>56</v>
      </c>
      <c r="Q250" t="s">
        <v>241</v>
      </c>
      <c r="R250" s="11">
        <v>0</v>
      </c>
      <c r="S250">
        <v>0</v>
      </c>
      <c r="T250">
        <v>0</v>
      </c>
      <c r="U250" s="11">
        <v>0</v>
      </c>
      <c r="V250">
        <v>0</v>
      </c>
      <c r="W250">
        <v>0</v>
      </c>
      <c r="X250" s="11">
        <f t="shared" si="12"/>
        <v>0</v>
      </c>
      <c r="Y250">
        <f t="shared" si="12"/>
        <v>0</v>
      </c>
      <c r="Z250">
        <f t="shared" si="12"/>
        <v>0</v>
      </c>
      <c r="AA250" s="11"/>
    </row>
    <row r="251" spans="1:28" x14ac:dyDescent="0.3">
      <c r="A251" s="7">
        <v>45560</v>
      </c>
      <c r="B251">
        <v>6</v>
      </c>
      <c r="C251" t="s">
        <v>236</v>
      </c>
      <c r="D251" t="s">
        <v>42</v>
      </c>
      <c r="E251">
        <v>13</v>
      </c>
      <c r="F251">
        <v>2</v>
      </c>
      <c r="G251">
        <v>3</v>
      </c>
      <c r="H251" t="s">
        <v>27</v>
      </c>
      <c r="I251">
        <v>1</v>
      </c>
      <c r="J251" s="10">
        <v>0.74652777777777779</v>
      </c>
      <c r="K251" s="10">
        <v>0.74861111111111101</v>
      </c>
      <c r="L251" s="10">
        <f t="shared" si="11"/>
        <v>2.0833333333332149E-3</v>
      </c>
      <c r="M251" s="12">
        <f t="shared" si="10"/>
        <v>4.9999999999997158E-2</v>
      </c>
      <c r="N251" s="12">
        <f>Table35[[#This Row],[Trip Hours]]*Table35[[#This Row],['#Angler]]</f>
        <v>4.9999999999997158E-2</v>
      </c>
      <c r="O251" t="s">
        <v>28</v>
      </c>
      <c r="P251" t="s">
        <v>56</v>
      </c>
      <c r="Q251" t="s">
        <v>241</v>
      </c>
      <c r="R251" s="11">
        <v>0</v>
      </c>
      <c r="S251">
        <v>0</v>
      </c>
      <c r="T251">
        <v>0</v>
      </c>
      <c r="U251" s="11">
        <v>0</v>
      </c>
      <c r="V251">
        <v>0</v>
      </c>
      <c r="W251">
        <v>0</v>
      </c>
      <c r="X251" s="11">
        <f t="shared" si="12"/>
        <v>0</v>
      </c>
      <c r="Y251">
        <f t="shared" si="12"/>
        <v>0</v>
      </c>
      <c r="Z251">
        <f t="shared" si="12"/>
        <v>0</v>
      </c>
      <c r="AA251" s="11"/>
    </row>
    <row r="252" spans="1:28" x14ac:dyDescent="0.3">
      <c r="A252" s="7">
        <v>45560</v>
      </c>
      <c r="B252">
        <v>6</v>
      </c>
      <c r="C252" t="s">
        <v>236</v>
      </c>
      <c r="D252" t="s">
        <v>42</v>
      </c>
      <c r="E252">
        <v>14</v>
      </c>
      <c r="F252">
        <v>2</v>
      </c>
      <c r="G252">
        <v>3</v>
      </c>
      <c r="H252" t="s">
        <v>27</v>
      </c>
      <c r="I252">
        <v>1</v>
      </c>
      <c r="J252" s="10">
        <v>0.67708333333333337</v>
      </c>
      <c r="K252" s="10">
        <v>0.75</v>
      </c>
      <c r="L252" s="10">
        <f t="shared" si="11"/>
        <v>7.291666666666663E-2</v>
      </c>
      <c r="M252" s="12">
        <f t="shared" si="10"/>
        <v>1.7499999999999991</v>
      </c>
      <c r="N252" s="12">
        <f>Table35[[#This Row],[Trip Hours]]*Table35[[#This Row],['#Angler]]</f>
        <v>1.7499999999999991</v>
      </c>
      <c r="O252" t="s">
        <v>28</v>
      </c>
      <c r="P252" t="s">
        <v>298</v>
      </c>
      <c r="Q252" t="s">
        <v>247</v>
      </c>
      <c r="R252" s="11">
        <v>1</v>
      </c>
      <c r="S252">
        <v>0</v>
      </c>
      <c r="T252">
        <v>0</v>
      </c>
      <c r="U252" s="11">
        <v>0</v>
      </c>
      <c r="V252">
        <v>0</v>
      </c>
      <c r="W252">
        <v>0</v>
      </c>
      <c r="X252" s="11">
        <f t="shared" si="12"/>
        <v>1</v>
      </c>
      <c r="Y252">
        <f t="shared" si="12"/>
        <v>0</v>
      </c>
      <c r="Z252">
        <f t="shared" si="12"/>
        <v>0</v>
      </c>
      <c r="AA252" s="11"/>
      <c r="AB252" t="s">
        <v>175</v>
      </c>
    </row>
    <row r="253" spans="1:28" x14ac:dyDescent="0.3">
      <c r="A253" s="7">
        <v>45561</v>
      </c>
      <c r="B253">
        <v>6</v>
      </c>
      <c r="C253" t="s">
        <v>236</v>
      </c>
      <c r="D253" t="s">
        <v>26</v>
      </c>
      <c r="E253">
        <v>1</v>
      </c>
      <c r="F253">
        <v>2</v>
      </c>
      <c r="G253">
        <v>2</v>
      </c>
      <c r="H253" t="s">
        <v>27</v>
      </c>
      <c r="I253">
        <v>1</v>
      </c>
      <c r="J253" s="10">
        <v>0.29166666666666669</v>
      </c>
      <c r="K253" s="10">
        <v>0.41666666666666669</v>
      </c>
      <c r="L253" s="10">
        <f t="shared" si="11"/>
        <v>0.125</v>
      </c>
      <c r="M253" s="12">
        <f t="shared" si="10"/>
        <v>3</v>
      </c>
      <c r="N253" s="12">
        <f>Table35[[#This Row],[Trip Hours]]*Table35[[#This Row],['#Angler]]</f>
        <v>3</v>
      </c>
      <c r="O253" t="s">
        <v>25</v>
      </c>
      <c r="P253" t="s">
        <v>304</v>
      </c>
      <c r="Q253" t="s">
        <v>247</v>
      </c>
      <c r="R253" s="11">
        <v>0</v>
      </c>
      <c r="S253">
        <v>2</v>
      </c>
      <c r="T253">
        <v>0</v>
      </c>
      <c r="U253" s="11">
        <v>0</v>
      </c>
      <c r="V253">
        <v>0</v>
      </c>
      <c r="W253">
        <v>0</v>
      </c>
      <c r="X253" s="11">
        <f t="shared" si="12"/>
        <v>0</v>
      </c>
      <c r="Y253">
        <f t="shared" si="12"/>
        <v>2</v>
      </c>
      <c r="Z253">
        <f t="shared" si="12"/>
        <v>0</v>
      </c>
      <c r="AA253" s="11"/>
    </row>
    <row r="254" spans="1:28" x14ac:dyDescent="0.3">
      <c r="A254" s="7">
        <v>45561</v>
      </c>
      <c r="B254">
        <v>6</v>
      </c>
      <c r="C254" t="s">
        <v>236</v>
      </c>
      <c r="D254" t="s">
        <v>42</v>
      </c>
      <c r="E254">
        <v>2</v>
      </c>
      <c r="F254">
        <v>2</v>
      </c>
      <c r="G254">
        <v>5</v>
      </c>
      <c r="H254" t="s">
        <v>27</v>
      </c>
      <c r="I254">
        <v>1</v>
      </c>
      <c r="J254" s="10">
        <v>0.625</v>
      </c>
      <c r="K254" s="10">
        <v>0.65138888888888891</v>
      </c>
      <c r="L254" s="10">
        <f t="shared" si="11"/>
        <v>2.6388888888888906E-2</v>
      </c>
      <c r="M254" s="12">
        <f t="shared" si="10"/>
        <v>0.63333333333333375</v>
      </c>
      <c r="N254" s="12">
        <f>Table35[[#This Row],[Trip Hours]]*Table35[[#This Row],['#Angler]]</f>
        <v>0.63333333333333375</v>
      </c>
      <c r="O254" t="s">
        <v>28</v>
      </c>
      <c r="P254" t="s">
        <v>252</v>
      </c>
      <c r="Q254" t="s">
        <v>237</v>
      </c>
      <c r="R254" s="11">
        <v>0</v>
      </c>
      <c r="S254">
        <v>0</v>
      </c>
      <c r="T254">
        <v>0</v>
      </c>
      <c r="U254" s="11">
        <v>0</v>
      </c>
      <c r="V254">
        <v>0</v>
      </c>
      <c r="W254">
        <v>0</v>
      </c>
      <c r="X254" s="11">
        <f t="shared" si="12"/>
        <v>0</v>
      </c>
      <c r="Y254">
        <f t="shared" si="12"/>
        <v>0</v>
      </c>
      <c r="Z254">
        <f t="shared" si="12"/>
        <v>0</v>
      </c>
      <c r="AA254" s="11"/>
    </row>
    <row r="255" spans="1:28" x14ac:dyDescent="0.3">
      <c r="A255" s="7">
        <v>45561</v>
      </c>
      <c r="B255">
        <v>6</v>
      </c>
      <c r="C255" t="s">
        <v>236</v>
      </c>
      <c r="D255" t="s">
        <v>42</v>
      </c>
      <c r="E255">
        <v>3</v>
      </c>
      <c r="F255">
        <v>2</v>
      </c>
      <c r="G255">
        <v>5</v>
      </c>
      <c r="H255" t="s">
        <v>27</v>
      </c>
      <c r="I255">
        <v>1</v>
      </c>
      <c r="J255" s="10">
        <v>0.56944444444444442</v>
      </c>
      <c r="K255" s="10">
        <v>0.65277777777777779</v>
      </c>
      <c r="L255" s="10">
        <f t="shared" si="11"/>
        <v>8.333333333333337E-2</v>
      </c>
      <c r="M255" s="12">
        <f t="shared" si="10"/>
        <v>2.0000000000000009</v>
      </c>
      <c r="N255" s="12">
        <f>Table35[[#This Row],[Trip Hours]]*Table35[[#This Row],['#Angler]]</f>
        <v>2.0000000000000009</v>
      </c>
      <c r="O255" t="s">
        <v>28</v>
      </c>
      <c r="P255" t="s">
        <v>305</v>
      </c>
      <c r="Q255" t="s">
        <v>241</v>
      </c>
      <c r="R255" s="11">
        <v>0</v>
      </c>
      <c r="S255">
        <v>0</v>
      </c>
      <c r="T255">
        <v>0</v>
      </c>
      <c r="U255" s="11">
        <v>0</v>
      </c>
      <c r="V255">
        <v>0</v>
      </c>
      <c r="W255">
        <v>0</v>
      </c>
      <c r="X255" s="11">
        <f t="shared" si="12"/>
        <v>0</v>
      </c>
      <c r="Y255">
        <f t="shared" si="12"/>
        <v>0</v>
      </c>
      <c r="Z255">
        <f t="shared" si="12"/>
        <v>0</v>
      </c>
      <c r="AA255" s="11"/>
    </row>
    <row r="256" spans="1:28" x14ac:dyDescent="0.3">
      <c r="A256" s="7">
        <v>45561</v>
      </c>
      <c r="B256">
        <v>6</v>
      </c>
      <c r="C256" t="s">
        <v>236</v>
      </c>
      <c r="D256" t="s">
        <v>42</v>
      </c>
      <c r="E256">
        <v>4</v>
      </c>
      <c r="F256">
        <v>2</v>
      </c>
      <c r="G256">
        <v>4</v>
      </c>
      <c r="H256" t="s">
        <v>27</v>
      </c>
      <c r="I256">
        <v>1</v>
      </c>
      <c r="J256" s="10">
        <v>0.61458333333333337</v>
      </c>
      <c r="K256" s="10">
        <v>0.67013888888888884</v>
      </c>
      <c r="L256" s="10">
        <f t="shared" si="11"/>
        <v>5.5555555555555469E-2</v>
      </c>
      <c r="M256" s="12">
        <f t="shared" si="10"/>
        <v>1.3333333333333313</v>
      </c>
      <c r="N256" s="12">
        <f>Table35[[#This Row],[Trip Hours]]*Table35[[#This Row],['#Angler]]</f>
        <v>1.3333333333333313</v>
      </c>
      <c r="O256" t="s">
        <v>28</v>
      </c>
      <c r="P256" t="s">
        <v>56</v>
      </c>
      <c r="Q256" t="s">
        <v>247</v>
      </c>
      <c r="R256" s="11">
        <v>0</v>
      </c>
      <c r="S256">
        <v>0</v>
      </c>
      <c r="T256">
        <v>0</v>
      </c>
      <c r="U256" s="11">
        <v>0</v>
      </c>
      <c r="V256">
        <v>0</v>
      </c>
      <c r="W256">
        <v>0</v>
      </c>
      <c r="X256" s="11">
        <f t="shared" si="12"/>
        <v>0</v>
      </c>
      <c r="Y256">
        <f t="shared" si="12"/>
        <v>0</v>
      </c>
      <c r="Z256">
        <f t="shared" si="12"/>
        <v>0</v>
      </c>
      <c r="AA256" s="11"/>
    </row>
    <row r="257" spans="1:27" x14ac:dyDescent="0.3">
      <c r="A257" s="7">
        <v>45561</v>
      </c>
      <c r="B257">
        <v>6</v>
      </c>
      <c r="C257" t="s">
        <v>236</v>
      </c>
      <c r="D257" t="s">
        <v>42</v>
      </c>
      <c r="E257">
        <v>5</v>
      </c>
      <c r="F257">
        <v>2</v>
      </c>
      <c r="G257">
        <v>4</v>
      </c>
      <c r="H257" t="s">
        <v>27</v>
      </c>
      <c r="I257">
        <v>1</v>
      </c>
      <c r="J257" s="10">
        <v>0.64583333333333337</v>
      </c>
      <c r="K257" s="10">
        <v>0.67013888888888884</v>
      </c>
      <c r="L257" s="10">
        <f t="shared" si="11"/>
        <v>2.4305555555555469E-2</v>
      </c>
      <c r="M257" s="12">
        <f t="shared" si="10"/>
        <v>0.58333333333333126</v>
      </c>
      <c r="N257" s="12">
        <f>Table35[[#This Row],[Trip Hours]]*Table35[[#This Row],['#Angler]]</f>
        <v>0.58333333333333126</v>
      </c>
      <c r="O257" t="s">
        <v>28</v>
      </c>
      <c r="P257" t="s">
        <v>56</v>
      </c>
      <c r="Q257" t="s">
        <v>247</v>
      </c>
      <c r="R257" s="11">
        <v>0</v>
      </c>
      <c r="S257">
        <v>0</v>
      </c>
      <c r="T257">
        <v>0</v>
      </c>
      <c r="U257" s="11">
        <v>0</v>
      </c>
      <c r="V257">
        <v>0</v>
      </c>
      <c r="W257">
        <v>0</v>
      </c>
      <c r="X257" s="11">
        <f t="shared" si="12"/>
        <v>0</v>
      </c>
      <c r="Y257">
        <f t="shared" si="12"/>
        <v>0</v>
      </c>
      <c r="Z257">
        <f t="shared" si="12"/>
        <v>0</v>
      </c>
      <c r="AA257" s="11"/>
    </row>
    <row r="258" spans="1:27" x14ac:dyDescent="0.3">
      <c r="A258" s="7">
        <v>45561</v>
      </c>
      <c r="B258">
        <v>6</v>
      </c>
      <c r="C258" t="s">
        <v>236</v>
      </c>
      <c r="D258" t="s">
        <v>42</v>
      </c>
      <c r="E258">
        <v>6</v>
      </c>
      <c r="F258">
        <v>2</v>
      </c>
      <c r="G258">
        <v>4</v>
      </c>
      <c r="H258" t="s">
        <v>27</v>
      </c>
      <c r="I258">
        <v>1</v>
      </c>
      <c r="J258" s="10">
        <v>0.65625</v>
      </c>
      <c r="K258" s="10">
        <v>0.67013888888888884</v>
      </c>
      <c r="L258" s="10">
        <f t="shared" si="11"/>
        <v>1.388888888888884E-2</v>
      </c>
      <c r="M258" s="12">
        <f t="shared" ref="M258:M321" si="13">L258*24</f>
        <v>0.33333333333333215</v>
      </c>
      <c r="N258" s="12">
        <f>Table35[[#This Row],[Trip Hours]]*Table35[[#This Row],['#Angler]]</f>
        <v>0.33333333333333215</v>
      </c>
      <c r="O258" t="s">
        <v>28</v>
      </c>
      <c r="P258" t="s">
        <v>29</v>
      </c>
      <c r="Q258" t="s">
        <v>241</v>
      </c>
      <c r="R258" s="11">
        <v>0</v>
      </c>
      <c r="S258">
        <v>0</v>
      </c>
      <c r="T258">
        <v>0</v>
      </c>
      <c r="U258" s="11">
        <v>0</v>
      </c>
      <c r="V258">
        <v>0</v>
      </c>
      <c r="W258">
        <v>0</v>
      </c>
      <c r="X258" s="11">
        <f t="shared" si="12"/>
        <v>0</v>
      </c>
      <c r="Y258">
        <f t="shared" si="12"/>
        <v>0</v>
      </c>
      <c r="Z258">
        <f t="shared" si="12"/>
        <v>0</v>
      </c>
      <c r="AA258" s="11"/>
    </row>
    <row r="259" spans="1:27" x14ac:dyDescent="0.3">
      <c r="A259" s="7">
        <v>45561</v>
      </c>
      <c r="B259">
        <v>6</v>
      </c>
      <c r="C259" t="s">
        <v>236</v>
      </c>
      <c r="D259" t="s">
        <v>42</v>
      </c>
      <c r="E259">
        <v>7</v>
      </c>
      <c r="F259">
        <v>2</v>
      </c>
      <c r="G259">
        <v>3</v>
      </c>
      <c r="H259" t="s">
        <v>27</v>
      </c>
      <c r="I259">
        <v>1</v>
      </c>
      <c r="J259" s="10">
        <v>0.625</v>
      </c>
      <c r="K259" s="10">
        <v>0.68819444444444444</v>
      </c>
      <c r="L259" s="10">
        <f t="shared" si="11"/>
        <v>6.3194444444444442E-2</v>
      </c>
      <c r="M259" s="12">
        <f t="shared" si="13"/>
        <v>1.5166666666666666</v>
      </c>
      <c r="N259" s="12">
        <f>Table35[[#This Row],[Trip Hours]]*Table35[[#This Row],['#Angler]]</f>
        <v>1.5166666666666666</v>
      </c>
      <c r="O259" t="s">
        <v>28</v>
      </c>
      <c r="P259" t="s">
        <v>269</v>
      </c>
      <c r="Q259" t="s">
        <v>238</v>
      </c>
      <c r="R259" s="11">
        <v>0</v>
      </c>
      <c r="S259">
        <v>0</v>
      </c>
      <c r="T259">
        <v>0</v>
      </c>
      <c r="U259" s="11">
        <v>0</v>
      </c>
      <c r="V259">
        <v>0</v>
      </c>
      <c r="W259">
        <v>0</v>
      </c>
      <c r="X259" s="11">
        <f t="shared" si="12"/>
        <v>0</v>
      </c>
      <c r="Y259">
        <f t="shared" si="12"/>
        <v>0</v>
      </c>
      <c r="Z259">
        <f t="shared" si="12"/>
        <v>0</v>
      </c>
      <c r="AA259" s="11"/>
    </row>
    <row r="260" spans="1:27" x14ac:dyDescent="0.3">
      <c r="A260" s="7">
        <v>45561</v>
      </c>
      <c r="B260">
        <v>6</v>
      </c>
      <c r="C260" t="s">
        <v>236</v>
      </c>
      <c r="D260" t="s">
        <v>42</v>
      </c>
      <c r="E260">
        <v>8</v>
      </c>
      <c r="F260">
        <v>2</v>
      </c>
      <c r="G260">
        <v>3</v>
      </c>
      <c r="H260" t="s">
        <v>27</v>
      </c>
      <c r="I260">
        <v>1</v>
      </c>
      <c r="J260" s="10">
        <v>0.63194444444444442</v>
      </c>
      <c r="K260" s="10">
        <v>0.69444444444444453</v>
      </c>
      <c r="L260" s="10">
        <f t="shared" ref="L260:L323" si="14">K260-J260</f>
        <v>6.2500000000000111E-2</v>
      </c>
      <c r="M260" s="12">
        <f t="shared" si="13"/>
        <v>1.5000000000000027</v>
      </c>
      <c r="N260" s="12">
        <f>Table35[[#This Row],[Trip Hours]]*Table35[[#This Row],['#Angler]]</f>
        <v>1.5000000000000027</v>
      </c>
      <c r="O260" t="s">
        <v>28</v>
      </c>
      <c r="P260" t="s">
        <v>56</v>
      </c>
      <c r="Q260" t="s">
        <v>237</v>
      </c>
      <c r="R260" s="11">
        <v>0</v>
      </c>
      <c r="S260">
        <v>0</v>
      </c>
      <c r="T260">
        <v>0</v>
      </c>
      <c r="U260" s="11">
        <v>0</v>
      </c>
      <c r="V260">
        <v>0</v>
      </c>
      <c r="W260">
        <v>0</v>
      </c>
      <c r="X260" s="11">
        <f t="shared" si="12"/>
        <v>0</v>
      </c>
      <c r="Y260">
        <f t="shared" si="12"/>
        <v>0</v>
      </c>
      <c r="Z260">
        <f t="shared" si="12"/>
        <v>0</v>
      </c>
      <c r="AA260" s="11"/>
    </row>
    <row r="261" spans="1:27" x14ac:dyDescent="0.3">
      <c r="A261" s="7">
        <v>45561</v>
      </c>
      <c r="B261">
        <v>6</v>
      </c>
      <c r="C261" t="s">
        <v>236</v>
      </c>
      <c r="D261" t="s">
        <v>42</v>
      </c>
      <c r="E261">
        <v>9</v>
      </c>
      <c r="F261">
        <v>2</v>
      </c>
      <c r="G261">
        <v>3</v>
      </c>
      <c r="H261" t="s">
        <v>27</v>
      </c>
      <c r="I261">
        <v>2</v>
      </c>
      <c r="J261" s="10">
        <v>0.64583333333333337</v>
      </c>
      <c r="K261" s="10">
        <v>0.70208333333333339</v>
      </c>
      <c r="L261" s="10">
        <f t="shared" si="14"/>
        <v>5.6250000000000022E-2</v>
      </c>
      <c r="M261" s="12">
        <f t="shared" si="13"/>
        <v>1.3500000000000005</v>
      </c>
      <c r="N261" s="12">
        <f>Table35[[#This Row],[Trip Hours]]*Table35[[#This Row],['#Angler]]</f>
        <v>2.7000000000000011</v>
      </c>
      <c r="O261" t="s">
        <v>28</v>
      </c>
      <c r="P261" t="s">
        <v>56</v>
      </c>
      <c r="Q261" t="s">
        <v>247</v>
      </c>
      <c r="R261" s="11">
        <v>0</v>
      </c>
      <c r="S261">
        <v>0</v>
      </c>
      <c r="T261">
        <v>0</v>
      </c>
      <c r="U261" s="11">
        <v>0</v>
      </c>
      <c r="V261">
        <v>0</v>
      </c>
      <c r="W261">
        <v>0</v>
      </c>
      <c r="X261" s="11">
        <f t="shared" si="12"/>
        <v>0</v>
      </c>
      <c r="Y261">
        <f t="shared" si="12"/>
        <v>0</v>
      </c>
      <c r="Z261">
        <f t="shared" si="12"/>
        <v>0</v>
      </c>
      <c r="AA261" s="11"/>
    </row>
    <row r="262" spans="1:27" x14ac:dyDescent="0.3">
      <c r="A262" s="7">
        <v>45561</v>
      </c>
      <c r="B262">
        <v>6</v>
      </c>
      <c r="C262" t="s">
        <v>236</v>
      </c>
      <c r="D262" t="s">
        <v>42</v>
      </c>
      <c r="E262">
        <v>10</v>
      </c>
      <c r="F262">
        <v>2</v>
      </c>
      <c r="G262">
        <v>2</v>
      </c>
      <c r="H262" t="s">
        <v>27</v>
      </c>
      <c r="I262">
        <v>1</v>
      </c>
      <c r="J262" s="10">
        <v>0.625</v>
      </c>
      <c r="K262" s="10">
        <v>0.71736111111111101</v>
      </c>
      <c r="L262" s="10">
        <f t="shared" si="14"/>
        <v>9.2361111111111005E-2</v>
      </c>
      <c r="M262" s="12">
        <f t="shared" si="13"/>
        <v>2.2166666666666641</v>
      </c>
      <c r="N262" s="12">
        <f>Table35[[#This Row],[Trip Hours]]*Table35[[#This Row],['#Angler]]</f>
        <v>2.2166666666666641</v>
      </c>
      <c r="O262" t="s">
        <v>28</v>
      </c>
      <c r="P262" t="s">
        <v>306</v>
      </c>
      <c r="Q262" t="s">
        <v>241</v>
      </c>
      <c r="R262" s="11">
        <v>0</v>
      </c>
      <c r="S262">
        <v>0</v>
      </c>
      <c r="T262">
        <v>0</v>
      </c>
      <c r="U262" s="11">
        <v>0</v>
      </c>
      <c r="V262">
        <v>0</v>
      </c>
      <c r="W262">
        <v>0</v>
      </c>
      <c r="X262" s="11">
        <f t="shared" si="12"/>
        <v>0</v>
      </c>
      <c r="Y262">
        <f t="shared" si="12"/>
        <v>0</v>
      </c>
      <c r="Z262">
        <f t="shared" si="12"/>
        <v>0</v>
      </c>
      <c r="AA262" s="11"/>
    </row>
    <row r="263" spans="1:27" x14ac:dyDescent="0.3">
      <c r="A263" s="7">
        <v>45561</v>
      </c>
      <c r="B263">
        <v>6</v>
      </c>
      <c r="C263" t="s">
        <v>236</v>
      </c>
      <c r="D263" t="s">
        <v>42</v>
      </c>
      <c r="E263">
        <v>11</v>
      </c>
      <c r="F263">
        <v>2</v>
      </c>
      <c r="G263">
        <v>2</v>
      </c>
      <c r="H263" t="s">
        <v>27</v>
      </c>
      <c r="I263">
        <v>1</v>
      </c>
      <c r="J263" s="10">
        <v>0.67708333333333337</v>
      </c>
      <c r="K263" s="10">
        <v>0.71875</v>
      </c>
      <c r="L263" s="10">
        <f t="shared" si="14"/>
        <v>4.166666666666663E-2</v>
      </c>
      <c r="M263" s="12">
        <f t="shared" si="13"/>
        <v>0.99999999999999911</v>
      </c>
      <c r="N263" s="12">
        <f>Table35[[#This Row],[Trip Hours]]*Table35[[#This Row],['#Angler]]</f>
        <v>0.99999999999999911</v>
      </c>
      <c r="O263" t="s">
        <v>28</v>
      </c>
      <c r="P263" t="s">
        <v>306</v>
      </c>
      <c r="Q263" t="s">
        <v>238</v>
      </c>
      <c r="R263" s="11">
        <v>0</v>
      </c>
      <c r="S263">
        <v>0</v>
      </c>
      <c r="T263">
        <v>0</v>
      </c>
      <c r="U263" s="11">
        <v>0</v>
      </c>
      <c r="V263">
        <v>0</v>
      </c>
      <c r="W263">
        <v>0</v>
      </c>
      <c r="X263" s="11">
        <f t="shared" si="12"/>
        <v>0</v>
      </c>
      <c r="Y263">
        <f t="shared" si="12"/>
        <v>0</v>
      </c>
      <c r="Z263">
        <f t="shared" si="12"/>
        <v>0</v>
      </c>
      <c r="AA263" s="11"/>
    </row>
    <row r="264" spans="1:27" x14ac:dyDescent="0.3">
      <c r="A264" s="7">
        <v>45561</v>
      </c>
      <c r="B264">
        <v>6</v>
      </c>
      <c r="C264" t="s">
        <v>236</v>
      </c>
      <c r="D264" t="s">
        <v>42</v>
      </c>
      <c r="E264">
        <v>12</v>
      </c>
      <c r="F264">
        <v>2</v>
      </c>
      <c r="G264">
        <v>2</v>
      </c>
      <c r="H264" t="s">
        <v>27</v>
      </c>
      <c r="I264">
        <v>1</v>
      </c>
      <c r="J264" s="10">
        <v>0.69791666666666663</v>
      </c>
      <c r="K264" s="10">
        <v>0.71944444444444444</v>
      </c>
      <c r="L264" s="10">
        <f t="shared" si="14"/>
        <v>2.1527777777777812E-2</v>
      </c>
      <c r="M264" s="12">
        <f t="shared" si="13"/>
        <v>0.5166666666666675</v>
      </c>
      <c r="N264" s="12">
        <f>Table35[[#This Row],[Trip Hours]]*Table35[[#This Row],['#Angler]]</f>
        <v>0.5166666666666675</v>
      </c>
      <c r="O264" t="s">
        <v>28</v>
      </c>
      <c r="P264" t="s">
        <v>29</v>
      </c>
      <c r="Q264" t="s">
        <v>247</v>
      </c>
      <c r="R264" s="11">
        <v>0</v>
      </c>
      <c r="S264">
        <v>0</v>
      </c>
      <c r="T264">
        <v>0</v>
      </c>
      <c r="U264" s="11">
        <v>0</v>
      </c>
      <c r="V264">
        <v>0</v>
      </c>
      <c r="W264">
        <v>0</v>
      </c>
      <c r="X264" s="11">
        <f t="shared" si="12"/>
        <v>0</v>
      </c>
      <c r="Y264">
        <f t="shared" si="12"/>
        <v>0</v>
      </c>
      <c r="Z264">
        <f t="shared" si="12"/>
        <v>0</v>
      </c>
      <c r="AA264" s="11"/>
    </row>
    <row r="265" spans="1:27" x14ac:dyDescent="0.3">
      <c r="A265" s="7">
        <v>45561</v>
      </c>
      <c r="B265">
        <v>6</v>
      </c>
      <c r="C265" t="s">
        <v>236</v>
      </c>
      <c r="D265" t="s">
        <v>42</v>
      </c>
      <c r="E265">
        <v>13</v>
      </c>
      <c r="F265">
        <v>2</v>
      </c>
      <c r="G265">
        <v>2</v>
      </c>
      <c r="H265" t="s">
        <v>27</v>
      </c>
      <c r="I265">
        <v>1</v>
      </c>
      <c r="J265" s="10">
        <v>0.6875</v>
      </c>
      <c r="K265" s="10">
        <v>0.74444444444444446</v>
      </c>
      <c r="L265" s="10">
        <f t="shared" si="14"/>
        <v>5.6944444444444464E-2</v>
      </c>
      <c r="M265" s="12">
        <f t="shared" si="13"/>
        <v>1.3666666666666671</v>
      </c>
      <c r="N265" s="12">
        <f>Table35[[#This Row],[Trip Hours]]*Table35[[#This Row],['#Angler]]</f>
        <v>1.3666666666666671</v>
      </c>
      <c r="O265" t="s">
        <v>28</v>
      </c>
      <c r="P265" t="s">
        <v>49</v>
      </c>
      <c r="Q265" t="s">
        <v>241</v>
      </c>
      <c r="R265" s="11">
        <v>0</v>
      </c>
      <c r="S265">
        <v>0</v>
      </c>
      <c r="T265">
        <v>0</v>
      </c>
      <c r="U265" s="11">
        <v>0</v>
      </c>
      <c r="V265">
        <v>0</v>
      </c>
      <c r="W265">
        <v>0</v>
      </c>
      <c r="X265" s="11">
        <f t="shared" si="12"/>
        <v>0</v>
      </c>
      <c r="Y265">
        <f t="shared" si="12"/>
        <v>0</v>
      </c>
      <c r="Z265">
        <f t="shared" si="12"/>
        <v>0</v>
      </c>
      <c r="AA265" s="11"/>
    </row>
    <row r="266" spans="1:27" x14ac:dyDescent="0.3">
      <c r="A266" s="7">
        <v>45561</v>
      </c>
      <c r="B266">
        <v>6</v>
      </c>
      <c r="C266" t="s">
        <v>236</v>
      </c>
      <c r="D266" t="s">
        <v>42</v>
      </c>
      <c r="E266">
        <v>14</v>
      </c>
      <c r="F266">
        <v>2</v>
      </c>
      <c r="G266">
        <v>2</v>
      </c>
      <c r="H266" t="s">
        <v>27</v>
      </c>
      <c r="I266">
        <v>1</v>
      </c>
      <c r="J266" s="10">
        <v>0.6875</v>
      </c>
      <c r="K266" s="10">
        <v>0.74722222222222223</v>
      </c>
      <c r="L266" s="10">
        <f t="shared" si="14"/>
        <v>5.9722222222222232E-2</v>
      </c>
      <c r="M266" s="12">
        <f t="shared" si="13"/>
        <v>1.4333333333333336</v>
      </c>
      <c r="N266" s="12">
        <f>Table35[[#This Row],[Trip Hours]]*Table35[[#This Row],['#Angler]]</f>
        <v>1.4333333333333336</v>
      </c>
      <c r="O266" t="s">
        <v>28</v>
      </c>
      <c r="P266" t="s">
        <v>56</v>
      </c>
      <c r="Q266" t="s">
        <v>247</v>
      </c>
      <c r="R266" s="11">
        <v>0</v>
      </c>
      <c r="S266">
        <v>0</v>
      </c>
      <c r="T266">
        <v>0</v>
      </c>
      <c r="U266" s="11">
        <v>0</v>
      </c>
      <c r="V266">
        <v>0</v>
      </c>
      <c r="W266">
        <v>0</v>
      </c>
      <c r="X266" s="11">
        <f t="shared" si="12"/>
        <v>0</v>
      </c>
      <c r="Y266">
        <f t="shared" si="12"/>
        <v>0</v>
      </c>
      <c r="Z266">
        <f t="shared" si="12"/>
        <v>0</v>
      </c>
      <c r="AA266" s="11"/>
    </row>
    <row r="267" spans="1:27" x14ac:dyDescent="0.3">
      <c r="A267" s="7">
        <v>45561</v>
      </c>
      <c r="B267">
        <v>6</v>
      </c>
      <c r="C267" t="s">
        <v>236</v>
      </c>
      <c r="D267" t="s">
        <v>42</v>
      </c>
      <c r="E267">
        <v>15</v>
      </c>
      <c r="F267">
        <v>2</v>
      </c>
      <c r="G267">
        <v>2</v>
      </c>
      <c r="H267" t="s">
        <v>27</v>
      </c>
      <c r="I267">
        <v>1</v>
      </c>
      <c r="J267" s="10">
        <v>0.72916666666666663</v>
      </c>
      <c r="K267" s="10">
        <v>0.75069444444444444</v>
      </c>
      <c r="L267" s="10">
        <f t="shared" si="14"/>
        <v>2.1527777777777812E-2</v>
      </c>
      <c r="M267" s="12">
        <f t="shared" si="13"/>
        <v>0.5166666666666675</v>
      </c>
      <c r="N267" s="12">
        <f>Table35[[#This Row],[Trip Hours]]*Table35[[#This Row],['#Angler]]</f>
        <v>0.5166666666666675</v>
      </c>
      <c r="O267" t="s">
        <v>28</v>
      </c>
      <c r="P267" t="s">
        <v>49</v>
      </c>
      <c r="Q267" t="s">
        <v>241</v>
      </c>
      <c r="R267" s="11">
        <v>0</v>
      </c>
      <c r="S267">
        <v>0</v>
      </c>
      <c r="T267">
        <v>0</v>
      </c>
      <c r="U267" s="11">
        <v>0</v>
      </c>
      <c r="V267">
        <v>0</v>
      </c>
      <c r="W267">
        <v>0</v>
      </c>
      <c r="X267" s="11">
        <f t="shared" si="12"/>
        <v>0</v>
      </c>
      <c r="Y267">
        <f t="shared" si="12"/>
        <v>0</v>
      </c>
      <c r="Z267">
        <f t="shared" si="12"/>
        <v>0</v>
      </c>
      <c r="AA267" s="11"/>
    </row>
    <row r="268" spans="1:27" x14ac:dyDescent="0.3">
      <c r="A268" s="7">
        <v>45561</v>
      </c>
      <c r="B268">
        <v>6</v>
      </c>
      <c r="C268" t="s">
        <v>236</v>
      </c>
      <c r="D268" t="s">
        <v>42</v>
      </c>
      <c r="E268">
        <v>16</v>
      </c>
      <c r="F268">
        <v>2</v>
      </c>
      <c r="G268">
        <v>2</v>
      </c>
      <c r="H268" t="s">
        <v>27</v>
      </c>
      <c r="I268">
        <v>1</v>
      </c>
      <c r="J268" s="10">
        <v>0.6875</v>
      </c>
      <c r="K268" s="10">
        <v>0.75486111111111109</v>
      </c>
      <c r="L268" s="10">
        <f t="shared" si="14"/>
        <v>6.7361111111111094E-2</v>
      </c>
      <c r="M268" s="12">
        <f t="shared" si="13"/>
        <v>1.6166666666666663</v>
      </c>
      <c r="N268" s="12">
        <f>Table35[[#This Row],[Trip Hours]]*Table35[[#This Row],['#Angler]]</f>
        <v>1.6166666666666663</v>
      </c>
      <c r="O268" t="s">
        <v>28</v>
      </c>
      <c r="P268" t="s">
        <v>56</v>
      </c>
      <c r="Q268" t="s">
        <v>247</v>
      </c>
      <c r="R268" s="11">
        <v>0</v>
      </c>
      <c r="S268">
        <v>0</v>
      </c>
      <c r="T268">
        <v>0</v>
      </c>
      <c r="U268" s="11">
        <v>0</v>
      </c>
      <c r="V268">
        <v>0</v>
      </c>
      <c r="W268">
        <v>0</v>
      </c>
      <c r="X268" s="11">
        <f t="shared" si="12"/>
        <v>0</v>
      </c>
      <c r="Y268">
        <f t="shared" si="12"/>
        <v>0</v>
      </c>
      <c r="Z268">
        <f t="shared" si="12"/>
        <v>0</v>
      </c>
      <c r="AA268" s="11"/>
    </row>
    <row r="269" spans="1:27" x14ac:dyDescent="0.3">
      <c r="A269" s="7">
        <v>45561</v>
      </c>
      <c r="B269">
        <v>6</v>
      </c>
      <c r="C269" t="s">
        <v>236</v>
      </c>
      <c r="D269" t="s">
        <v>42</v>
      </c>
      <c r="E269">
        <v>17</v>
      </c>
      <c r="F269">
        <v>2</v>
      </c>
      <c r="G269">
        <v>2</v>
      </c>
      <c r="H269" t="s">
        <v>27</v>
      </c>
      <c r="I269">
        <v>1</v>
      </c>
      <c r="J269" s="10">
        <v>0.66666666666666663</v>
      </c>
      <c r="K269" s="10">
        <v>0.76180555555555562</v>
      </c>
      <c r="L269" s="10">
        <f t="shared" si="14"/>
        <v>9.5138888888888995E-2</v>
      </c>
      <c r="M269" s="12">
        <f t="shared" si="13"/>
        <v>2.2833333333333359</v>
      </c>
      <c r="N269" s="12">
        <f>Table35[[#This Row],[Trip Hours]]*Table35[[#This Row],['#Angler]]</f>
        <v>2.2833333333333359</v>
      </c>
      <c r="O269" t="s">
        <v>25</v>
      </c>
      <c r="P269" t="s">
        <v>56</v>
      </c>
      <c r="Q269" t="s">
        <v>247</v>
      </c>
      <c r="R269" s="11">
        <v>0</v>
      </c>
      <c r="S269">
        <v>0</v>
      </c>
      <c r="T269">
        <v>0</v>
      </c>
      <c r="U269" s="11">
        <v>0</v>
      </c>
      <c r="V269">
        <v>0</v>
      </c>
      <c r="W269">
        <v>0</v>
      </c>
      <c r="X269" s="11">
        <f t="shared" si="12"/>
        <v>0</v>
      </c>
      <c r="Y269">
        <f t="shared" si="12"/>
        <v>0</v>
      </c>
      <c r="Z269">
        <f t="shared" si="12"/>
        <v>0</v>
      </c>
      <c r="AA269" s="11"/>
    </row>
    <row r="270" spans="1:27" x14ac:dyDescent="0.3">
      <c r="A270" s="7">
        <v>45561</v>
      </c>
      <c r="B270">
        <v>6</v>
      </c>
      <c r="C270" t="s">
        <v>236</v>
      </c>
      <c r="D270" t="s">
        <v>42</v>
      </c>
      <c r="E270">
        <v>18</v>
      </c>
      <c r="F270">
        <v>2</v>
      </c>
      <c r="G270">
        <v>2</v>
      </c>
      <c r="H270" t="s">
        <v>27</v>
      </c>
      <c r="I270">
        <v>1</v>
      </c>
      <c r="J270" s="10">
        <v>0.6875</v>
      </c>
      <c r="K270" s="10">
        <v>0.76527777777777783</v>
      </c>
      <c r="L270" s="10">
        <f t="shared" si="14"/>
        <v>7.7777777777777835E-2</v>
      </c>
      <c r="M270" s="12">
        <f t="shared" si="13"/>
        <v>1.866666666666668</v>
      </c>
      <c r="N270" s="12">
        <f>Table35[[#This Row],[Trip Hours]]*Table35[[#This Row],['#Angler]]</f>
        <v>1.866666666666668</v>
      </c>
      <c r="O270" t="s">
        <v>28</v>
      </c>
      <c r="P270" t="s">
        <v>49</v>
      </c>
      <c r="Q270" t="s">
        <v>247</v>
      </c>
      <c r="R270" s="11">
        <v>0</v>
      </c>
      <c r="S270">
        <v>0</v>
      </c>
      <c r="T270">
        <v>0</v>
      </c>
      <c r="U270" s="11">
        <v>0</v>
      </c>
      <c r="V270">
        <v>0</v>
      </c>
      <c r="W270">
        <v>0</v>
      </c>
      <c r="X270" s="11">
        <f t="shared" si="12"/>
        <v>0</v>
      </c>
      <c r="Y270">
        <f t="shared" si="12"/>
        <v>0</v>
      </c>
      <c r="Z270">
        <f t="shared" si="12"/>
        <v>0</v>
      </c>
      <c r="AA270" s="11"/>
    </row>
    <row r="271" spans="1:27" x14ac:dyDescent="0.3">
      <c r="A271" s="7">
        <v>45561</v>
      </c>
      <c r="B271">
        <v>6</v>
      </c>
      <c r="C271" t="s">
        <v>236</v>
      </c>
      <c r="D271" t="s">
        <v>42</v>
      </c>
      <c r="E271">
        <v>19</v>
      </c>
      <c r="F271">
        <v>2</v>
      </c>
      <c r="G271">
        <v>2</v>
      </c>
      <c r="H271" t="s">
        <v>27</v>
      </c>
      <c r="I271">
        <v>1</v>
      </c>
      <c r="J271" s="10">
        <v>0.58333333333333337</v>
      </c>
      <c r="K271" s="10">
        <v>0.76666666666666661</v>
      </c>
      <c r="L271" s="10">
        <f t="shared" si="14"/>
        <v>0.18333333333333324</v>
      </c>
      <c r="M271" s="12">
        <f t="shared" si="13"/>
        <v>4.3999999999999977</v>
      </c>
      <c r="N271" s="12">
        <f>Table35[[#This Row],[Trip Hours]]*Table35[[#This Row],['#Angler]]</f>
        <v>4.3999999999999977</v>
      </c>
      <c r="O271" t="s">
        <v>28</v>
      </c>
      <c r="P271" t="s">
        <v>281</v>
      </c>
      <c r="Q271" t="s">
        <v>247</v>
      </c>
      <c r="R271" s="11">
        <v>0</v>
      </c>
      <c r="S271">
        <v>0</v>
      </c>
      <c r="T271">
        <v>0</v>
      </c>
      <c r="U271" s="11">
        <v>0</v>
      </c>
      <c r="V271">
        <v>0</v>
      </c>
      <c r="W271">
        <v>0</v>
      </c>
      <c r="X271" s="11">
        <f t="shared" si="12"/>
        <v>0</v>
      </c>
      <c r="Y271">
        <f t="shared" si="12"/>
        <v>0</v>
      </c>
      <c r="Z271">
        <f t="shared" si="12"/>
        <v>0</v>
      </c>
      <c r="AA271" s="11"/>
    </row>
    <row r="272" spans="1:27" x14ac:dyDescent="0.3">
      <c r="A272" s="7">
        <v>45561</v>
      </c>
      <c r="B272">
        <v>6</v>
      </c>
      <c r="C272" t="s">
        <v>236</v>
      </c>
      <c r="D272" t="s">
        <v>42</v>
      </c>
      <c r="E272">
        <v>20</v>
      </c>
      <c r="F272">
        <v>2</v>
      </c>
      <c r="G272">
        <v>2</v>
      </c>
      <c r="H272" t="s">
        <v>27</v>
      </c>
      <c r="I272">
        <v>1</v>
      </c>
      <c r="J272" s="10">
        <v>0.76041666666666663</v>
      </c>
      <c r="K272" s="10">
        <v>0.7729166666666667</v>
      </c>
      <c r="L272" s="10">
        <f t="shared" si="14"/>
        <v>1.2500000000000067E-2</v>
      </c>
      <c r="M272" s="12">
        <f t="shared" si="13"/>
        <v>0.3000000000000016</v>
      </c>
      <c r="N272" s="12">
        <f>Table35[[#This Row],[Trip Hours]]*Table35[[#This Row],['#Angler]]</f>
        <v>0.3000000000000016</v>
      </c>
      <c r="O272" t="s">
        <v>28</v>
      </c>
      <c r="P272" t="s">
        <v>56</v>
      </c>
      <c r="Q272" t="s">
        <v>247</v>
      </c>
      <c r="R272" s="11">
        <v>0</v>
      </c>
      <c r="S272">
        <v>0</v>
      </c>
      <c r="T272">
        <v>0</v>
      </c>
      <c r="U272" s="11">
        <v>0</v>
      </c>
      <c r="V272">
        <v>0</v>
      </c>
      <c r="W272">
        <v>0</v>
      </c>
      <c r="X272" s="11">
        <f t="shared" si="12"/>
        <v>0</v>
      </c>
      <c r="Y272">
        <f t="shared" si="12"/>
        <v>0</v>
      </c>
      <c r="Z272">
        <f t="shared" si="12"/>
        <v>0</v>
      </c>
      <c r="AA272" s="11"/>
    </row>
    <row r="273" spans="1:27" x14ac:dyDescent="0.3">
      <c r="A273" s="7">
        <v>45561</v>
      </c>
      <c r="B273">
        <v>6</v>
      </c>
      <c r="C273" t="s">
        <v>236</v>
      </c>
      <c r="D273" t="s">
        <v>42</v>
      </c>
      <c r="E273">
        <v>21</v>
      </c>
      <c r="F273">
        <v>2</v>
      </c>
      <c r="G273">
        <v>2</v>
      </c>
      <c r="H273" t="s">
        <v>27</v>
      </c>
      <c r="I273">
        <v>1</v>
      </c>
      <c r="J273" s="10">
        <v>0.75</v>
      </c>
      <c r="K273" s="10">
        <v>0.77430555555555547</v>
      </c>
      <c r="L273" s="10">
        <f t="shared" si="14"/>
        <v>2.4305555555555469E-2</v>
      </c>
      <c r="M273" s="12">
        <f t="shared" si="13"/>
        <v>0.58333333333333126</v>
      </c>
      <c r="N273" s="12">
        <f>Table35[[#This Row],[Trip Hours]]*Table35[[#This Row],['#Angler]]</f>
        <v>0.58333333333333126</v>
      </c>
      <c r="O273" t="s">
        <v>28</v>
      </c>
      <c r="P273" t="s">
        <v>56</v>
      </c>
      <c r="Q273" t="s">
        <v>247</v>
      </c>
      <c r="R273" s="11">
        <v>0</v>
      </c>
      <c r="S273">
        <v>0</v>
      </c>
      <c r="T273">
        <v>0</v>
      </c>
      <c r="U273" s="11">
        <v>0</v>
      </c>
      <c r="V273">
        <v>0</v>
      </c>
      <c r="W273">
        <v>0</v>
      </c>
      <c r="X273" s="11">
        <f t="shared" si="12"/>
        <v>0</v>
      </c>
      <c r="Y273">
        <f t="shared" si="12"/>
        <v>0</v>
      </c>
      <c r="Z273">
        <f t="shared" si="12"/>
        <v>0</v>
      </c>
      <c r="AA273" s="11"/>
    </row>
    <row r="274" spans="1:27" x14ac:dyDescent="0.3">
      <c r="A274" s="7">
        <v>45561</v>
      </c>
      <c r="B274">
        <v>6</v>
      </c>
      <c r="C274" t="s">
        <v>236</v>
      </c>
      <c r="D274" t="s">
        <v>42</v>
      </c>
      <c r="E274">
        <v>22</v>
      </c>
      <c r="F274">
        <v>2</v>
      </c>
      <c r="G274">
        <v>2</v>
      </c>
      <c r="H274" t="s">
        <v>27</v>
      </c>
      <c r="I274">
        <v>1</v>
      </c>
      <c r="J274" s="10">
        <v>0.66666666666666663</v>
      </c>
      <c r="K274" s="10">
        <v>0.77916666666666667</v>
      </c>
      <c r="L274" s="10">
        <f t="shared" si="14"/>
        <v>0.11250000000000004</v>
      </c>
      <c r="M274" s="12">
        <f t="shared" si="13"/>
        <v>2.7000000000000011</v>
      </c>
      <c r="N274" s="12">
        <f>Table35[[#This Row],[Trip Hours]]*Table35[[#This Row],['#Angler]]</f>
        <v>2.7000000000000011</v>
      </c>
      <c r="O274" t="s">
        <v>28</v>
      </c>
      <c r="P274" t="s">
        <v>272</v>
      </c>
      <c r="Q274" t="s">
        <v>241</v>
      </c>
      <c r="R274" s="11">
        <v>0</v>
      </c>
      <c r="S274">
        <v>0</v>
      </c>
      <c r="T274">
        <v>0</v>
      </c>
      <c r="U274" s="11">
        <v>0</v>
      </c>
      <c r="V274">
        <v>0</v>
      </c>
      <c r="W274">
        <v>0</v>
      </c>
      <c r="X274" s="11">
        <f t="shared" si="12"/>
        <v>0</v>
      </c>
      <c r="Y274">
        <f t="shared" si="12"/>
        <v>0</v>
      </c>
      <c r="Z274">
        <f t="shared" si="12"/>
        <v>0</v>
      </c>
      <c r="AA274" s="11"/>
    </row>
    <row r="275" spans="1:27" x14ac:dyDescent="0.3">
      <c r="A275" s="7">
        <v>45561</v>
      </c>
      <c r="B275">
        <v>6</v>
      </c>
      <c r="C275" t="s">
        <v>236</v>
      </c>
      <c r="D275" t="s">
        <v>42</v>
      </c>
      <c r="E275">
        <v>23</v>
      </c>
      <c r="F275">
        <v>2</v>
      </c>
      <c r="G275">
        <v>2</v>
      </c>
      <c r="H275" t="s">
        <v>27</v>
      </c>
      <c r="I275">
        <v>1</v>
      </c>
      <c r="J275" s="10">
        <v>0.69791666666666663</v>
      </c>
      <c r="K275" s="10">
        <v>0.78125</v>
      </c>
      <c r="L275" s="10">
        <f t="shared" si="14"/>
        <v>8.333333333333337E-2</v>
      </c>
      <c r="M275" s="12">
        <f t="shared" si="13"/>
        <v>2.0000000000000009</v>
      </c>
      <c r="N275" s="12">
        <f>Table35[[#This Row],[Trip Hours]]*Table35[[#This Row],['#Angler]]</f>
        <v>2.0000000000000009</v>
      </c>
      <c r="O275" t="s">
        <v>28</v>
      </c>
      <c r="P275" t="s">
        <v>186</v>
      </c>
      <c r="Q275" t="s">
        <v>247</v>
      </c>
      <c r="R275" s="11">
        <v>0</v>
      </c>
      <c r="S275">
        <v>0</v>
      </c>
      <c r="T275">
        <v>0</v>
      </c>
      <c r="U275" s="11">
        <v>0</v>
      </c>
      <c r="V275">
        <v>0</v>
      </c>
      <c r="W275">
        <v>0</v>
      </c>
      <c r="X275" s="11">
        <f t="shared" ref="X275:Z335" si="15">R275+U275</f>
        <v>0</v>
      </c>
      <c r="Y275">
        <f t="shared" si="15"/>
        <v>0</v>
      </c>
      <c r="Z275">
        <f t="shared" si="15"/>
        <v>0</v>
      </c>
      <c r="AA275" s="11"/>
    </row>
    <row r="276" spans="1:27" x14ac:dyDescent="0.3">
      <c r="A276" s="7">
        <v>45561</v>
      </c>
      <c r="B276">
        <v>6</v>
      </c>
      <c r="C276" t="s">
        <v>236</v>
      </c>
      <c r="D276" t="s">
        <v>42</v>
      </c>
      <c r="E276">
        <v>24</v>
      </c>
      <c r="F276">
        <v>2</v>
      </c>
      <c r="G276">
        <v>2</v>
      </c>
      <c r="H276" t="s">
        <v>27</v>
      </c>
      <c r="I276">
        <v>1</v>
      </c>
      <c r="J276" s="10">
        <v>0.73958333333333337</v>
      </c>
      <c r="K276" s="10">
        <v>0.78125</v>
      </c>
      <c r="L276" s="10">
        <f t="shared" si="14"/>
        <v>4.166666666666663E-2</v>
      </c>
      <c r="M276" s="12">
        <f t="shared" si="13"/>
        <v>0.99999999999999911</v>
      </c>
      <c r="N276" s="12">
        <f>Table35[[#This Row],[Trip Hours]]*Table35[[#This Row],['#Angler]]</f>
        <v>0.99999999999999911</v>
      </c>
      <c r="O276" t="s">
        <v>28</v>
      </c>
      <c r="P276" t="s">
        <v>49</v>
      </c>
      <c r="Q276" t="s">
        <v>241</v>
      </c>
      <c r="R276" s="11">
        <v>0</v>
      </c>
      <c r="S276">
        <v>0</v>
      </c>
      <c r="T276">
        <v>0</v>
      </c>
      <c r="U276" s="11">
        <v>0</v>
      </c>
      <c r="V276">
        <v>0</v>
      </c>
      <c r="W276">
        <v>0</v>
      </c>
      <c r="X276" s="11">
        <f t="shared" si="15"/>
        <v>0</v>
      </c>
      <c r="Y276">
        <f t="shared" si="15"/>
        <v>0</v>
      </c>
      <c r="Z276">
        <f t="shared" si="15"/>
        <v>0</v>
      </c>
      <c r="AA276" s="11"/>
    </row>
    <row r="277" spans="1:27" x14ac:dyDescent="0.3">
      <c r="A277" s="7">
        <v>45561</v>
      </c>
      <c r="B277">
        <v>6</v>
      </c>
      <c r="C277" t="s">
        <v>236</v>
      </c>
      <c r="D277" t="s">
        <v>42</v>
      </c>
      <c r="E277">
        <v>25</v>
      </c>
      <c r="F277">
        <v>2</v>
      </c>
      <c r="G277">
        <v>1</v>
      </c>
      <c r="H277" t="s">
        <v>27</v>
      </c>
      <c r="I277">
        <v>1</v>
      </c>
      <c r="J277" s="10">
        <v>0.75</v>
      </c>
      <c r="K277" s="10">
        <v>0.78541666666666676</v>
      </c>
      <c r="L277" s="10">
        <f t="shared" si="14"/>
        <v>3.5416666666666763E-2</v>
      </c>
      <c r="M277" s="12">
        <f t="shared" si="13"/>
        <v>0.85000000000000231</v>
      </c>
      <c r="N277" s="12">
        <f>Table35[[#This Row],[Trip Hours]]*Table35[[#This Row],['#Angler]]</f>
        <v>0.85000000000000231</v>
      </c>
      <c r="O277" t="s">
        <v>28</v>
      </c>
      <c r="P277" t="s">
        <v>148</v>
      </c>
      <c r="Q277" t="s">
        <v>241</v>
      </c>
      <c r="R277" s="11">
        <v>0</v>
      </c>
      <c r="S277">
        <v>0</v>
      </c>
      <c r="T277">
        <v>0</v>
      </c>
      <c r="U277" s="11">
        <v>0</v>
      </c>
      <c r="V277">
        <v>0</v>
      </c>
      <c r="W277">
        <v>0</v>
      </c>
      <c r="X277" s="11">
        <f t="shared" si="15"/>
        <v>0</v>
      </c>
      <c r="Y277">
        <f t="shared" si="15"/>
        <v>0</v>
      </c>
      <c r="Z277">
        <f t="shared" si="15"/>
        <v>0</v>
      </c>
      <c r="AA277" s="11"/>
    </row>
    <row r="278" spans="1:27" x14ac:dyDescent="0.3">
      <c r="A278" s="7">
        <v>45561</v>
      </c>
      <c r="B278">
        <v>6</v>
      </c>
      <c r="C278" t="s">
        <v>236</v>
      </c>
      <c r="D278" t="s">
        <v>42</v>
      </c>
      <c r="E278">
        <v>26</v>
      </c>
      <c r="F278">
        <v>2</v>
      </c>
      <c r="G278">
        <v>1</v>
      </c>
      <c r="H278" t="s">
        <v>27</v>
      </c>
      <c r="I278">
        <v>1</v>
      </c>
      <c r="J278" s="10">
        <v>0.75</v>
      </c>
      <c r="K278" s="10">
        <v>0.78888888888888886</v>
      </c>
      <c r="L278" s="10">
        <f t="shared" si="14"/>
        <v>3.8888888888888862E-2</v>
      </c>
      <c r="M278" s="12">
        <f t="shared" si="13"/>
        <v>0.93333333333333268</v>
      </c>
      <c r="N278" s="12">
        <f>Table35[[#This Row],[Trip Hours]]*Table35[[#This Row],['#Angler]]</f>
        <v>0.93333333333333268</v>
      </c>
      <c r="O278" t="s">
        <v>28</v>
      </c>
      <c r="P278" t="s">
        <v>294</v>
      </c>
      <c r="Q278" t="s">
        <v>247</v>
      </c>
      <c r="R278" s="11">
        <v>0</v>
      </c>
      <c r="S278">
        <v>0</v>
      </c>
      <c r="T278">
        <v>0</v>
      </c>
      <c r="U278" s="11">
        <v>0</v>
      </c>
      <c r="V278">
        <v>0</v>
      </c>
      <c r="W278">
        <v>0</v>
      </c>
      <c r="X278" s="11">
        <f t="shared" si="15"/>
        <v>0</v>
      </c>
      <c r="Y278">
        <f t="shared" si="15"/>
        <v>0</v>
      </c>
      <c r="Z278">
        <f t="shared" si="15"/>
        <v>0</v>
      </c>
      <c r="AA278" s="11"/>
    </row>
    <row r="279" spans="1:27" x14ac:dyDescent="0.3">
      <c r="A279" s="7">
        <v>45562</v>
      </c>
      <c r="B279">
        <v>6</v>
      </c>
      <c r="C279" t="s">
        <v>236</v>
      </c>
      <c r="D279" t="s">
        <v>26</v>
      </c>
      <c r="E279">
        <v>1</v>
      </c>
      <c r="F279">
        <v>1</v>
      </c>
      <c r="G279">
        <v>1</v>
      </c>
      <c r="H279" t="s">
        <v>35</v>
      </c>
      <c r="I279">
        <v>3</v>
      </c>
      <c r="J279" s="10">
        <v>0.33333333333333331</v>
      </c>
      <c r="K279" s="10">
        <v>0.4548611111111111</v>
      </c>
      <c r="L279" s="10">
        <f t="shared" si="14"/>
        <v>0.12152777777777779</v>
      </c>
      <c r="M279" s="12">
        <f t="shared" si="13"/>
        <v>2.916666666666667</v>
      </c>
      <c r="N279" s="12">
        <f>Table35[[#This Row],[Trip Hours]]*Table35[[#This Row],['#Angler]]</f>
        <v>8.75</v>
      </c>
      <c r="O279" t="s">
        <v>25</v>
      </c>
      <c r="P279" t="s">
        <v>307</v>
      </c>
      <c r="Q279" t="s">
        <v>247</v>
      </c>
      <c r="R279" s="11">
        <v>0</v>
      </c>
      <c r="S279">
        <v>0</v>
      </c>
      <c r="T279">
        <v>0</v>
      </c>
      <c r="U279" s="11">
        <v>0</v>
      </c>
      <c r="V279">
        <v>0</v>
      </c>
      <c r="W279">
        <v>0</v>
      </c>
      <c r="X279" s="11">
        <f t="shared" si="15"/>
        <v>0</v>
      </c>
      <c r="Y279">
        <f t="shared" si="15"/>
        <v>0</v>
      </c>
      <c r="Z279">
        <f t="shared" si="15"/>
        <v>0</v>
      </c>
      <c r="AA279" s="11"/>
    </row>
    <row r="280" spans="1:27" x14ac:dyDescent="0.3">
      <c r="A280" s="7">
        <v>45562</v>
      </c>
      <c r="B280">
        <v>6</v>
      </c>
      <c r="C280" t="s">
        <v>236</v>
      </c>
      <c r="D280" t="s">
        <v>42</v>
      </c>
      <c r="E280">
        <v>2</v>
      </c>
      <c r="F280">
        <v>3</v>
      </c>
      <c r="G280">
        <v>5</v>
      </c>
      <c r="H280" t="s">
        <v>27</v>
      </c>
      <c r="I280">
        <v>1</v>
      </c>
      <c r="J280" s="10">
        <v>0.5625</v>
      </c>
      <c r="K280" s="10">
        <v>0.70833333333333337</v>
      </c>
      <c r="L280" s="10">
        <f t="shared" si="14"/>
        <v>0.14583333333333337</v>
      </c>
      <c r="M280" s="12">
        <f t="shared" si="13"/>
        <v>3.5000000000000009</v>
      </c>
      <c r="N280" s="12">
        <f>Table35[[#This Row],[Trip Hours]]*Table35[[#This Row],['#Angler]]</f>
        <v>3.5000000000000009</v>
      </c>
      <c r="O280" t="s">
        <v>25</v>
      </c>
      <c r="P280" t="s">
        <v>29</v>
      </c>
      <c r="Q280" t="s">
        <v>238</v>
      </c>
      <c r="R280" s="11">
        <v>0</v>
      </c>
      <c r="S280">
        <v>0</v>
      </c>
      <c r="T280">
        <v>0</v>
      </c>
      <c r="U280" s="11">
        <v>0</v>
      </c>
      <c r="V280">
        <v>0</v>
      </c>
      <c r="W280">
        <v>0</v>
      </c>
      <c r="X280" s="11">
        <f t="shared" si="15"/>
        <v>0</v>
      </c>
      <c r="Y280">
        <f t="shared" si="15"/>
        <v>0</v>
      </c>
      <c r="Z280">
        <f t="shared" si="15"/>
        <v>0</v>
      </c>
      <c r="AA280" s="11"/>
    </row>
    <row r="281" spans="1:27" x14ac:dyDescent="0.3">
      <c r="A281" s="7">
        <v>45563</v>
      </c>
      <c r="B281">
        <v>6</v>
      </c>
      <c r="C281" t="s">
        <v>250</v>
      </c>
      <c r="D281" t="s">
        <v>26</v>
      </c>
      <c r="E281">
        <v>1</v>
      </c>
      <c r="F281">
        <v>2</v>
      </c>
      <c r="G281">
        <v>5</v>
      </c>
      <c r="H281" t="s">
        <v>27</v>
      </c>
      <c r="I281">
        <v>1</v>
      </c>
      <c r="J281" s="10">
        <v>0.27083333333333331</v>
      </c>
      <c r="K281" s="10">
        <v>0.32430555555555557</v>
      </c>
      <c r="L281" s="10">
        <f t="shared" si="14"/>
        <v>5.3472222222222254E-2</v>
      </c>
      <c r="M281" s="12">
        <f t="shared" si="13"/>
        <v>1.2833333333333341</v>
      </c>
      <c r="N281" s="12">
        <f>Table35[[#This Row],[Trip Hours]]*Table35[[#This Row],['#Angler]]</f>
        <v>1.2833333333333341</v>
      </c>
      <c r="O281" t="s">
        <v>28</v>
      </c>
      <c r="P281" t="s">
        <v>148</v>
      </c>
      <c r="Q281" t="s">
        <v>247</v>
      </c>
      <c r="R281" s="11">
        <v>1</v>
      </c>
      <c r="S281">
        <v>0</v>
      </c>
      <c r="T281">
        <v>0</v>
      </c>
      <c r="U281" s="11">
        <v>0</v>
      </c>
      <c r="V281">
        <v>0</v>
      </c>
      <c r="W281">
        <v>0</v>
      </c>
      <c r="X281" s="11">
        <f t="shared" si="15"/>
        <v>1</v>
      </c>
      <c r="Y281">
        <f t="shared" si="15"/>
        <v>0</v>
      </c>
      <c r="Z281">
        <f t="shared" si="15"/>
        <v>0</v>
      </c>
      <c r="AA281" s="11"/>
    </row>
    <row r="282" spans="1:27" x14ac:dyDescent="0.3">
      <c r="A282" s="7">
        <v>45563</v>
      </c>
      <c r="B282">
        <v>6</v>
      </c>
      <c r="C282" t="s">
        <v>250</v>
      </c>
      <c r="D282" t="s">
        <v>26</v>
      </c>
      <c r="E282">
        <v>2</v>
      </c>
      <c r="F282">
        <v>2</v>
      </c>
      <c r="G282">
        <v>4</v>
      </c>
      <c r="H282" t="s">
        <v>27</v>
      </c>
      <c r="I282">
        <v>1</v>
      </c>
      <c r="J282" s="10">
        <v>0.28472222222222221</v>
      </c>
      <c r="K282" s="10">
        <v>0.3520833333333333</v>
      </c>
      <c r="L282" s="10">
        <f t="shared" si="14"/>
        <v>6.7361111111111094E-2</v>
      </c>
      <c r="M282" s="12">
        <f t="shared" si="13"/>
        <v>1.6166666666666663</v>
      </c>
      <c r="N282" s="12">
        <f>Table35[[#This Row],[Trip Hours]]*Table35[[#This Row],['#Angler]]</f>
        <v>1.6166666666666663</v>
      </c>
      <c r="O282" t="s">
        <v>28</v>
      </c>
      <c r="P282" t="s">
        <v>56</v>
      </c>
      <c r="Q282" t="s">
        <v>241</v>
      </c>
      <c r="R282" s="11">
        <v>0</v>
      </c>
      <c r="S282">
        <v>0</v>
      </c>
      <c r="T282">
        <v>0</v>
      </c>
      <c r="U282" s="11">
        <v>0</v>
      </c>
      <c r="V282">
        <v>0</v>
      </c>
      <c r="W282">
        <v>0</v>
      </c>
      <c r="X282" s="11">
        <f t="shared" si="15"/>
        <v>0</v>
      </c>
      <c r="Y282">
        <f t="shared" si="15"/>
        <v>0</v>
      </c>
      <c r="Z282">
        <f t="shared" si="15"/>
        <v>0</v>
      </c>
      <c r="AA282" s="11"/>
    </row>
    <row r="283" spans="1:27" x14ac:dyDescent="0.3">
      <c r="A283" s="7">
        <v>45563</v>
      </c>
      <c r="B283">
        <v>6</v>
      </c>
      <c r="C283" t="s">
        <v>250</v>
      </c>
      <c r="D283" t="s">
        <v>26</v>
      </c>
      <c r="E283">
        <v>3</v>
      </c>
      <c r="F283">
        <v>2</v>
      </c>
      <c r="G283">
        <v>4</v>
      </c>
      <c r="H283" t="s">
        <v>27</v>
      </c>
      <c r="I283">
        <v>1</v>
      </c>
      <c r="J283" s="10">
        <v>0.34375</v>
      </c>
      <c r="K283" s="10">
        <v>0.3527777777777778</v>
      </c>
      <c r="L283" s="10">
        <f t="shared" si="14"/>
        <v>9.0277777777778012E-3</v>
      </c>
      <c r="M283" s="12">
        <f t="shared" si="13"/>
        <v>0.21666666666666723</v>
      </c>
      <c r="N283" s="12">
        <f>Table35[[#This Row],[Trip Hours]]*Table35[[#This Row],['#Angler]]</f>
        <v>0.21666666666666723</v>
      </c>
      <c r="O283" t="s">
        <v>28</v>
      </c>
      <c r="P283" t="s">
        <v>56</v>
      </c>
      <c r="Q283" t="s">
        <v>247</v>
      </c>
      <c r="R283" s="11">
        <v>0</v>
      </c>
      <c r="S283">
        <v>0</v>
      </c>
      <c r="T283">
        <v>0</v>
      </c>
      <c r="U283" s="11">
        <v>0</v>
      </c>
      <c r="V283">
        <v>0</v>
      </c>
      <c r="W283">
        <v>0</v>
      </c>
      <c r="X283" s="11">
        <f t="shared" si="15"/>
        <v>0</v>
      </c>
      <c r="Y283">
        <f t="shared" si="15"/>
        <v>0</v>
      </c>
      <c r="Z283">
        <f t="shared" si="15"/>
        <v>0</v>
      </c>
      <c r="AA283" s="11"/>
    </row>
    <row r="284" spans="1:27" x14ac:dyDescent="0.3">
      <c r="A284" s="7">
        <v>45563</v>
      </c>
      <c r="B284">
        <v>6</v>
      </c>
      <c r="C284" t="s">
        <v>250</v>
      </c>
      <c r="D284" t="s">
        <v>26</v>
      </c>
      <c r="E284">
        <v>4</v>
      </c>
      <c r="F284">
        <v>2</v>
      </c>
      <c r="G284">
        <v>4</v>
      </c>
      <c r="H284" t="s">
        <v>27</v>
      </c>
      <c r="I284">
        <v>2</v>
      </c>
      <c r="J284" s="10">
        <v>0.28125</v>
      </c>
      <c r="K284" s="10">
        <v>0.35416666666666669</v>
      </c>
      <c r="L284" s="10">
        <f t="shared" si="14"/>
        <v>7.2916666666666685E-2</v>
      </c>
      <c r="M284" s="12">
        <f t="shared" si="13"/>
        <v>1.7500000000000004</v>
      </c>
      <c r="N284" s="12">
        <f>Table35[[#This Row],[Trip Hours]]*Table35[[#This Row],['#Angler]]</f>
        <v>3.5000000000000009</v>
      </c>
      <c r="O284" t="s">
        <v>28</v>
      </c>
      <c r="P284" t="s">
        <v>56</v>
      </c>
      <c r="Q284" t="s">
        <v>241</v>
      </c>
      <c r="R284" s="11">
        <v>0</v>
      </c>
      <c r="S284">
        <v>1</v>
      </c>
      <c r="T284">
        <v>0</v>
      </c>
      <c r="U284" s="11">
        <v>0</v>
      </c>
      <c r="V284">
        <v>0</v>
      </c>
      <c r="W284">
        <v>0</v>
      </c>
      <c r="X284" s="11">
        <f t="shared" si="15"/>
        <v>0</v>
      </c>
      <c r="Y284">
        <f t="shared" si="15"/>
        <v>1</v>
      </c>
      <c r="Z284">
        <f t="shared" si="15"/>
        <v>0</v>
      </c>
      <c r="AA284" s="11"/>
    </row>
    <row r="285" spans="1:27" x14ac:dyDescent="0.3">
      <c r="A285" s="7">
        <v>45563</v>
      </c>
      <c r="B285">
        <v>6</v>
      </c>
      <c r="C285" t="s">
        <v>250</v>
      </c>
      <c r="D285" t="s">
        <v>26</v>
      </c>
      <c r="E285">
        <v>5</v>
      </c>
      <c r="F285">
        <v>2</v>
      </c>
      <c r="G285">
        <v>4</v>
      </c>
      <c r="H285" t="s">
        <v>27</v>
      </c>
      <c r="I285">
        <v>1</v>
      </c>
      <c r="J285" s="10">
        <v>0.32291666666666669</v>
      </c>
      <c r="K285" s="10">
        <v>0.37013888888888885</v>
      </c>
      <c r="L285" s="10">
        <f t="shared" si="14"/>
        <v>4.7222222222222165E-2</v>
      </c>
      <c r="M285" s="12">
        <f t="shared" si="13"/>
        <v>1.133333333333332</v>
      </c>
      <c r="N285" s="12">
        <f>Table35[[#This Row],[Trip Hours]]*Table35[[#This Row],['#Angler]]</f>
        <v>1.133333333333332</v>
      </c>
      <c r="O285" t="s">
        <v>28</v>
      </c>
      <c r="P285" t="s">
        <v>56</v>
      </c>
      <c r="Q285" t="s">
        <v>27</v>
      </c>
      <c r="R285" s="11">
        <v>0</v>
      </c>
      <c r="S285">
        <v>0</v>
      </c>
      <c r="T285">
        <v>0</v>
      </c>
      <c r="U285" s="11">
        <v>0</v>
      </c>
      <c r="V285">
        <v>0</v>
      </c>
      <c r="W285">
        <v>0</v>
      </c>
      <c r="X285" s="11">
        <f t="shared" si="15"/>
        <v>0</v>
      </c>
      <c r="Y285">
        <f t="shared" si="15"/>
        <v>0</v>
      </c>
      <c r="Z285">
        <f t="shared" si="15"/>
        <v>0</v>
      </c>
      <c r="AA285" s="11"/>
    </row>
    <row r="286" spans="1:27" x14ac:dyDescent="0.3">
      <c r="A286" s="7">
        <v>45563</v>
      </c>
      <c r="B286">
        <v>6</v>
      </c>
      <c r="C286" t="s">
        <v>250</v>
      </c>
      <c r="D286" t="s">
        <v>26</v>
      </c>
      <c r="E286">
        <v>6</v>
      </c>
      <c r="F286">
        <v>2</v>
      </c>
      <c r="G286">
        <v>3</v>
      </c>
      <c r="H286" t="s">
        <v>27</v>
      </c>
      <c r="I286">
        <v>1</v>
      </c>
      <c r="J286" s="10">
        <v>0.29166666666666669</v>
      </c>
      <c r="K286" s="10">
        <v>0.375</v>
      </c>
      <c r="L286" s="10">
        <f t="shared" si="14"/>
        <v>8.3333333333333315E-2</v>
      </c>
      <c r="M286" s="12">
        <f t="shared" si="13"/>
        <v>1.9999999999999996</v>
      </c>
      <c r="N286" s="12">
        <f>Table35[[#This Row],[Trip Hours]]*Table35[[#This Row],['#Angler]]</f>
        <v>1.9999999999999996</v>
      </c>
      <c r="O286" t="s">
        <v>28</v>
      </c>
      <c r="P286" t="s">
        <v>56</v>
      </c>
      <c r="Q286" t="s">
        <v>247</v>
      </c>
      <c r="R286" s="11">
        <v>0</v>
      </c>
      <c r="S286">
        <v>0</v>
      </c>
      <c r="T286">
        <v>0</v>
      </c>
      <c r="U286" s="11">
        <v>0</v>
      </c>
      <c r="V286">
        <v>0</v>
      </c>
      <c r="W286">
        <v>0</v>
      </c>
      <c r="X286" s="11">
        <f t="shared" si="15"/>
        <v>0</v>
      </c>
      <c r="Y286">
        <f t="shared" si="15"/>
        <v>0</v>
      </c>
      <c r="Z286">
        <f t="shared" si="15"/>
        <v>0</v>
      </c>
      <c r="AA286" s="11" t="s">
        <v>308</v>
      </c>
    </row>
    <row r="287" spans="1:27" x14ac:dyDescent="0.3">
      <c r="A287" s="7">
        <v>45563</v>
      </c>
      <c r="B287">
        <v>6</v>
      </c>
      <c r="C287" t="s">
        <v>250</v>
      </c>
      <c r="D287" t="s">
        <v>26</v>
      </c>
      <c r="E287">
        <v>7</v>
      </c>
      <c r="F287">
        <v>2</v>
      </c>
      <c r="G287">
        <v>3</v>
      </c>
      <c r="H287" t="s">
        <v>27</v>
      </c>
      <c r="I287">
        <v>1</v>
      </c>
      <c r="J287" s="10">
        <v>0.33333333333333331</v>
      </c>
      <c r="K287" s="10">
        <v>0.375</v>
      </c>
      <c r="L287" s="10">
        <f t="shared" si="14"/>
        <v>4.1666666666666685E-2</v>
      </c>
      <c r="M287" s="12">
        <f t="shared" si="13"/>
        <v>1.0000000000000004</v>
      </c>
      <c r="N287" s="12">
        <f>Table35[[#This Row],[Trip Hours]]*Table35[[#This Row],['#Angler]]</f>
        <v>1.0000000000000004</v>
      </c>
      <c r="O287" t="s">
        <v>28</v>
      </c>
      <c r="P287" t="s">
        <v>56</v>
      </c>
      <c r="Q287" t="s">
        <v>247</v>
      </c>
      <c r="R287" s="11">
        <v>0</v>
      </c>
      <c r="S287">
        <v>0</v>
      </c>
      <c r="T287">
        <v>0</v>
      </c>
      <c r="U287" s="11">
        <v>0</v>
      </c>
      <c r="V287">
        <v>0</v>
      </c>
      <c r="W287">
        <v>0</v>
      </c>
      <c r="X287" s="11">
        <f t="shared" si="15"/>
        <v>0</v>
      </c>
      <c r="Y287">
        <f t="shared" si="15"/>
        <v>0</v>
      </c>
      <c r="Z287">
        <f t="shared" si="15"/>
        <v>0</v>
      </c>
      <c r="AA287" s="11"/>
    </row>
    <row r="288" spans="1:27" x14ac:dyDescent="0.3">
      <c r="A288" s="7">
        <v>45563</v>
      </c>
      <c r="B288">
        <v>6</v>
      </c>
      <c r="C288" t="s">
        <v>250</v>
      </c>
      <c r="D288" t="s">
        <v>26</v>
      </c>
      <c r="E288">
        <v>8</v>
      </c>
      <c r="F288">
        <v>2</v>
      </c>
      <c r="G288">
        <v>3</v>
      </c>
      <c r="H288" t="s">
        <v>27</v>
      </c>
      <c r="I288">
        <v>1</v>
      </c>
      <c r="J288" s="10">
        <v>0.33333333333333331</v>
      </c>
      <c r="K288" s="10">
        <v>0.375</v>
      </c>
      <c r="L288" s="10">
        <f t="shared" si="14"/>
        <v>4.1666666666666685E-2</v>
      </c>
      <c r="M288" s="12">
        <f t="shared" si="13"/>
        <v>1.0000000000000004</v>
      </c>
      <c r="N288" s="12">
        <f>Table35[[#This Row],[Trip Hours]]*Table35[[#This Row],['#Angler]]</f>
        <v>1.0000000000000004</v>
      </c>
      <c r="O288" t="s">
        <v>28</v>
      </c>
      <c r="P288" t="s">
        <v>56</v>
      </c>
      <c r="Q288" t="s">
        <v>247</v>
      </c>
      <c r="R288" s="11">
        <v>0</v>
      </c>
      <c r="S288">
        <v>0</v>
      </c>
      <c r="T288">
        <v>0</v>
      </c>
      <c r="U288" s="11">
        <v>0</v>
      </c>
      <c r="V288">
        <v>0</v>
      </c>
      <c r="W288">
        <v>0</v>
      </c>
      <c r="X288" s="11">
        <f t="shared" si="15"/>
        <v>0</v>
      </c>
      <c r="Y288">
        <f t="shared" si="15"/>
        <v>0</v>
      </c>
      <c r="Z288">
        <f t="shared" si="15"/>
        <v>0</v>
      </c>
      <c r="AA288" s="11"/>
    </row>
    <row r="289" spans="1:27" x14ac:dyDescent="0.3">
      <c r="A289" s="7">
        <v>45563</v>
      </c>
      <c r="B289">
        <v>6</v>
      </c>
      <c r="C289" t="s">
        <v>250</v>
      </c>
      <c r="D289" t="s">
        <v>26</v>
      </c>
      <c r="E289">
        <v>9</v>
      </c>
      <c r="F289">
        <v>2</v>
      </c>
      <c r="G289">
        <v>2</v>
      </c>
      <c r="H289" t="s">
        <v>27</v>
      </c>
      <c r="I289">
        <v>2</v>
      </c>
      <c r="J289" s="10">
        <v>0.27083333333333331</v>
      </c>
      <c r="K289" s="10">
        <v>0.39027777777777778</v>
      </c>
      <c r="L289" s="10">
        <f t="shared" si="14"/>
        <v>0.11944444444444446</v>
      </c>
      <c r="M289" s="12">
        <f t="shared" si="13"/>
        <v>2.8666666666666671</v>
      </c>
      <c r="N289" s="12">
        <f>Table35[[#This Row],[Trip Hours]]*Table35[[#This Row],['#Angler]]</f>
        <v>5.7333333333333343</v>
      </c>
      <c r="O289" t="s">
        <v>28</v>
      </c>
      <c r="P289" t="s">
        <v>300</v>
      </c>
      <c r="Q289" t="s">
        <v>247</v>
      </c>
      <c r="R289" s="11">
        <v>0</v>
      </c>
      <c r="S289">
        <v>0</v>
      </c>
      <c r="T289">
        <v>0</v>
      </c>
      <c r="U289" s="11">
        <v>0</v>
      </c>
      <c r="V289">
        <v>0</v>
      </c>
      <c r="W289">
        <v>0</v>
      </c>
      <c r="X289" s="11">
        <f t="shared" si="15"/>
        <v>0</v>
      </c>
      <c r="Y289">
        <f t="shared" si="15"/>
        <v>0</v>
      </c>
      <c r="Z289">
        <f t="shared" si="15"/>
        <v>0</v>
      </c>
      <c r="AA289" s="11"/>
    </row>
    <row r="290" spans="1:27" x14ac:dyDescent="0.3">
      <c r="A290" s="7">
        <v>45563</v>
      </c>
      <c r="B290">
        <v>6</v>
      </c>
      <c r="C290" t="s">
        <v>250</v>
      </c>
      <c r="D290" t="s">
        <v>26</v>
      </c>
      <c r="E290">
        <v>10</v>
      </c>
      <c r="F290">
        <v>2</v>
      </c>
      <c r="G290">
        <v>2</v>
      </c>
      <c r="H290" t="s">
        <v>27</v>
      </c>
      <c r="I290">
        <v>1</v>
      </c>
      <c r="J290" s="10">
        <v>0.33333333333333331</v>
      </c>
      <c r="K290" s="10">
        <v>0.3923611111111111</v>
      </c>
      <c r="L290" s="10">
        <f t="shared" si="14"/>
        <v>5.902777777777779E-2</v>
      </c>
      <c r="M290" s="12">
        <f t="shared" si="13"/>
        <v>1.416666666666667</v>
      </c>
      <c r="N290" s="12">
        <f>Table35[[#This Row],[Trip Hours]]*Table35[[#This Row],['#Angler]]</f>
        <v>1.416666666666667</v>
      </c>
      <c r="O290" t="s">
        <v>28</v>
      </c>
      <c r="P290" t="s">
        <v>56</v>
      </c>
      <c r="Q290" t="s">
        <v>247</v>
      </c>
      <c r="R290" s="11">
        <v>0</v>
      </c>
      <c r="S290">
        <v>0</v>
      </c>
      <c r="T290">
        <v>0</v>
      </c>
      <c r="U290" s="11">
        <v>0</v>
      </c>
      <c r="V290">
        <v>0</v>
      </c>
      <c r="W290">
        <v>0</v>
      </c>
      <c r="X290" s="11">
        <f t="shared" si="15"/>
        <v>0</v>
      </c>
      <c r="Y290">
        <f t="shared" si="15"/>
        <v>0</v>
      </c>
      <c r="Z290">
        <f t="shared" si="15"/>
        <v>0</v>
      </c>
      <c r="AA290" s="11"/>
    </row>
    <row r="291" spans="1:27" x14ac:dyDescent="0.3">
      <c r="A291" s="7">
        <v>45563</v>
      </c>
      <c r="B291">
        <v>6</v>
      </c>
      <c r="C291" t="s">
        <v>250</v>
      </c>
      <c r="D291" t="s">
        <v>26</v>
      </c>
      <c r="E291">
        <v>11</v>
      </c>
      <c r="F291">
        <v>2</v>
      </c>
      <c r="G291">
        <v>2</v>
      </c>
      <c r="H291" t="s">
        <v>27</v>
      </c>
      <c r="I291">
        <v>2</v>
      </c>
      <c r="J291" s="10">
        <v>0.27083333333333331</v>
      </c>
      <c r="K291" s="10">
        <v>0.39305555555555555</v>
      </c>
      <c r="L291" s="10">
        <f t="shared" si="14"/>
        <v>0.12222222222222223</v>
      </c>
      <c r="M291" s="12">
        <f t="shared" si="13"/>
        <v>2.9333333333333336</v>
      </c>
      <c r="N291" s="12">
        <f>Table35[[#This Row],[Trip Hours]]*Table35[[#This Row],['#Angler]]</f>
        <v>5.8666666666666671</v>
      </c>
      <c r="O291" t="s">
        <v>28</v>
      </c>
      <c r="P291" t="s">
        <v>56</v>
      </c>
      <c r="Q291" t="s">
        <v>247</v>
      </c>
      <c r="R291" s="11">
        <v>0</v>
      </c>
      <c r="S291">
        <v>1</v>
      </c>
      <c r="T291">
        <v>0</v>
      </c>
      <c r="U291" s="11">
        <v>0</v>
      </c>
      <c r="V291">
        <v>0</v>
      </c>
      <c r="W291">
        <v>0</v>
      </c>
      <c r="X291" s="11">
        <f t="shared" si="15"/>
        <v>0</v>
      </c>
      <c r="Y291">
        <f t="shared" si="15"/>
        <v>1</v>
      </c>
      <c r="Z291">
        <f t="shared" si="15"/>
        <v>0</v>
      </c>
      <c r="AA291" s="11"/>
    </row>
    <row r="292" spans="1:27" x14ac:dyDescent="0.3">
      <c r="A292" s="7">
        <v>45563</v>
      </c>
      <c r="B292">
        <v>6</v>
      </c>
      <c r="C292" t="s">
        <v>250</v>
      </c>
      <c r="D292" t="s">
        <v>26</v>
      </c>
      <c r="E292">
        <v>12</v>
      </c>
      <c r="F292">
        <v>2</v>
      </c>
      <c r="G292">
        <v>2</v>
      </c>
      <c r="H292" t="s">
        <v>27</v>
      </c>
      <c r="I292">
        <v>1</v>
      </c>
      <c r="J292" s="10">
        <v>0.375</v>
      </c>
      <c r="K292" s="10">
        <v>0.39444444444444443</v>
      </c>
      <c r="L292" s="10">
        <f t="shared" si="14"/>
        <v>1.9444444444444431E-2</v>
      </c>
      <c r="M292" s="12">
        <f t="shared" si="13"/>
        <v>0.46666666666666634</v>
      </c>
      <c r="N292" s="12">
        <f>Table35[[#This Row],[Trip Hours]]*Table35[[#This Row],['#Angler]]</f>
        <v>0.46666666666666634</v>
      </c>
      <c r="O292" t="s">
        <v>28</v>
      </c>
      <c r="P292" t="s">
        <v>58</v>
      </c>
      <c r="Q292" t="s">
        <v>247</v>
      </c>
      <c r="R292" s="11">
        <v>0</v>
      </c>
      <c r="S292">
        <v>0</v>
      </c>
      <c r="T292">
        <v>0</v>
      </c>
      <c r="U292" s="11">
        <v>0</v>
      </c>
      <c r="V292">
        <v>0</v>
      </c>
      <c r="W292">
        <v>0</v>
      </c>
      <c r="X292" s="11">
        <f t="shared" si="15"/>
        <v>0</v>
      </c>
      <c r="Y292">
        <f t="shared" si="15"/>
        <v>0</v>
      </c>
      <c r="Z292">
        <f t="shared" si="15"/>
        <v>0</v>
      </c>
      <c r="AA292" s="11"/>
    </row>
    <row r="293" spans="1:27" x14ac:dyDescent="0.3">
      <c r="A293" s="7">
        <v>45563</v>
      </c>
      <c r="B293">
        <v>6</v>
      </c>
      <c r="C293" t="s">
        <v>250</v>
      </c>
      <c r="D293" t="s">
        <v>26</v>
      </c>
      <c r="E293">
        <v>13</v>
      </c>
      <c r="F293">
        <v>2</v>
      </c>
      <c r="G293">
        <v>2</v>
      </c>
      <c r="H293" t="s">
        <v>27</v>
      </c>
      <c r="I293">
        <v>1</v>
      </c>
      <c r="J293" s="10">
        <v>0.27083333333333331</v>
      </c>
      <c r="K293" s="10">
        <v>0.39583333333333331</v>
      </c>
      <c r="L293" s="10">
        <f t="shared" si="14"/>
        <v>0.125</v>
      </c>
      <c r="M293" s="12">
        <f t="shared" si="13"/>
        <v>3</v>
      </c>
      <c r="N293" s="12">
        <f>Table35[[#This Row],[Trip Hours]]*Table35[[#This Row],['#Angler]]</f>
        <v>3</v>
      </c>
      <c r="O293" t="s">
        <v>28</v>
      </c>
      <c r="P293" t="s">
        <v>300</v>
      </c>
      <c r="Q293" t="s">
        <v>247</v>
      </c>
      <c r="R293" s="11">
        <v>0</v>
      </c>
      <c r="S293">
        <v>0</v>
      </c>
      <c r="T293">
        <v>0</v>
      </c>
      <c r="U293" s="11">
        <v>0</v>
      </c>
      <c r="V293">
        <v>0</v>
      </c>
      <c r="W293">
        <v>0</v>
      </c>
      <c r="X293" s="11">
        <f t="shared" si="15"/>
        <v>0</v>
      </c>
      <c r="Y293">
        <f t="shared" si="15"/>
        <v>0</v>
      </c>
      <c r="Z293">
        <f t="shared" si="15"/>
        <v>0</v>
      </c>
      <c r="AA293" s="11"/>
    </row>
    <row r="294" spans="1:27" x14ac:dyDescent="0.3">
      <c r="A294" s="7">
        <v>45563</v>
      </c>
      <c r="B294">
        <v>6</v>
      </c>
      <c r="C294" t="s">
        <v>250</v>
      </c>
      <c r="D294" t="s">
        <v>26</v>
      </c>
      <c r="E294">
        <v>14</v>
      </c>
      <c r="F294">
        <v>2</v>
      </c>
      <c r="G294">
        <v>2</v>
      </c>
      <c r="H294" t="s">
        <v>27</v>
      </c>
      <c r="I294">
        <v>2</v>
      </c>
      <c r="J294" s="10">
        <v>0.29166666666666669</v>
      </c>
      <c r="K294" s="10">
        <v>0.40902777777777777</v>
      </c>
      <c r="L294" s="10">
        <f t="shared" si="14"/>
        <v>0.11736111111111108</v>
      </c>
      <c r="M294" s="12">
        <f t="shared" si="13"/>
        <v>2.816666666666666</v>
      </c>
      <c r="N294" s="12">
        <f>Table35[[#This Row],[Trip Hours]]*Table35[[#This Row],['#Angler]]</f>
        <v>5.633333333333332</v>
      </c>
      <c r="O294" t="s">
        <v>28</v>
      </c>
      <c r="P294" t="s">
        <v>56</v>
      </c>
      <c r="Q294" t="s">
        <v>247</v>
      </c>
      <c r="R294" s="11">
        <v>0</v>
      </c>
      <c r="S294">
        <v>0</v>
      </c>
      <c r="T294">
        <v>0</v>
      </c>
      <c r="U294" s="11">
        <v>0</v>
      </c>
      <c r="V294">
        <v>0</v>
      </c>
      <c r="W294">
        <v>0</v>
      </c>
      <c r="X294" s="11">
        <f t="shared" si="15"/>
        <v>0</v>
      </c>
      <c r="Y294">
        <f t="shared" si="15"/>
        <v>0</v>
      </c>
      <c r="Z294">
        <f t="shared" si="15"/>
        <v>0</v>
      </c>
      <c r="AA294" s="11"/>
    </row>
    <row r="295" spans="1:27" x14ac:dyDescent="0.3">
      <c r="A295" s="7">
        <v>45563</v>
      </c>
      <c r="B295">
        <v>6</v>
      </c>
      <c r="C295" t="s">
        <v>250</v>
      </c>
      <c r="D295" t="s">
        <v>26</v>
      </c>
      <c r="E295">
        <v>15</v>
      </c>
      <c r="F295">
        <v>2</v>
      </c>
      <c r="G295">
        <v>2</v>
      </c>
      <c r="H295" t="s">
        <v>27</v>
      </c>
      <c r="I295">
        <v>1</v>
      </c>
      <c r="J295" s="10">
        <v>0.33333333333333331</v>
      </c>
      <c r="K295" s="10">
        <v>0.41041666666666665</v>
      </c>
      <c r="L295" s="10">
        <f t="shared" si="14"/>
        <v>7.7083333333333337E-2</v>
      </c>
      <c r="M295" s="12">
        <f t="shared" si="13"/>
        <v>1.85</v>
      </c>
      <c r="N295" s="12">
        <f>Table35[[#This Row],[Trip Hours]]*Table35[[#This Row],['#Angler]]</f>
        <v>1.85</v>
      </c>
      <c r="O295" t="s">
        <v>28</v>
      </c>
      <c r="P295" t="s">
        <v>56</v>
      </c>
      <c r="Q295" t="s">
        <v>247</v>
      </c>
      <c r="R295" s="11">
        <v>0</v>
      </c>
      <c r="S295">
        <v>0</v>
      </c>
      <c r="T295">
        <v>0</v>
      </c>
      <c r="U295" s="11">
        <v>0</v>
      </c>
      <c r="V295">
        <v>0</v>
      </c>
      <c r="W295">
        <v>0</v>
      </c>
      <c r="X295" s="11">
        <f t="shared" si="15"/>
        <v>0</v>
      </c>
      <c r="Y295">
        <f t="shared" si="15"/>
        <v>0</v>
      </c>
      <c r="Z295">
        <f t="shared" si="15"/>
        <v>0</v>
      </c>
      <c r="AA295" s="11"/>
    </row>
    <row r="296" spans="1:27" x14ac:dyDescent="0.3">
      <c r="A296" s="7">
        <v>45563</v>
      </c>
      <c r="B296">
        <v>6</v>
      </c>
      <c r="C296" t="s">
        <v>250</v>
      </c>
      <c r="D296" t="s">
        <v>26</v>
      </c>
      <c r="E296">
        <v>16</v>
      </c>
      <c r="F296">
        <v>2</v>
      </c>
      <c r="G296">
        <v>2</v>
      </c>
      <c r="H296" t="s">
        <v>27</v>
      </c>
      <c r="I296">
        <v>1</v>
      </c>
      <c r="J296" s="10">
        <v>0.27083333333333331</v>
      </c>
      <c r="K296" s="10">
        <v>0.41041666666666665</v>
      </c>
      <c r="L296" s="10">
        <f t="shared" si="14"/>
        <v>0.13958333333333334</v>
      </c>
      <c r="M296" s="12">
        <f t="shared" si="13"/>
        <v>3.35</v>
      </c>
      <c r="N296" s="12">
        <f>Table35[[#This Row],[Trip Hours]]*Table35[[#This Row],['#Angler]]</f>
        <v>3.35</v>
      </c>
      <c r="O296" t="s">
        <v>28</v>
      </c>
      <c r="P296" t="s">
        <v>56</v>
      </c>
      <c r="Q296" t="s">
        <v>247</v>
      </c>
      <c r="R296" s="11">
        <v>0</v>
      </c>
      <c r="S296">
        <v>2</v>
      </c>
      <c r="T296">
        <v>0</v>
      </c>
      <c r="U296" s="11">
        <v>0</v>
      </c>
      <c r="V296">
        <v>0</v>
      </c>
      <c r="W296">
        <v>0</v>
      </c>
      <c r="X296" s="11">
        <f t="shared" si="15"/>
        <v>0</v>
      </c>
      <c r="Y296">
        <f t="shared" si="15"/>
        <v>2</v>
      </c>
      <c r="Z296">
        <f t="shared" si="15"/>
        <v>0</v>
      </c>
      <c r="AA296" s="11"/>
    </row>
    <row r="297" spans="1:27" x14ac:dyDescent="0.3">
      <c r="A297" s="7">
        <v>45563</v>
      </c>
      <c r="B297">
        <v>6</v>
      </c>
      <c r="C297" t="s">
        <v>250</v>
      </c>
      <c r="D297" t="s">
        <v>26</v>
      </c>
      <c r="E297">
        <v>17</v>
      </c>
      <c r="F297">
        <v>2</v>
      </c>
      <c r="G297">
        <v>2</v>
      </c>
      <c r="H297" t="s">
        <v>27</v>
      </c>
      <c r="I297">
        <v>1</v>
      </c>
      <c r="J297" s="10">
        <v>0.29166666666666669</v>
      </c>
      <c r="K297" s="10">
        <v>0.41180555555555554</v>
      </c>
      <c r="L297" s="10">
        <f t="shared" si="14"/>
        <v>0.12013888888888885</v>
      </c>
      <c r="M297" s="12">
        <f t="shared" si="13"/>
        <v>2.8833333333333324</v>
      </c>
      <c r="N297" s="12">
        <f>Table35[[#This Row],[Trip Hours]]*Table35[[#This Row],['#Angler]]</f>
        <v>2.8833333333333324</v>
      </c>
      <c r="O297" t="s">
        <v>28</v>
      </c>
      <c r="P297" t="s">
        <v>56</v>
      </c>
      <c r="Q297" t="s">
        <v>247</v>
      </c>
      <c r="R297" s="11">
        <v>0</v>
      </c>
      <c r="S297">
        <v>0</v>
      </c>
      <c r="T297">
        <v>0</v>
      </c>
      <c r="U297" s="11">
        <v>0</v>
      </c>
      <c r="V297">
        <v>0</v>
      </c>
      <c r="W297">
        <v>0</v>
      </c>
      <c r="X297" s="11">
        <f t="shared" si="15"/>
        <v>0</v>
      </c>
      <c r="Y297">
        <f t="shared" si="15"/>
        <v>0</v>
      </c>
      <c r="Z297">
        <f t="shared" si="15"/>
        <v>0</v>
      </c>
      <c r="AA297" s="11"/>
    </row>
    <row r="298" spans="1:27" x14ac:dyDescent="0.3">
      <c r="A298" s="7">
        <v>45563</v>
      </c>
      <c r="B298">
        <v>6</v>
      </c>
      <c r="C298" t="s">
        <v>250</v>
      </c>
      <c r="D298" t="s">
        <v>26</v>
      </c>
      <c r="E298">
        <v>18</v>
      </c>
      <c r="F298">
        <v>2</v>
      </c>
      <c r="G298">
        <v>2</v>
      </c>
      <c r="H298" t="s">
        <v>27</v>
      </c>
      <c r="I298">
        <v>1</v>
      </c>
      <c r="J298" s="10">
        <v>0.40625</v>
      </c>
      <c r="K298" s="10">
        <v>0.41250000000000003</v>
      </c>
      <c r="L298" s="10">
        <f t="shared" si="14"/>
        <v>6.2500000000000333E-3</v>
      </c>
      <c r="M298" s="12">
        <f t="shared" si="13"/>
        <v>0.1500000000000008</v>
      </c>
      <c r="N298" s="12">
        <f>Table35[[#This Row],[Trip Hours]]*Table35[[#This Row],['#Angler]]</f>
        <v>0.1500000000000008</v>
      </c>
      <c r="O298" t="s">
        <v>28</v>
      </c>
      <c r="P298" t="s">
        <v>56</v>
      </c>
      <c r="Q298" t="s">
        <v>247</v>
      </c>
      <c r="R298" s="11">
        <v>0</v>
      </c>
      <c r="S298">
        <v>0</v>
      </c>
      <c r="T298">
        <v>0</v>
      </c>
      <c r="U298" s="11">
        <v>0</v>
      </c>
      <c r="V298">
        <v>0</v>
      </c>
      <c r="W298">
        <v>0</v>
      </c>
      <c r="X298" s="11">
        <f t="shared" si="15"/>
        <v>0</v>
      </c>
      <c r="Y298">
        <f t="shared" si="15"/>
        <v>0</v>
      </c>
      <c r="Z298">
        <f t="shared" si="15"/>
        <v>0</v>
      </c>
      <c r="AA298" s="11"/>
    </row>
    <row r="299" spans="1:27" x14ac:dyDescent="0.3">
      <c r="A299" s="7">
        <v>45563</v>
      </c>
      <c r="B299">
        <v>6</v>
      </c>
      <c r="C299" t="s">
        <v>250</v>
      </c>
      <c r="D299" t="s">
        <v>26</v>
      </c>
      <c r="E299">
        <v>19</v>
      </c>
      <c r="F299">
        <v>2</v>
      </c>
      <c r="G299">
        <v>2</v>
      </c>
      <c r="H299" t="s">
        <v>27</v>
      </c>
      <c r="I299">
        <v>2</v>
      </c>
      <c r="J299" s="10">
        <v>0.27083333333333331</v>
      </c>
      <c r="K299" s="10">
        <v>0.41319444444444442</v>
      </c>
      <c r="L299" s="10">
        <f t="shared" si="14"/>
        <v>0.1423611111111111</v>
      </c>
      <c r="M299" s="12">
        <f t="shared" si="13"/>
        <v>3.4166666666666665</v>
      </c>
      <c r="N299" s="12">
        <f>Table35[[#This Row],[Trip Hours]]*Table35[[#This Row],['#Angler]]</f>
        <v>6.833333333333333</v>
      </c>
      <c r="O299" t="s">
        <v>25</v>
      </c>
      <c r="P299" t="s">
        <v>56</v>
      </c>
      <c r="Q299" t="s">
        <v>247</v>
      </c>
      <c r="R299" s="11">
        <v>0</v>
      </c>
      <c r="S299">
        <v>0</v>
      </c>
      <c r="T299">
        <v>0</v>
      </c>
      <c r="U299" s="11">
        <v>0</v>
      </c>
      <c r="V299">
        <v>0</v>
      </c>
      <c r="W299">
        <v>0</v>
      </c>
      <c r="X299" s="11">
        <f t="shared" si="15"/>
        <v>0</v>
      </c>
      <c r="Y299">
        <f t="shared" si="15"/>
        <v>0</v>
      </c>
      <c r="Z299">
        <f t="shared" si="15"/>
        <v>0</v>
      </c>
      <c r="AA299" s="11"/>
    </row>
    <row r="300" spans="1:27" x14ac:dyDescent="0.3">
      <c r="A300" s="7">
        <v>45563</v>
      </c>
      <c r="B300">
        <v>6</v>
      </c>
      <c r="C300" t="s">
        <v>250</v>
      </c>
      <c r="D300" t="s">
        <v>26</v>
      </c>
      <c r="E300">
        <v>20</v>
      </c>
      <c r="F300">
        <v>2</v>
      </c>
      <c r="G300">
        <v>2</v>
      </c>
      <c r="H300" t="s">
        <v>27</v>
      </c>
      <c r="I300">
        <v>1</v>
      </c>
      <c r="J300" s="10">
        <v>0.36458333333333331</v>
      </c>
      <c r="K300" s="10">
        <v>0.41319444444444442</v>
      </c>
      <c r="L300" s="10">
        <f t="shared" si="14"/>
        <v>4.8611111111111105E-2</v>
      </c>
      <c r="M300" s="12">
        <f t="shared" si="13"/>
        <v>1.1666666666666665</v>
      </c>
      <c r="N300" s="12">
        <f>Table35[[#This Row],[Trip Hours]]*Table35[[#This Row],['#Angler]]</f>
        <v>1.1666666666666665</v>
      </c>
      <c r="O300" t="s">
        <v>28</v>
      </c>
      <c r="P300" t="s">
        <v>56</v>
      </c>
      <c r="Q300" t="s">
        <v>238</v>
      </c>
      <c r="R300" s="11">
        <v>0</v>
      </c>
      <c r="S300">
        <v>0</v>
      </c>
      <c r="T300">
        <v>0</v>
      </c>
      <c r="U300" s="11">
        <v>0</v>
      </c>
      <c r="V300">
        <v>0</v>
      </c>
      <c r="W300">
        <v>0</v>
      </c>
      <c r="X300" s="11">
        <f t="shared" si="15"/>
        <v>0</v>
      </c>
      <c r="Y300">
        <f t="shared" si="15"/>
        <v>0</v>
      </c>
      <c r="Z300">
        <f t="shared" si="15"/>
        <v>0</v>
      </c>
      <c r="AA300" s="11"/>
    </row>
    <row r="301" spans="1:27" x14ac:dyDescent="0.3">
      <c r="A301" s="7">
        <v>45563</v>
      </c>
      <c r="B301">
        <v>6</v>
      </c>
      <c r="C301" t="s">
        <v>250</v>
      </c>
      <c r="D301" t="s">
        <v>26</v>
      </c>
      <c r="E301">
        <v>21</v>
      </c>
      <c r="F301">
        <v>2</v>
      </c>
      <c r="G301">
        <v>2</v>
      </c>
      <c r="H301" t="s">
        <v>27</v>
      </c>
      <c r="I301">
        <v>1</v>
      </c>
      <c r="J301" s="10">
        <v>0.29166666666666669</v>
      </c>
      <c r="K301" s="10">
        <v>0.41319444444444442</v>
      </c>
      <c r="L301" s="10">
        <f t="shared" si="14"/>
        <v>0.12152777777777773</v>
      </c>
      <c r="M301" s="12">
        <f t="shared" si="13"/>
        <v>2.9166666666666656</v>
      </c>
      <c r="N301" s="12">
        <f>Table35[[#This Row],[Trip Hours]]*Table35[[#This Row],['#Angler]]</f>
        <v>2.9166666666666656</v>
      </c>
      <c r="O301" t="s">
        <v>25</v>
      </c>
      <c r="P301" t="s">
        <v>56</v>
      </c>
      <c r="Q301" t="s">
        <v>241</v>
      </c>
      <c r="R301" s="11">
        <v>1</v>
      </c>
      <c r="S301">
        <v>0</v>
      </c>
      <c r="T301">
        <v>0</v>
      </c>
      <c r="U301" s="11">
        <v>0</v>
      </c>
      <c r="V301">
        <v>0</v>
      </c>
      <c r="W301">
        <v>0</v>
      </c>
      <c r="X301" s="11">
        <f t="shared" si="15"/>
        <v>1</v>
      </c>
      <c r="Y301">
        <f t="shared" si="15"/>
        <v>0</v>
      </c>
      <c r="Z301">
        <f t="shared" si="15"/>
        <v>0</v>
      </c>
      <c r="AA301" s="11"/>
    </row>
    <row r="302" spans="1:27" x14ac:dyDescent="0.3">
      <c r="A302" s="7">
        <v>45563</v>
      </c>
      <c r="B302">
        <v>6</v>
      </c>
      <c r="C302" t="s">
        <v>250</v>
      </c>
      <c r="D302" t="s">
        <v>26</v>
      </c>
      <c r="E302">
        <v>22</v>
      </c>
      <c r="F302">
        <v>2</v>
      </c>
      <c r="G302">
        <v>2</v>
      </c>
      <c r="H302" t="s">
        <v>27</v>
      </c>
      <c r="I302">
        <v>1</v>
      </c>
      <c r="J302" s="10">
        <v>0.3298611111111111</v>
      </c>
      <c r="K302" s="10">
        <v>0.41319444444444442</v>
      </c>
      <c r="L302" s="10">
        <f t="shared" si="14"/>
        <v>8.3333333333333315E-2</v>
      </c>
      <c r="M302" s="12">
        <f t="shared" si="13"/>
        <v>1.9999999999999996</v>
      </c>
      <c r="N302" s="12">
        <f>Table35[[#This Row],[Trip Hours]]*Table35[[#This Row],['#Angler]]</f>
        <v>1.9999999999999996</v>
      </c>
      <c r="O302" t="s">
        <v>28</v>
      </c>
      <c r="P302" t="s">
        <v>56</v>
      </c>
      <c r="Q302" t="s">
        <v>241</v>
      </c>
      <c r="R302" s="11">
        <v>0</v>
      </c>
      <c r="S302">
        <v>0</v>
      </c>
      <c r="T302">
        <v>0</v>
      </c>
      <c r="U302" s="11">
        <v>0</v>
      </c>
      <c r="V302">
        <v>0</v>
      </c>
      <c r="W302">
        <v>0</v>
      </c>
      <c r="X302" s="11">
        <f t="shared" si="15"/>
        <v>0</v>
      </c>
      <c r="Y302">
        <f t="shared" si="15"/>
        <v>0</v>
      </c>
      <c r="Z302">
        <f t="shared" si="15"/>
        <v>0</v>
      </c>
      <c r="AA302" s="11"/>
    </row>
    <row r="303" spans="1:27" x14ac:dyDescent="0.3">
      <c r="A303" s="7">
        <v>45563</v>
      </c>
      <c r="B303">
        <v>6</v>
      </c>
      <c r="C303" t="s">
        <v>250</v>
      </c>
      <c r="D303" t="s">
        <v>26</v>
      </c>
      <c r="E303">
        <v>23</v>
      </c>
      <c r="F303">
        <v>2</v>
      </c>
      <c r="G303">
        <v>2</v>
      </c>
      <c r="H303" t="s">
        <v>27</v>
      </c>
      <c r="I303">
        <v>1</v>
      </c>
      <c r="J303" s="10">
        <v>0.22916666666666666</v>
      </c>
      <c r="K303" s="10">
        <v>0.41388888888888892</v>
      </c>
      <c r="L303" s="10">
        <f t="shared" si="14"/>
        <v>0.18472222222222226</v>
      </c>
      <c r="M303" s="12">
        <f t="shared" si="13"/>
        <v>4.4333333333333345</v>
      </c>
      <c r="N303" s="12">
        <f>Table35[[#This Row],[Trip Hours]]*Table35[[#This Row],['#Angler]]</f>
        <v>4.4333333333333345</v>
      </c>
      <c r="O303" t="s">
        <v>28</v>
      </c>
      <c r="P303" t="s">
        <v>56</v>
      </c>
      <c r="Q303" t="s">
        <v>247</v>
      </c>
      <c r="R303" s="11">
        <v>0</v>
      </c>
      <c r="S303">
        <v>0</v>
      </c>
      <c r="T303">
        <v>0</v>
      </c>
      <c r="U303" s="11">
        <v>0</v>
      </c>
      <c r="V303">
        <v>0</v>
      </c>
      <c r="W303">
        <v>0</v>
      </c>
      <c r="X303" s="11">
        <f t="shared" si="15"/>
        <v>0</v>
      </c>
      <c r="Y303">
        <f t="shared" si="15"/>
        <v>0</v>
      </c>
      <c r="Z303">
        <f t="shared" si="15"/>
        <v>0</v>
      </c>
      <c r="AA303" s="11"/>
    </row>
    <row r="304" spans="1:27" x14ac:dyDescent="0.3">
      <c r="A304" s="7">
        <v>45563</v>
      </c>
      <c r="B304">
        <v>6</v>
      </c>
      <c r="C304" t="s">
        <v>250</v>
      </c>
      <c r="D304" t="s">
        <v>26</v>
      </c>
      <c r="E304">
        <v>24</v>
      </c>
      <c r="F304">
        <v>2</v>
      </c>
      <c r="G304">
        <v>2</v>
      </c>
      <c r="H304" t="s">
        <v>27</v>
      </c>
      <c r="I304">
        <v>2</v>
      </c>
      <c r="J304" s="10">
        <v>0.3611111111111111</v>
      </c>
      <c r="K304" s="10">
        <v>0.4145833333333333</v>
      </c>
      <c r="L304" s="10">
        <f t="shared" si="14"/>
        <v>5.3472222222222199E-2</v>
      </c>
      <c r="M304" s="12">
        <f t="shared" si="13"/>
        <v>1.2833333333333328</v>
      </c>
      <c r="N304" s="12">
        <f>Table35[[#This Row],[Trip Hours]]*Table35[[#This Row],['#Angler]]</f>
        <v>2.5666666666666655</v>
      </c>
      <c r="O304" t="s">
        <v>28</v>
      </c>
      <c r="P304" t="s">
        <v>56</v>
      </c>
      <c r="Q304" t="s">
        <v>237</v>
      </c>
      <c r="R304" s="11">
        <v>0</v>
      </c>
      <c r="S304">
        <v>0</v>
      </c>
      <c r="T304">
        <v>0</v>
      </c>
      <c r="U304" s="11">
        <v>0</v>
      </c>
      <c r="V304">
        <v>0</v>
      </c>
      <c r="W304">
        <v>0</v>
      </c>
      <c r="X304" s="11">
        <f t="shared" si="15"/>
        <v>0</v>
      </c>
      <c r="Y304">
        <f t="shared" si="15"/>
        <v>0</v>
      </c>
      <c r="Z304">
        <f t="shared" si="15"/>
        <v>0</v>
      </c>
      <c r="AA304" s="11"/>
    </row>
    <row r="305" spans="1:27" x14ac:dyDescent="0.3">
      <c r="A305" s="7">
        <v>45563</v>
      </c>
      <c r="B305">
        <v>6</v>
      </c>
      <c r="C305" t="s">
        <v>250</v>
      </c>
      <c r="D305" t="s">
        <v>26</v>
      </c>
      <c r="E305">
        <v>25</v>
      </c>
      <c r="F305">
        <v>2</v>
      </c>
      <c r="G305">
        <v>2</v>
      </c>
      <c r="H305" t="s">
        <v>27</v>
      </c>
      <c r="I305">
        <v>1</v>
      </c>
      <c r="J305" s="10">
        <v>0.39583333333333331</v>
      </c>
      <c r="K305" s="10">
        <v>0.41597222222222219</v>
      </c>
      <c r="L305" s="10">
        <f t="shared" si="14"/>
        <v>2.0138888888888873E-2</v>
      </c>
      <c r="M305" s="12">
        <f t="shared" si="13"/>
        <v>0.48333333333333295</v>
      </c>
      <c r="N305" s="12">
        <f>Table35[[#This Row],[Trip Hours]]*Table35[[#This Row],['#Angler]]</f>
        <v>0.48333333333333295</v>
      </c>
      <c r="O305" t="s">
        <v>28</v>
      </c>
      <c r="P305" t="s">
        <v>56</v>
      </c>
      <c r="Q305" t="s">
        <v>247</v>
      </c>
      <c r="R305" s="11">
        <v>0</v>
      </c>
      <c r="S305">
        <v>0</v>
      </c>
      <c r="T305">
        <v>0</v>
      </c>
      <c r="U305" s="11">
        <v>0</v>
      </c>
      <c r="V305">
        <v>0</v>
      </c>
      <c r="W305">
        <v>0</v>
      </c>
      <c r="X305" s="11">
        <f t="shared" si="15"/>
        <v>0</v>
      </c>
      <c r="Y305">
        <f t="shared" si="15"/>
        <v>0</v>
      </c>
      <c r="Z305">
        <f t="shared" si="15"/>
        <v>0</v>
      </c>
      <c r="AA305" s="11"/>
    </row>
    <row r="306" spans="1:27" x14ac:dyDescent="0.3">
      <c r="A306" s="7">
        <v>45563</v>
      </c>
      <c r="B306">
        <v>6</v>
      </c>
      <c r="C306" t="s">
        <v>250</v>
      </c>
      <c r="D306" t="s">
        <v>26</v>
      </c>
      <c r="E306">
        <v>26</v>
      </c>
      <c r="F306">
        <v>2</v>
      </c>
      <c r="G306">
        <v>2</v>
      </c>
      <c r="H306" t="s">
        <v>27</v>
      </c>
      <c r="I306">
        <v>1</v>
      </c>
      <c r="J306" s="10">
        <v>0.25</v>
      </c>
      <c r="K306" s="10">
        <v>0.43611111111111112</v>
      </c>
      <c r="L306" s="10">
        <f t="shared" si="14"/>
        <v>0.18611111111111112</v>
      </c>
      <c r="M306" s="12">
        <f t="shared" si="13"/>
        <v>4.4666666666666668</v>
      </c>
      <c r="N306" s="12">
        <f>Table35[[#This Row],[Trip Hours]]*Table35[[#This Row],['#Angler]]</f>
        <v>4.4666666666666668</v>
      </c>
      <c r="O306" t="s">
        <v>25</v>
      </c>
      <c r="P306" t="s">
        <v>56</v>
      </c>
      <c r="Q306" t="s">
        <v>247</v>
      </c>
      <c r="R306" s="11">
        <v>0</v>
      </c>
      <c r="S306">
        <v>1</v>
      </c>
      <c r="T306">
        <v>0</v>
      </c>
      <c r="U306" s="11">
        <v>0</v>
      </c>
      <c r="V306">
        <v>0</v>
      </c>
      <c r="W306">
        <v>0</v>
      </c>
      <c r="X306" s="11">
        <f t="shared" si="15"/>
        <v>0</v>
      </c>
      <c r="Y306">
        <f t="shared" si="15"/>
        <v>1</v>
      </c>
      <c r="Z306">
        <f t="shared" si="15"/>
        <v>0</v>
      </c>
      <c r="AA306" s="11"/>
    </row>
    <row r="307" spans="1:27" x14ac:dyDescent="0.3">
      <c r="A307" s="7">
        <v>45563</v>
      </c>
      <c r="B307">
        <v>6</v>
      </c>
      <c r="C307" t="s">
        <v>250</v>
      </c>
      <c r="D307" t="s">
        <v>26</v>
      </c>
      <c r="E307">
        <v>27</v>
      </c>
      <c r="F307">
        <v>2</v>
      </c>
      <c r="G307">
        <v>2</v>
      </c>
      <c r="H307" t="s">
        <v>27</v>
      </c>
      <c r="I307">
        <v>1</v>
      </c>
      <c r="J307" s="10">
        <v>0.27083333333333331</v>
      </c>
      <c r="K307" s="10">
        <v>0.4381944444444445</v>
      </c>
      <c r="L307" s="10">
        <f t="shared" si="14"/>
        <v>0.16736111111111118</v>
      </c>
      <c r="M307" s="12">
        <f t="shared" si="13"/>
        <v>4.0166666666666684</v>
      </c>
      <c r="N307" s="12">
        <f>Table35[[#This Row],[Trip Hours]]*Table35[[#This Row],['#Angler]]</f>
        <v>4.0166666666666684</v>
      </c>
      <c r="O307" t="s">
        <v>28</v>
      </c>
      <c r="P307" t="s">
        <v>56</v>
      </c>
      <c r="Q307" t="s">
        <v>247</v>
      </c>
      <c r="R307" s="11">
        <v>0</v>
      </c>
      <c r="S307">
        <v>0</v>
      </c>
      <c r="T307">
        <v>0</v>
      </c>
      <c r="U307" s="11">
        <v>0</v>
      </c>
      <c r="V307">
        <v>0</v>
      </c>
      <c r="W307">
        <v>0</v>
      </c>
      <c r="X307" s="11">
        <f t="shared" si="15"/>
        <v>0</v>
      </c>
      <c r="Y307">
        <f t="shared" si="15"/>
        <v>0</v>
      </c>
      <c r="Z307">
        <f t="shared" si="15"/>
        <v>0</v>
      </c>
      <c r="AA307" s="11"/>
    </row>
    <row r="308" spans="1:27" x14ac:dyDescent="0.3">
      <c r="A308" s="7">
        <v>45563</v>
      </c>
      <c r="B308">
        <v>6</v>
      </c>
      <c r="C308" t="s">
        <v>250</v>
      </c>
      <c r="D308" t="s">
        <v>26</v>
      </c>
      <c r="E308">
        <v>28</v>
      </c>
      <c r="F308">
        <v>2</v>
      </c>
      <c r="G308">
        <v>2</v>
      </c>
      <c r="H308" t="s">
        <v>27</v>
      </c>
      <c r="I308">
        <v>3</v>
      </c>
      <c r="J308" s="10">
        <v>0.375</v>
      </c>
      <c r="K308" s="10">
        <v>0.43888888888888888</v>
      </c>
      <c r="L308" s="10">
        <f t="shared" si="14"/>
        <v>6.3888888888888884E-2</v>
      </c>
      <c r="M308" s="12">
        <f t="shared" si="13"/>
        <v>1.5333333333333332</v>
      </c>
      <c r="N308" s="12">
        <f>Table35[[#This Row],[Trip Hours]]*Table35[[#This Row],['#Angler]]</f>
        <v>4.5999999999999996</v>
      </c>
      <c r="O308" t="s">
        <v>28</v>
      </c>
      <c r="P308" t="s">
        <v>56</v>
      </c>
      <c r="Q308" t="s">
        <v>247</v>
      </c>
      <c r="R308" s="11">
        <v>0</v>
      </c>
      <c r="S308">
        <v>0</v>
      </c>
      <c r="T308">
        <v>0</v>
      </c>
      <c r="U308" s="11">
        <v>0</v>
      </c>
      <c r="V308">
        <v>0</v>
      </c>
      <c r="W308">
        <v>0</v>
      </c>
      <c r="X308" s="11">
        <f t="shared" si="15"/>
        <v>0</v>
      </c>
      <c r="Y308">
        <f t="shared" si="15"/>
        <v>0</v>
      </c>
      <c r="Z308">
        <f t="shared" si="15"/>
        <v>0</v>
      </c>
      <c r="AA308" s="11"/>
    </row>
    <row r="309" spans="1:27" x14ac:dyDescent="0.3">
      <c r="A309" s="7">
        <v>45563</v>
      </c>
      <c r="B309">
        <v>6</v>
      </c>
      <c r="C309" t="s">
        <v>250</v>
      </c>
      <c r="D309" t="s">
        <v>26</v>
      </c>
      <c r="E309">
        <v>29</v>
      </c>
      <c r="F309">
        <v>2</v>
      </c>
      <c r="G309">
        <v>2</v>
      </c>
      <c r="H309" t="s">
        <v>27</v>
      </c>
      <c r="I309">
        <v>1</v>
      </c>
      <c r="J309" s="10">
        <v>0.375</v>
      </c>
      <c r="K309" s="10">
        <v>0.44027777777777777</v>
      </c>
      <c r="L309" s="10">
        <f t="shared" si="14"/>
        <v>6.5277777777777768E-2</v>
      </c>
      <c r="M309" s="12">
        <f t="shared" si="13"/>
        <v>1.5666666666666664</v>
      </c>
      <c r="N309" s="12">
        <f>Table35[[#This Row],[Trip Hours]]*Table35[[#This Row],['#Angler]]</f>
        <v>1.5666666666666664</v>
      </c>
      <c r="O309" t="s">
        <v>28</v>
      </c>
      <c r="P309" t="s">
        <v>305</v>
      </c>
      <c r="Q309" t="s">
        <v>247</v>
      </c>
      <c r="R309" s="11">
        <v>0</v>
      </c>
      <c r="S309">
        <v>1</v>
      </c>
      <c r="T309">
        <v>0</v>
      </c>
      <c r="U309" s="11">
        <v>0</v>
      </c>
      <c r="V309">
        <v>0</v>
      </c>
      <c r="W309">
        <v>0</v>
      </c>
      <c r="X309" s="11">
        <f t="shared" si="15"/>
        <v>0</v>
      </c>
      <c r="Y309">
        <f t="shared" si="15"/>
        <v>1</v>
      </c>
      <c r="Z309">
        <f t="shared" si="15"/>
        <v>0</v>
      </c>
      <c r="AA309" s="11"/>
    </row>
    <row r="310" spans="1:27" x14ac:dyDescent="0.3">
      <c r="A310" s="7">
        <v>45563</v>
      </c>
      <c r="B310">
        <v>6</v>
      </c>
      <c r="C310" t="s">
        <v>250</v>
      </c>
      <c r="D310" t="s">
        <v>26</v>
      </c>
      <c r="E310">
        <v>30</v>
      </c>
      <c r="F310">
        <v>2</v>
      </c>
      <c r="G310">
        <v>2</v>
      </c>
      <c r="H310" t="s">
        <v>27</v>
      </c>
      <c r="I310">
        <v>2</v>
      </c>
      <c r="J310" s="10">
        <v>0.33333333333333331</v>
      </c>
      <c r="K310" s="10">
        <v>0.44097222222222227</v>
      </c>
      <c r="L310" s="10">
        <f t="shared" si="14"/>
        <v>0.10763888888888895</v>
      </c>
      <c r="M310" s="12">
        <f t="shared" si="13"/>
        <v>2.5833333333333348</v>
      </c>
      <c r="N310" s="12">
        <f>Table35[[#This Row],[Trip Hours]]*Table35[[#This Row],['#Angler]]</f>
        <v>5.1666666666666696</v>
      </c>
      <c r="O310" t="s">
        <v>28</v>
      </c>
      <c r="P310" t="s">
        <v>309</v>
      </c>
      <c r="Q310" t="s">
        <v>247</v>
      </c>
      <c r="R310" s="11">
        <v>0</v>
      </c>
      <c r="S310">
        <v>0</v>
      </c>
      <c r="T310">
        <v>0</v>
      </c>
      <c r="U310" s="11">
        <v>0</v>
      </c>
      <c r="V310">
        <v>0</v>
      </c>
      <c r="W310">
        <v>0</v>
      </c>
      <c r="X310" s="11">
        <f t="shared" si="15"/>
        <v>0</v>
      </c>
      <c r="Y310">
        <f t="shared" si="15"/>
        <v>0</v>
      </c>
      <c r="Z310">
        <f t="shared" si="15"/>
        <v>0</v>
      </c>
      <c r="AA310" s="11"/>
    </row>
    <row r="311" spans="1:27" x14ac:dyDescent="0.3">
      <c r="A311" s="7">
        <v>45563</v>
      </c>
      <c r="B311">
        <v>6</v>
      </c>
      <c r="C311" t="s">
        <v>250</v>
      </c>
      <c r="D311" t="s">
        <v>26</v>
      </c>
      <c r="E311">
        <v>31</v>
      </c>
      <c r="F311">
        <v>2</v>
      </c>
      <c r="G311">
        <v>2</v>
      </c>
      <c r="H311" t="s">
        <v>27</v>
      </c>
      <c r="I311">
        <v>2</v>
      </c>
      <c r="J311" s="10">
        <v>0.36458333333333331</v>
      </c>
      <c r="K311" s="10">
        <v>0.45277777777777778</v>
      </c>
      <c r="L311" s="10">
        <f t="shared" si="14"/>
        <v>8.8194444444444464E-2</v>
      </c>
      <c r="M311" s="12">
        <f t="shared" si="13"/>
        <v>2.1166666666666671</v>
      </c>
      <c r="N311" s="12">
        <f>Table35[[#This Row],[Trip Hours]]*Table35[[#This Row],['#Angler]]</f>
        <v>4.2333333333333343</v>
      </c>
      <c r="O311" t="s">
        <v>25</v>
      </c>
      <c r="P311" t="s">
        <v>56</v>
      </c>
      <c r="Q311" t="s">
        <v>241</v>
      </c>
      <c r="R311" s="11">
        <v>0</v>
      </c>
      <c r="S311">
        <v>6</v>
      </c>
      <c r="T311">
        <v>0</v>
      </c>
      <c r="U311" s="11">
        <v>0</v>
      </c>
      <c r="V311">
        <v>0</v>
      </c>
      <c r="W311">
        <v>0</v>
      </c>
      <c r="X311" s="11">
        <f t="shared" si="15"/>
        <v>0</v>
      </c>
      <c r="Y311">
        <f t="shared" si="15"/>
        <v>6</v>
      </c>
      <c r="Z311">
        <f t="shared" si="15"/>
        <v>0</v>
      </c>
      <c r="AA311" s="11"/>
    </row>
    <row r="312" spans="1:27" x14ac:dyDescent="0.3">
      <c r="A312" s="7">
        <v>45563</v>
      </c>
      <c r="B312">
        <v>6</v>
      </c>
      <c r="C312" t="s">
        <v>250</v>
      </c>
      <c r="D312" t="s">
        <v>26</v>
      </c>
      <c r="E312">
        <v>32</v>
      </c>
      <c r="F312">
        <v>2</v>
      </c>
      <c r="G312">
        <v>2</v>
      </c>
      <c r="H312" t="s">
        <v>27</v>
      </c>
      <c r="I312">
        <v>2</v>
      </c>
      <c r="J312" s="10">
        <v>0.44791666666666669</v>
      </c>
      <c r="K312" s="10">
        <v>0.45416666666666666</v>
      </c>
      <c r="L312" s="10">
        <f t="shared" si="14"/>
        <v>6.2499999999999778E-3</v>
      </c>
      <c r="M312" s="12">
        <f t="shared" si="13"/>
        <v>0.14999999999999947</v>
      </c>
      <c r="N312" s="12">
        <f>Table35[[#This Row],[Trip Hours]]*Table35[[#This Row],['#Angler]]</f>
        <v>0.29999999999999893</v>
      </c>
      <c r="O312" t="s">
        <v>28</v>
      </c>
      <c r="P312" t="s">
        <v>148</v>
      </c>
      <c r="Q312" t="s">
        <v>247</v>
      </c>
      <c r="R312" s="11">
        <v>0</v>
      </c>
      <c r="S312">
        <v>0</v>
      </c>
      <c r="T312">
        <v>0</v>
      </c>
      <c r="U312" s="11">
        <v>0</v>
      </c>
      <c r="V312">
        <v>0</v>
      </c>
      <c r="W312">
        <v>0</v>
      </c>
      <c r="X312" s="11">
        <f t="shared" si="15"/>
        <v>0</v>
      </c>
      <c r="Y312">
        <f t="shared" si="15"/>
        <v>0</v>
      </c>
      <c r="Z312">
        <f t="shared" si="15"/>
        <v>0</v>
      </c>
      <c r="AA312" s="11"/>
    </row>
    <row r="313" spans="1:27" x14ac:dyDescent="0.3">
      <c r="A313" s="7">
        <v>45563</v>
      </c>
      <c r="B313">
        <v>6</v>
      </c>
      <c r="C313" t="s">
        <v>250</v>
      </c>
      <c r="D313" t="s">
        <v>26</v>
      </c>
      <c r="E313">
        <v>33</v>
      </c>
      <c r="F313">
        <v>2</v>
      </c>
      <c r="G313">
        <v>2</v>
      </c>
      <c r="H313" t="s">
        <v>27</v>
      </c>
      <c r="I313">
        <v>1</v>
      </c>
      <c r="J313" s="10">
        <v>0.43402777777777773</v>
      </c>
      <c r="K313" s="10">
        <v>0.4548611111111111</v>
      </c>
      <c r="L313" s="10">
        <f t="shared" si="14"/>
        <v>2.083333333333337E-2</v>
      </c>
      <c r="M313" s="12">
        <f t="shared" si="13"/>
        <v>0.50000000000000089</v>
      </c>
      <c r="N313" s="12">
        <f>Table35[[#This Row],[Trip Hours]]*Table35[[#This Row],['#Angler]]</f>
        <v>0.50000000000000089</v>
      </c>
      <c r="O313" t="s">
        <v>28</v>
      </c>
      <c r="P313" t="s">
        <v>56</v>
      </c>
      <c r="Q313" t="s">
        <v>247</v>
      </c>
      <c r="R313" s="11">
        <v>0</v>
      </c>
      <c r="S313">
        <v>0</v>
      </c>
      <c r="T313">
        <v>0</v>
      </c>
      <c r="U313" s="11">
        <v>0</v>
      </c>
      <c r="V313">
        <v>0</v>
      </c>
      <c r="W313">
        <v>0</v>
      </c>
      <c r="X313" s="11">
        <f t="shared" si="15"/>
        <v>0</v>
      </c>
      <c r="Y313">
        <f t="shared" si="15"/>
        <v>0</v>
      </c>
      <c r="Z313">
        <f t="shared" si="15"/>
        <v>0</v>
      </c>
      <c r="AA313" s="11"/>
    </row>
    <row r="314" spans="1:27" x14ac:dyDescent="0.3">
      <c r="A314" s="7">
        <v>45563</v>
      </c>
      <c r="B314">
        <v>6</v>
      </c>
      <c r="C314" t="s">
        <v>250</v>
      </c>
      <c r="D314" t="s">
        <v>26</v>
      </c>
      <c r="E314">
        <v>34</v>
      </c>
      <c r="F314">
        <v>2</v>
      </c>
      <c r="G314">
        <v>2</v>
      </c>
      <c r="H314" t="s">
        <v>27</v>
      </c>
      <c r="I314">
        <v>1</v>
      </c>
      <c r="J314" s="10">
        <v>0.41319444444444442</v>
      </c>
      <c r="K314" s="10">
        <v>0.4548611111111111</v>
      </c>
      <c r="L314" s="10">
        <f t="shared" si="14"/>
        <v>4.1666666666666685E-2</v>
      </c>
      <c r="M314" s="12">
        <f t="shared" si="13"/>
        <v>1.0000000000000004</v>
      </c>
      <c r="N314" s="12">
        <f>Table35[[#This Row],[Trip Hours]]*Table35[[#This Row],['#Angler]]</f>
        <v>1.0000000000000004</v>
      </c>
      <c r="O314" t="s">
        <v>28</v>
      </c>
      <c r="P314" t="s">
        <v>56</v>
      </c>
      <c r="Q314" t="s">
        <v>247</v>
      </c>
      <c r="R314" s="11">
        <v>0</v>
      </c>
      <c r="S314">
        <v>1</v>
      </c>
      <c r="T314">
        <v>0</v>
      </c>
      <c r="U314" s="11">
        <v>0</v>
      </c>
      <c r="V314">
        <v>0</v>
      </c>
      <c r="W314">
        <v>0</v>
      </c>
      <c r="X314" s="11">
        <f t="shared" si="15"/>
        <v>0</v>
      </c>
      <c r="Y314">
        <f t="shared" si="15"/>
        <v>1</v>
      </c>
      <c r="Z314">
        <f t="shared" si="15"/>
        <v>0</v>
      </c>
      <c r="AA314" s="11"/>
    </row>
    <row r="315" spans="1:27" x14ac:dyDescent="0.3">
      <c r="A315" s="7">
        <v>45563</v>
      </c>
      <c r="B315">
        <v>6</v>
      </c>
      <c r="C315" t="s">
        <v>250</v>
      </c>
      <c r="D315" t="s">
        <v>26</v>
      </c>
      <c r="E315">
        <v>35</v>
      </c>
      <c r="F315">
        <v>2</v>
      </c>
      <c r="G315">
        <v>2</v>
      </c>
      <c r="H315" t="s">
        <v>27</v>
      </c>
      <c r="I315">
        <v>1</v>
      </c>
      <c r="J315" s="10">
        <v>0.44791666666666669</v>
      </c>
      <c r="K315" s="10">
        <v>0.45624999999999999</v>
      </c>
      <c r="L315" s="10">
        <f t="shared" si="14"/>
        <v>8.3333333333333037E-3</v>
      </c>
      <c r="M315" s="12">
        <f t="shared" si="13"/>
        <v>0.19999999999999929</v>
      </c>
      <c r="N315" s="12">
        <f>Table35[[#This Row],[Trip Hours]]*Table35[[#This Row],['#Angler]]</f>
        <v>0.19999999999999929</v>
      </c>
      <c r="O315" t="s">
        <v>28</v>
      </c>
      <c r="P315" t="s">
        <v>49</v>
      </c>
      <c r="Q315" t="s">
        <v>241</v>
      </c>
      <c r="R315" s="11">
        <v>0</v>
      </c>
      <c r="S315">
        <v>0</v>
      </c>
      <c r="T315">
        <v>0</v>
      </c>
      <c r="U315" s="11">
        <v>0</v>
      </c>
      <c r="V315">
        <v>0</v>
      </c>
      <c r="W315">
        <v>0</v>
      </c>
      <c r="X315" s="11">
        <f t="shared" si="15"/>
        <v>0</v>
      </c>
      <c r="Y315">
        <f t="shared" si="15"/>
        <v>0</v>
      </c>
      <c r="Z315">
        <f t="shared" si="15"/>
        <v>0</v>
      </c>
      <c r="AA315" s="11"/>
    </row>
    <row r="316" spans="1:27" x14ac:dyDescent="0.3">
      <c r="A316" s="7">
        <v>45563</v>
      </c>
      <c r="B316">
        <v>6</v>
      </c>
      <c r="C316" t="s">
        <v>250</v>
      </c>
      <c r="D316" t="s">
        <v>26</v>
      </c>
      <c r="E316">
        <v>36</v>
      </c>
      <c r="F316">
        <v>2</v>
      </c>
      <c r="G316">
        <v>2</v>
      </c>
      <c r="H316" t="s">
        <v>27</v>
      </c>
      <c r="I316">
        <v>1</v>
      </c>
      <c r="J316" s="10">
        <v>0.27083333333333331</v>
      </c>
      <c r="K316" s="10">
        <v>0.45694444444444443</v>
      </c>
      <c r="L316" s="10">
        <f t="shared" si="14"/>
        <v>0.18611111111111112</v>
      </c>
      <c r="M316" s="12">
        <f t="shared" si="13"/>
        <v>4.4666666666666668</v>
      </c>
      <c r="N316" s="12">
        <f>Table35[[#This Row],[Trip Hours]]*Table35[[#This Row],['#Angler]]</f>
        <v>4.4666666666666668</v>
      </c>
      <c r="O316" t="s">
        <v>28</v>
      </c>
      <c r="P316" t="s">
        <v>56</v>
      </c>
      <c r="Q316" t="s">
        <v>247</v>
      </c>
      <c r="R316" s="11">
        <v>0</v>
      </c>
      <c r="S316">
        <v>0</v>
      </c>
      <c r="T316">
        <v>0</v>
      </c>
      <c r="U316" s="11">
        <v>0</v>
      </c>
      <c r="V316">
        <v>0</v>
      </c>
      <c r="W316">
        <v>0</v>
      </c>
      <c r="X316" s="11">
        <f t="shared" si="15"/>
        <v>0</v>
      </c>
      <c r="Y316">
        <f t="shared" si="15"/>
        <v>0</v>
      </c>
      <c r="Z316">
        <f t="shared" si="15"/>
        <v>0</v>
      </c>
      <c r="AA316" s="11"/>
    </row>
    <row r="317" spans="1:27" x14ac:dyDescent="0.3">
      <c r="A317" s="7">
        <v>45563</v>
      </c>
      <c r="B317">
        <v>6</v>
      </c>
      <c r="C317" t="s">
        <v>250</v>
      </c>
      <c r="D317" t="s">
        <v>26</v>
      </c>
      <c r="E317">
        <v>37</v>
      </c>
      <c r="F317">
        <v>2</v>
      </c>
      <c r="G317">
        <v>2</v>
      </c>
      <c r="H317" t="s">
        <v>27</v>
      </c>
      <c r="I317">
        <v>1</v>
      </c>
      <c r="J317" s="10">
        <v>0.25</v>
      </c>
      <c r="K317" s="10">
        <v>0.45763888888888887</v>
      </c>
      <c r="L317" s="10">
        <f t="shared" si="14"/>
        <v>0.20763888888888887</v>
      </c>
      <c r="M317" s="12">
        <f t="shared" si="13"/>
        <v>4.9833333333333325</v>
      </c>
      <c r="N317" s="12">
        <f>Table35[[#This Row],[Trip Hours]]*Table35[[#This Row],['#Angler]]</f>
        <v>4.9833333333333325</v>
      </c>
      <c r="O317" t="s">
        <v>28</v>
      </c>
      <c r="P317" t="s">
        <v>56</v>
      </c>
      <c r="Q317" t="s">
        <v>241</v>
      </c>
      <c r="R317" s="11">
        <v>0</v>
      </c>
      <c r="S317">
        <v>2</v>
      </c>
      <c r="T317">
        <v>0</v>
      </c>
      <c r="U317" s="11">
        <v>0</v>
      </c>
      <c r="V317">
        <v>0</v>
      </c>
      <c r="W317">
        <v>0</v>
      </c>
      <c r="X317" s="11">
        <f t="shared" si="15"/>
        <v>0</v>
      </c>
      <c r="Y317">
        <f t="shared" si="15"/>
        <v>2</v>
      </c>
      <c r="Z317">
        <f t="shared" si="15"/>
        <v>0</v>
      </c>
      <c r="AA317" s="11"/>
    </row>
    <row r="318" spans="1:27" x14ac:dyDescent="0.3">
      <c r="A318" s="7">
        <v>45563</v>
      </c>
      <c r="B318">
        <v>6</v>
      </c>
      <c r="C318" t="s">
        <v>250</v>
      </c>
      <c r="D318" t="s">
        <v>26</v>
      </c>
      <c r="E318">
        <v>38</v>
      </c>
      <c r="F318">
        <v>2</v>
      </c>
      <c r="G318">
        <v>2</v>
      </c>
      <c r="H318" t="s">
        <v>27</v>
      </c>
      <c r="I318">
        <v>2</v>
      </c>
      <c r="J318" s="10">
        <v>0.375</v>
      </c>
      <c r="K318" s="10">
        <v>0.46527777777777773</v>
      </c>
      <c r="L318" s="10">
        <f t="shared" si="14"/>
        <v>9.0277777777777735E-2</v>
      </c>
      <c r="M318" s="12">
        <f t="shared" si="13"/>
        <v>2.1666666666666656</v>
      </c>
      <c r="N318" s="12">
        <f>Table35[[#This Row],[Trip Hours]]*Table35[[#This Row],['#Angler]]</f>
        <v>4.3333333333333313</v>
      </c>
      <c r="O318" t="s">
        <v>25</v>
      </c>
      <c r="P318" t="s">
        <v>279</v>
      </c>
      <c r="Q318" t="s">
        <v>241</v>
      </c>
      <c r="R318" s="11">
        <v>0</v>
      </c>
      <c r="S318">
        <v>0</v>
      </c>
      <c r="T318">
        <v>0</v>
      </c>
      <c r="U318" s="11">
        <v>0</v>
      </c>
      <c r="V318">
        <v>0</v>
      </c>
      <c r="W318">
        <v>0</v>
      </c>
      <c r="X318" s="11">
        <f t="shared" si="15"/>
        <v>0</v>
      </c>
      <c r="Y318">
        <f t="shared" si="15"/>
        <v>0</v>
      </c>
      <c r="Z318">
        <f t="shared" si="15"/>
        <v>0</v>
      </c>
      <c r="AA318" s="11"/>
    </row>
    <row r="319" spans="1:27" x14ac:dyDescent="0.3">
      <c r="A319" s="7">
        <v>45563</v>
      </c>
      <c r="B319">
        <v>6</v>
      </c>
      <c r="C319" t="s">
        <v>250</v>
      </c>
      <c r="D319" t="s">
        <v>26</v>
      </c>
      <c r="E319">
        <v>39</v>
      </c>
      <c r="F319">
        <v>2</v>
      </c>
      <c r="G319">
        <v>2</v>
      </c>
      <c r="H319" t="s">
        <v>27</v>
      </c>
      <c r="I319">
        <v>1</v>
      </c>
      <c r="J319" s="10">
        <v>0.25</v>
      </c>
      <c r="K319" s="10">
        <v>0.47222222222222227</v>
      </c>
      <c r="L319" s="10">
        <f t="shared" si="14"/>
        <v>0.22222222222222227</v>
      </c>
      <c r="M319" s="12">
        <f t="shared" si="13"/>
        <v>5.3333333333333339</v>
      </c>
      <c r="N319" s="12">
        <f>Table35[[#This Row],[Trip Hours]]*Table35[[#This Row],['#Angler]]</f>
        <v>5.3333333333333339</v>
      </c>
      <c r="O319" t="s">
        <v>28</v>
      </c>
      <c r="P319" t="s">
        <v>56</v>
      </c>
      <c r="Q319" t="s">
        <v>247</v>
      </c>
      <c r="R319" s="11">
        <v>0</v>
      </c>
      <c r="S319">
        <v>0</v>
      </c>
      <c r="T319">
        <v>0</v>
      </c>
      <c r="U319" s="11">
        <v>0</v>
      </c>
      <c r="V319">
        <v>0</v>
      </c>
      <c r="W319">
        <v>0</v>
      </c>
      <c r="X319" s="11">
        <f t="shared" si="15"/>
        <v>0</v>
      </c>
      <c r="Y319">
        <f t="shared" si="15"/>
        <v>0</v>
      </c>
      <c r="Z319">
        <f t="shared" si="15"/>
        <v>0</v>
      </c>
      <c r="AA319" s="11"/>
    </row>
    <row r="320" spans="1:27" x14ac:dyDescent="0.3">
      <c r="A320" s="7">
        <v>45563</v>
      </c>
      <c r="B320">
        <v>6</v>
      </c>
      <c r="C320" t="s">
        <v>250</v>
      </c>
      <c r="D320" t="s">
        <v>26</v>
      </c>
      <c r="E320">
        <v>40</v>
      </c>
      <c r="F320">
        <v>2</v>
      </c>
      <c r="G320">
        <v>2</v>
      </c>
      <c r="H320" t="s">
        <v>27</v>
      </c>
      <c r="I320">
        <v>2</v>
      </c>
      <c r="J320" s="10">
        <v>0.33333333333333331</v>
      </c>
      <c r="K320" s="10">
        <v>0.47222222222222227</v>
      </c>
      <c r="L320" s="10">
        <f t="shared" si="14"/>
        <v>0.13888888888888895</v>
      </c>
      <c r="M320" s="12">
        <f t="shared" si="13"/>
        <v>3.3333333333333348</v>
      </c>
      <c r="N320" s="12">
        <f>Table35[[#This Row],[Trip Hours]]*Table35[[#This Row],['#Angler]]</f>
        <v>6.6666666666666696</v>
      </c>
      <c r="O320" t="s">
        <v>28</v>
      </c>
      <c r="P320" t="s">
        <v>56</v>
      </c>
      <c r="Q320" t="s">
        <v>247</v>
      </c>
      <c r="R320" s="11">
        <v>0</v>
      </c>
      <c r="S320">
        <v>1</v>
      </c>
      <c r="T320">
        <v>0</v>
      </c>
      <c r="U320" s="11">
        <v>0</v>
      </c>
      <c r="V320">
        <v>0</v>
      </c>
      <c r="W320">
        <v>0</v>
      </c>
      <c r="X320" s="11">
        <f t="shared" si="15"/>
        <v>0</v>
      </c>
      <c r="Y320">
        <f t="shared" si="15"/>
        <v>1</v>
      </c>
      <c r="Z320">
        <f t="shared" si="15"/>
        <v>0</v>
      </c>
      <c r="AA320" s="11"/>
    </row>
    <row r="321" spans="1:27" x14ac:dyDescent="0.3">
      <c r="A321" s="7">
        <v>45563</v>
      </c>
      <c r="B321">
        <v>6</v>
      </c>
      <c r="C321" t="s">
        <v>250</v>
      </c>
      <c r="D321" t="s">
        <v>26</v>
      </c>
      <c r="E321">
        <v>41</v>
      </c>
      <c r="F321">
        <v>2</v>
      </c>
      <c r="G321">
        <v>2</v>
      </c>
      <c r="H321" t="s">
        <v>27</v>
      </c>
      <c r="I321">
        <v>1</v>
      </c>
      <c r="J321" s="10">
        <v>0.35416666666666669</v>
      </c>
      <c r="K321" s="10">
        <v>0.47222222222222227</v>
      </c>
      <c r="L321" s="10">
        <f t="shared" si="14"/>
        <v>0.11805555555555558</v>
      </c>
      <c r="M321" s="12">
        <f t="shared" si="13"/>
        <v>2.8333333333333339</v>
      </c>
      <c r="N321" s="12">
        <f>Table35[[#This Row],[Trip Hours]]*Table35[[#This Row],['#Angler]]</f>
        <v>2.8333333333333339</v>
      </c>
      <c r="O321" t="s">
        <v>28</v>
      </c>
      <c r="P321" t="s">
        <v>49</v>
      </c>
      <c r="Q321" t="s">
        <v>247</v>
      </c>
      <c r="R321" s="11">
        <v>0</v>
      </c>
      <c r="S321">
        <v>0</v>
      </c>
      <c r="T321">
        <v>0</v>
      </c>
      <c r="U321" s="11">
        <v>0</v>
      </c>
      <c r="V321">
        <v>0</v>
      </c>
      <c r="W321">
        <v>0</v>
      </c>
      <c r="X321" s="11">
        <f t="shared" si="15"/>
        <v>0</v>
      </c>
      <c r="Y321">
        <f t="shared" si="15"/>
        <v>0</v>
      </c>
      <c r="Z321">
        <f t="shared" si="15"/>
        <v>0</v>
      </c>
      <c r="AA321" s="11"/>
    </row>
    <row r="322" spans="1:27" x14ac:dyDescent="0.3">
      <c r="A322" s="7">
        <v>45563</v>
      </c>
      <c r="B322">
        <v>6</v>
      </c>
      <c r="C322" t="s">
        <v>250</v>
      </c>
      <c r="D322" t="s">
        <v>26</v>
      </c>
      <c r="E322">
        <v>42</v>
      </c>
      <c r="F322">
        <v>2</v>
      </c>
      <c r="G322">
        <v>2</v>
      </c>
      <c r="H322" t="s">
        <v>27</v>
      </c>
      <c r="I322">
        <v>1</v>
      </c>
      <c r="J322" s="10">
        <v>0.29166666666666669</v>
      </c>
      <c r="K322" s="10">
        <v>0.46527777777777773</v>
      </c>
      <c r="L322" s="10">
        <f t="shared" si="14"/>
        <v>0.17361111111111105</v>
      </c>
      <c r="M322" s="12">
        <f t="shared" ref="M322:M385" si="16">L322*24</f>
        <v>4.1666666666666652</v>
      </c>
      <c r="N322" s="12">
        <f>Table35[[#This Row],[Trip Hours]]*Table35[[#This Row],['#Angler]]</f>
        <v>4.1666666666666652</v>
      </c>
      <c r="O322" t="s">
        <v>28</v>
      </c>
      <c r="P322" t="s">
        <v>56</v>
      </c>
      <c r="Q322" t="s">
        <v>247</v>
      </c>
      <c r="R322" s="11">
        <v>0</v>
      </c>
      <c r="S322">
        <v>0</v>
      </c>
      <c r="T322">
        <v>0</v>
      </c>
      <c r="U322" s="11">
        <v>0</v>
      </c>
      <c r="V322">
        <v>0</v>
      </c>
      <c r="W322">
        <v>0</v>
      </c>
      <c r="X322" s="11">
        <f t="shared" si="15"/>
        <v>0</v>
      </c>
      <c r="Y322">
        <f t="shared" si="15"/>
        <v>0</v>
      </c>
      <c r="Z322">
        <f t="shared" si="15"/>
        <v>0</v>
      </c>
      <c r="AA322" s="11"/>
    </row>
    <row r="323" spans="1:27" x14ac:dyDescent="0.3">
      <c r="A323" s="7">
        <v>45563</v>
      </c>
      <c r="B323">
        <v>6</v>
      </c>
      <c r="C323" t="s">
        <v>250</v>
      </c>
      <c r="D323" t="s">
        <v>26</v>
      </c>
      <c r="E323">
        <v>43</v>
      </c>
      <c r="F323">
        <v>2</v>
      </c>
      <c r="G323">
        <v>1</v>
      </c>
      <c r="H323" t="s">
        <v>27</v>
      </c>
      <c r="I323">
        <v>3</v>
      </c>
      <c r="J323" s="10">
        <v>0.29166666666666669</v>
      </c>
      <c r="K323" s="10">
        <v>0.47916666666666669</v>
      </c>
      <c r="L323" s="10">
        <f t="shared" si="14"/>
        <v>0.1875</v>
      </c>
      <c r="M323" s="12">
        <f t="shared" si="16"/>
        <v>4.5</v>
      </c>
      <c r="N323" s="12">
        <f>Table35[[#This Row],[Trip Hours]]*Table35[[#This Row],['#Angler]]</f>
        <v>13.5</v>
      </c>
      <c r="O323" t="s">
        <v>28</v>
      </c>
      <c r="P323" t="s">
        <v>49</v>
      </c>
      <c r="Q323" t="s">
        <v>247</v>
      </c>
      <c r="R323" s="11">
        <v>0</v>
      </c>
      <c r="S323">
        <v>4</v>
      </c>
      <c r="T323">
        <v>0</v>
      </c>
      <c r="U323" s="11">
        <v>0</v>
      </c>
      <c r="V323">
        <v>0</v>
      </c>
      <c r="W323">
        <v>0</v>
      </c>
      <c r="X323" s="11">
        <f t="shared" si="15"/>
        <v>0</v>
      </c>
      <c r="Y323">
        <f t="shared" si="15"/>
        <v>4</v>
      </c>
      <c r="Z323">
        <f t="shared" si="15"/>
        <v>0</v>
      </c>
      <c r="AA323" s="11"/>
    </row>
    <row r="324" spans="1:27" x14ac:dyDescent="0.3">
      <c r="A324" s="7">
        <v>45563</v>
      </c>
      <c r="B324">
        <v>6</v>
      </c>
      <c r="C324" t="s">
        <v>250</v>
      </c>
      <c r="D324" t="s">
        <v>42</v>
      </c>
      <c r="E324">
        <v>44</v>
      </c>
      <c r="F324">
        <v>3</v>
      </c>
      <c r="G324">
        <v>6</v>
      </c>
      <c r="H324" t="s">
        <v>27</v>
      </c>
      <c r="I324">
        <v>1</v>
      </c>
      <c r="J324" s="10">
        <v>0.58333333333333337</v>
      </c>
      <c r="K324" s="10">
        <v>0.65208333333333335</v>
      </c>
      <c r="L324" s="10">
        <f t="shared" ref="L324:L387" si="17">K324-J324</f>
        <v>6.8749999999999978E-2</v>
      </c>
      <c r="M324" s="12">
        <f t="shared" si="16"/>
        <v>1.6499999999999995</v>
      </c>
      <c r="N324" s="12">
        <f>Table35[[#This Row],[Trip Hours]]*Table35[[#This Row],['#Angler]]</f>
        <v>1.6499999999999995</v>
      </c>
      <c r="O324" t="s">
        <v>25</v>
      </c>
      <c r="P324" t="s">
        <v>56</v>
      </c>
      <c r="Q324" t="s">
        <v>247</v>
      </c>
      <c r="R324" s="11">
        <v>0</v>
      </c>
      <c r="S324">
        <v>0</v>
      </c>
      <c r="T324">
        <v>0</v>
      </c>
      <c r="U324" s="11">
        <v>0</v>
      </c>
      <c r="V324">
        <v>0</v>
      </c>
      <c r="W324">
        <v>0</v>
      </c>
      <c r="X324" s="11">
        <f t="shared" si="15"/>
        <v>0</v>
      </c>
      <c r="Y324">
        <f t="shared" si="15"/>
        <v>0</v>
      </c>
      <c r="Z324">
        <f t="shared" si="15"/>
        <v>0</v>
      </c>
      <c r="AA324" s="11"/>
    </row>
    <row r="325" spans="1:27" x14ac:dyDescent="0.3">
      <c r="A325" s="7">
        <v>45563</v>
      </c>
      <c r="B325">
        <v>6</v>
      </c>
      <c r="C325" t="s">
        <v>250</v>
      </c>
      <c r="D325" t="s">
        <v>42</v>
      </c>
      <c r="E325">
        <v>45</v>
      </c>
      <c r="F325">
        <v>2</v>
      </c>
      <c r="G325">
        <v>2</v>
      </c>
      <c r="H325" t="s">
        <v>27</v>
      </c>
      <c r="I325">
        <v>2</v>
      </c>
      <c r="J325" s="10">
        <v>0.5</v>
      </c>
      <c r="K325" s="10">
        <v>0.75138888888888899</v>
      </c>
      <c r="L325" s="10">
        <f t="shared" si="17"/>
        <v>0.25138888888888899</v>
      </c>
      <c r="M325" s="12">
        <f t="shared" si="16"/>
        <v>6.0333333333333359</v>
      </c>
      <c r="N325" s="12">
        <f>Table35[[#This Row],[Trip Hours]]*Table35[[#This Row],['#Angler]]</f>
        <v>12.066666666666672</v>
      </c>
      <c r="O325" t="s">
        <v>25</v>
      </c>
      <c r="P325" t="s">
        <v>56</v>
      </c>
      <c r="Q325" t="s">
        <v>247</v>
      </c>
      <c r="R325" s="11">
        <v>0</v>
      </c>
      <c r="S325">
        <v>0</v>
      </c>
      <c r="T325">
        <v>0</v>
      </c>
      <c r="U325" s="11">
        <v>0</v>
      </c>
      <c r="V325">
        <v>0</v>
      </c>
      <c r="W325">
        <v>0</v>
      </c>
      <c r="X325" s="11">
        <f t="shared" si="15"/>
        <v>0</v>
      </c>
      <c r="Y325">
        <f t="shared" si="15"/>
        <v>0</v>
      </c>
      <c r="Z325">
        <f t="shared" si="15"/>
        <v>0</v>
      </c>
      <c r="AA325" s="11"/>
    </row>
    <row r="326" spans="1:27" x14ac:dyDescent="0.3">
      <c r="A326" s="7">
        <v>45567</v>
      </c>
      <c r="B326">
        <v>7</v>
      </c>
      <c r="C326" t="s">
        <v>236</v>
      </c>
      <c r="D326" t="s">
        <v>26</v>
      </c>
      <c r="E326">
        <v>1</v>
      </c>
      <c r="F326">
        <v>2</v>
      </c>
      <c r="G326">
        <v>1</v>
      </c>
      <c r="H326" t="s">
        <v>27</v>
      </c>
      <c r="I326">
        <v>1</v>
      </c>
      <c r="J326" s="10">
        <v>0.31944444444444448</v>
      </c>
      <c r="K326" s="10">
        <v>0.32430555555555557</v>
      </c>
      <c r="L326" s="10">
        <f t="shared" si="17"/>
        <v>4.8611111111110938E-3</v>
      </c>
      <c r="M326" s="12">
        <f t="shared" si="16"/>
        <v>0.11666666666666625</v>
      </c>
      <c r="N326" s="12">
        <f>Table35[[#This Row],[Trip Hours]]*Table35[[#This Row],['#Angler]]</f>
        <v>0.11666666666666625</v>
      </c>
      <c r="O326" t="s">
        <v>28</v>
      </c>
      <c r="P326" t="s">
        <v>148</v>
      </c>
      <c r="Q326" t="s">
        <v>241</v>
      </c>
      <c r="R326" s="11">
        <v>0</v>
      </c>
      <c r="S326">
        <v>0</v>
      </c>
      <c r="T326">
        <v>0</v>
      </c>
      <c r="U326" s="11">
        <v>0</v>
      </c>
      <c r="V326">
        <v>0</v>
      </c>
      <c r="W326">
        <v>0</v>
      </c>
      <c r="X326" s="11">
        <f t="shared" si="15"/>
        <v>0</v>
      </c>
      <c r="Y326">
        <f t="shared" si="15"/>
        <v>0</v>
      </c>
      <c r="Z326">
        <f t="shared" si="15"/>
        <v>0</v>
      </c>
      <c r="AA326" s="11"/>
    </row>
    <row r="327" spans="1:27" x14ac:dyDescent="0.3">
      <c r="A327" s="7">
        <v>45567</v>
      </c>
      <c r="B327">
        <v>7</v>
      </c>
      <c r="C327" t="s">
        <v>236</v>
      </c>
      <c r="D327" t="s">
        <v>26</v>
      </c>
      <c r="E327">
        <v>2</v>
      </c>
      <c r="F327">
        <v>2</v>
      </c>
      <c r="G327">
        <v>1</v>
      </c>
      <c r="H327" t="s">
        <v>27</v>
      </c>
      <c r="I327">
        <v>1</v>
      </c>
      <c r="J327" s="10">
        <v>0.29166666666666669</v>
      </c>
      <c r="K327" s="10">
        <v>0.32569444444444445</v>
      </c>
      <c r="L327" s="10">
        <f t="shared" si="17"/>
        <v>3.4027777777777768E-2</v>
      </c>
      <c r="M327" s="12">
        <f t="shared" si="16"/>
        <v>0.81666666666666643</v>
      </c>
      <c r="N327" s="12">
        <f>Table35[[#This Row],[Trip Hours]]*Table35[[#This Row],['#Angler]]</f>
        <v>0.81666666666666643</v>
      </c>
      <c r="O327" t="s">
        <v>28</v>
      </c>
      <c r="P327" t="s">
        <v>56</v>
      </c>
      <c r="Q327" t="s">
        <v>247</v>
      </c>
      <c r="R327" s="11">
        <v>0</v>
      </c>
      <c r="S327">
        <v>0</v>
      </c>
      <c r="T327">
        <v>0</v>
      </c>
      <c r="U327" s="11">
        <v>0</v>
      </c>
      <c r="V327">
        <v>0</v>
      </c>
      <c r="W327">
        <v>0</v>
      </c>
      <c r="X327" s="11">
        <f t="shared" si="15"/>
        <v>0</v>
      </c>
      <c r="Y327">
        <f t="shared" si="15"/>
        <v>0</v>
      </c>
      <c r="Z327">
        <f t="shared" si="15"/>
        <v>0</v>
      </c>
      <c r="AA327" s="11"/>
    </row>
    <row r="328" spans="1:27" x14ac:dyDescent="0.3">
      <c r="A328" s="7">
        <v>45567</v>
      </c>
      <c r="B328">
        <v>7</v>
      </c>
      <c r="C328" t="s">
        <v>236</v>
      </c>
      <c r="D328" t="s">
        <v>26</v>
      </c>
      <c r="E328">
        <v>3</v>
      </c>
      <c r="F328">
        <v>2</v>
      </c>
      <c r="G328">
        <v>2</v>
      </c>
      <c r="H328" t="s">
        <v>27</v>
      </c>
      <c r="I328">
        <v>1</v>
      </c>
      <c r="J328" s="10">
        <v>0.32291666666666669</v>
      </c>
      <c r="K328" s="10">
        <v>0.33333333333333331</v>
      </c>
      <c r="L328" s="10">
        <f t="shared" si="17"/>
        <v>1.041666666666663E-2</v>
      </c>
      <c r="M328" s="12">
        <f t="shared" si="16"/>
        <v>0.24999999999999911</v>
      </c>
      <c r="N328" s="12">
        <f>Table35[[#This Row],[Trip Hours]]*Table35[[#This Row],['#Angler]]</f>
        <v>0.24999999999999911</v>
      </c>
      <c r="O328" t="s">
        <v>28</v>
      </c>
      <c r="P328" t="s">
        <v>279</v>
      </c>
      <c r="Q328" t="s">
        <v>247</v>
      </c>
      <c r="R328" s="11">
        <v>0</v>
      </c>
      <c r="S328">
        <v>0</v>
      </c>
      <c r="T328">
        <v>0</v>
      </c>
      <c r="U328" s="11">
        <v>0</v>
      </c>
      <c r="V328">
        <v>0</v>
      </c>
      <c r="W328">
        <v>0</v>
      </c>
      <c r="X328" s="11">
        <f t="shared" si="15"/>
        <v>0</v>
      </c>
      <c r="Y328">
        <f t="shared" si="15"/>
        <v>0</v>
      </c>
      <c r="Z328">
        <f t="shared" si="15"/>
        <v>0</v>
      </c>
      <c r="AA328" s="11"/>
    </row>
    <row r="329" spans="1:27" x14ac:dyDescent="0.3">
      <c r="A329" s="7">
        <v>45567</v>
      </c>
      <c r="B329">
        <v>7</v>
      </c>
      <c r="C329" t="s">
        <v>236</v>
      </c>
      <c r="D329" t="s">
        <v>26</v>
      </c>
      <c r="E329">
        <v>4</v>
      </c>
      <c r="F329">
        <v>2</v>
      </c>
      <c r="G329">
        <v>2</v>
      </c>
      <c r="H329" t="s">
        <v>27</v>
      </c>
      <c r="I329">
        <v>1</v>
      </c>
      <c r="J329" s="10">
        <v>0.29166666666666669</v>
      </c>
      <c r="K329" s="10">
        <v>0.33333333333333331</v>
      </c>
      <c r="L329" s="10">
        <f t="shared" si="17"/>
        <v>4.166666666666663E-2</v>
      </c>
      <c r="M329" s="12">
        <f t="shared" si="16"/>
        <v>0.99999999999999911</v>
      </c>
      <c r="N329" s="12">
        <f>Table35[[#This Row],[Trip Hours]]*Table35[[#This Row],['#Angler]]</f>
        <v>0.99999999999999911</v>
      </c>
      <c r="O329" t="s">
        <v>28</v>
      </c>
      <c r="P329" t="s">
        <v>56</v>
      </c>
      <c r="Q329" t="s">
        <v>247</v>
      </c>
      <c r="R329" s="11">
        <v>0</v>
      </c>
      <c r="S329">
        <v>0</v>
      </c>
      <c r="T329">
        <v>0</v>
      </c>
      <c r="U329" s="11">
        <v>0</v>
      </c>
      <c r="V329">
        <v>0</v>
      </c>
      <c r="W329">
        <v>0</v>
      </c>
      <c r="X329" s="11">
        <f t="shared" si="15"/>
        <v>0</v>
      </c>
      <c r="Y329">
        <f t="shared" si="15"/>
        <v>0</v>
      </c>
      <c r="Z329">
        <f t="shared" si="15"/>
        <v>0</v>
      </c>
      <c r="AA329" s="11"/>
    </row>
    <row r="330" spans="1:27" x14ac:dyDescent="0.3">
      <c r="A330" s="7">
        <v>45567</v>
      </c>
      <c r="B330">
        <v>7</v>
      </c>
      <c r="C330" t="s">
        <v>236</v>
      </c>
      <c r="D330" t="s">
        <v>26</v>
      </c>
      <c r="E330">
        <v>5</v>
      </c>
      <c r="F330">
        <v>2</v>
      </c>
      <c r="G330">
        <v>2</v>
      </c>
      <c r="H330" t="s">
        <v>27</v>
      </c>
      <c r="I330">
        <v>2</v>
      </c>
      <c r="J330" s="10">
        <v>0.28125</v>
      </c>
      <c r="K330" s="10">
        <v>0.33333333333333331</v>
      </c>
      <c r="L330" s="10">
        <f t="shared" si="17"/>
        <v>5.2083333333333315E-2</v>
      </c>
      <c r="M330" s="12">
        <f t="shared" si="16"/>
        <v>1.2499999999999996</v>
      </c>
      <c r="N330" s="12">
        <f>Table35[[#This Row],[Trip Hours]]*Table35[[#This Row],['#Angler]]</f>
        <v>2.4999999999999991</v>
      </c>
      <c r="O330" t="s">
        <v>28</v>
      </c>
      <c r="P330" t="s">
        <v>56</v>
      </c>
      <c r="Q330" t="s">
        <v>241</v>
      </c>
      <c r="R330" s="11">
        <v>0</v>
      </c>
      <c r="S330">
        <v>0</v>
      </c>
      <c r="T330">
        <v>0</v>
      </c>
      <c r="U330" s="11">
        <v>0</v>
      </c>
      <c r="V330">
        <v>0</v>
      </c>
      <c r="W330">
        <v>0</v>
      </c>
      <c r="X330" s="11">
        <f t="shared" si="15"/>
        <v>0</v>
      </c>
      <c r="Y330">
        <f t="shared" si="15"/>
        <v>0</v>
      </c>
      <c r="Z330">
        <f t="shared" si="15"/>
        <v>0</v>
      </c>
      <c r="AA330" s="11"/>
    </row>
    <row r="331" spans="1:27" x14ac:dyDescent="0.3">
      <c r="A331" s="7">
        <v>45567</v>
      </c>
      <c r="B331">
        <v>7</v>
      </c>
      <c r="C331" t="s">
        <v>236</v>
      </c>
      <c r="D331" t="s">
        <v>26</v>
      </c>
      <c r="E331">
        <v>6</v>
      </c>
      <c r="F331">
        <v>2</v>
      </c>
      <c r="G331">
        <v>2</v>
      </c>
      <c r="H331" t="s">
        <v>27</v>
      </c>
      <c r="I331">
        <v>1</v>
      </c>
      <c r="J331" s="10">
        <v>0.25</v>
      </c>
      <c r="K331" s="10">
        <v>0.33333333333333331</v>
      </c>
      <c r="L331" s="10">
        <f t="shared" si="17"/>
        <v>8.3333333333333315E-2</v>
      </c>
      <c r="M331" s="12">
        <f t="shared" si="16"/>
        <v>1.9999999999999996</v>
      </c>
      <c r="N331" s="12">
        <f>Table35[[#This Row],[Trip Hours]]*Table35[[#This Row],['#Angler]]</f>
        <v>1.9999999999999996</v>
      </c>
      <c r="O331" t="s">
        <v>28</v>
      </c>
      <c r="P331" t="s">
        <v>56</v>
      </c>
      <c r="Q331" t="s">
        <v>247</v>
      </c>
      <c r="R331" s="11">
        <v>0</v>
      </c>
      <c r="S331">
        <v>0</v>
      </c>
      <c r="T331">
        <v>0</v>
      </c>
      <c r="U331" s="11">
        <v>0</v>
      </c>
      <c r="V331">
        <v>0</v>
      </c>
      <c r="W331">
        <v>0</v>
      </c>
      <c r="X331" s="11">
        <f t="shared" si="15"/>
        <v>0</v>
      </c>
      <c r="Y331">
        <f t="shared" si="15"/>
        <v>0</v>
      </c>
      <c r="Z331">
        <f t="shared" si="15"/>
        <v>0</v>
      </c>
      <c r="AA331" s="11"/>
    </row>
    <row r="332" spans="1:27" x14ac:dyDescent="0.3">
      <c r="A332" s="7">
        <v>45567</v>
      </c>
      <c r="B332">
        <v>7</v>
      </c>
      <c r="C332" t="s">
        <v>236</v>
      </c>
      <c r="D332" t="s">
        <v>26</v>
      </c>
      <c r="E332">
        <v>7</v>
      </c>
      <c r="F332">
        <v>2</v>
      </c>
      <c r="G332">
        <v>2</v>
      </c>
      <c r="H332" t="s">
        <v>27</v>
      </c>
      <c r="I332">
        <v>1</v>
      </c>
      <c r="J332" s="10">
        <v>0.29166666666666669</v>
      </c>
      <c r="K332" s="10">
        <v>0.34513888888888888</v>
      </c>
      <c r="L332" s="10">
        <f t="shared" si="17"/>
        <v>5.3472222222222199E-2</v>
      </c>
      <c r="M332" s="12">
        <f t="shared" si="16"/>
        <v>1.2833333333333328</v>
      </c>
      <c r="N332" s="12">
        <f>Table35[[#This Row],[Trip Hours]]*Table35[[#This Row],['#Angler]]</f>
        <v>1.2833333333333328</v>
      </c>
      <c r="O332" t="s">
        <v>28</v>
      </c>
      <c r="P332" t="s">
        <v>56</v>
      </c>
      <c r="Q332" t="s">
        <v>247</v>
      </c>
      <c r="R332" s="11">
        <v>0</v>
      </c>
      <c r="S332">
        <v>0</v>
      </c>
      <c r="T332">
        <v>0</v>
      </c>
      <c r="U332" s="11">
        <v>0</v>
      </c>
      <c r="V332">
        <v>0</v>
      </c>
      <c r="W332">
        <v>0</v>
      </c>
      <c r="X332" s="11">
        <f t="shared" si="15"/>
        <v>0</v>
      </c>
      <c r="Y332">
        <f t="shared" si="15"/>
        <v>0</v>
      </c>
      <c r="Z332">
        <f t="shared" si="15"/>
        <v>0</v>
      </c>
      <c r="AA332" s="11"/>
    </row>
    <row r="333" spans="1:27" x14ac:dyDescent="0.3">
      <c r="A333" s="7">
        <v>45567</v>
      </c>
      <c r="B333">
        <v>7</v>
      </c>
      <c r="C333" t="s">
        <v>236</v>
      </c>
      <c r="D333" t="s">
        <v>26</v>
      </c>
      <c r="E333">
        <v>8</v>
      </c>
      <c r="F333">
        <v>2</v>
      </c>
      <c r="G333">
        <v>2</v>
      </c>
      <c r="H333" t="s">
        <v>27</v>
      </c>
      <c r="I333">
        <v>1</v>
      </c>
      <c r="J333" s="10">
        <v>0.29166666666666669</v>
      </c>
      <c r="K333" s="10">
        <v>0.34583333333333338</v>
      </c>
      <c r="L333" s="10">
        <f t="shared" si="17"/>
        <v>5.4166666666666696E-2</v>
      </c>
      <c r="M333" s="12">
        <f t="shared" si="16"/>
        <v>1.3000000000000007</v>
      </c>
      <c r="N333" s="12">
        <f>Table35[[#This Row],[Trip Hours]]*Table35[[#This Row],['#Angler]]</f>
        <v>1.3000000000000007</v>
      </c>
      <c r="O333" t="s">
        <v>28</v>
      </c>
      <c r="P333" t="s">
        <v>56</v>
      </c>
      <c r="Q333" t="s">
        <v>247</v>
      </c>
      <c r="R333" s="11">
        <v>0</v>
      </c>
      <c r="S333">
        <v>1</v>
      </c>
      <c r="T333">
        <v>0</v>
      </c>
      <c r="U333" s="11">
        <v>0</v>
      </c>
      <c r="V333">
        <v>0</v>
      </c>
      <c r="W333">
        <v>0</v>
      </c>
      <c r="X333" s="11">
        <f t="shared" si="15"/>
        <v>0</v>
      </c>
      <c r="Y333">
        <f t="shared" si="15"/>
        <v>1</v>
      </c>
      <c r="Z333">
        <f t="shared" si="15"/>
        <v>0</v>
      </c>
      <c r="AA333" s="11"/>
    </row>
    <row r="334" spans="1:27" x14ac:dyDescent="0.3">
      <c r="A334" s="7">
        <v>45567</v>
      </c>
      <c r="B334">
        <v>7</v>
      </c>
      <c r="C334" t="s">
        <v>236</v>
      </c>
      <c r="D334" t="s">
        <v>26</v>
      </c>
      <c r="E334">
        <v>9</v>
      </c>
      <c r="F334">
        <v>2</v>
      </c>
      <c r="G334">
        <v>2</v>
      </c>
      <c r="H334" t="s">
        <v>27</v>
      </c>
      <c r="I334">
        <v>2</v>
      </c>
      <c r="J334" s="10">
        <v>0.29166666666666669</v>
      </c>
      <c r="K334" s="10">
        <v>0.34583333333333338</v>
      </c>
      <c r="L334" s="10">
        <f t="shared" si="17"/>
        <v>5.4166666666666696E-2</v>
      </c>
      <c r="M334" s="12">
        <f t="shared" si="16"/>
        <v>1.3000000000000007</v>
      </c>
      <c r="N334" s="12">
        <f>Table35[[#This Row],[Trip Hours]]*Table35[[#This Row],['#Angler]]</f>
        <v>2.6000000000000014</v>
      </c>
      <c r="O334" t="s">
        <v>28</v>
      </c>
      <c r="P334" t="s">
        <v>56</v>
      </c>
      <c r="Q334" t="s">
        <v>247</v>
      </c>
      <c r="R334" s="11">
        <v>0</v>
      </c>
      <c r="S334">
        <v>2</v>
      </c>
      <c r="T334">
        <v>0</v>
      </c>
      <c r="U334" s="11">
        <v>0</v>
      </c>
      <c r="V334">
        <v>0</v>
      </c>
      <c r="W334">
        <v>0</v>
      </c>
      <c r="X334" s="11">
        <f t="shared" si="15"/>
        <v>0</v>
      </c>
      <c r="Y334">
        <f t="shared" si="15"/>
        <v>2</v>
      </c>
      <c r="Z334">
        <f t="shared" si="15"/>
        <v>0</v>
      </c>
      <c r="AA334" s="11"/>
    </row>
    <row r="335" spans="1:27" x14ac:dyDescent="0.3">
      <c r="A335" s="7">
        <v>45567</v>
      </c>
      <c r="B335">
        <v>7</v>
      </c>
      <c r="C335" t="s">
        <v>236</v>
      </c>
      <c r="D335" t="s">
        <v>26</v>
      </c>
      <c r="E335">
        <v>10</v>
      </c>
      <c r="F335">
        <v>2</v>
      </c>
      <c r="G335">
        <v>2</v>
      </c>
      <c r="H335" t="s">
        <v>27</v>
      </c>
      <c r="I335">
        <v>4</v>
      </c>
      <c r="J335" s="10">
        <v>0.29166666666666669</v>
      </c>
      <c r="K335" s="10">
        <v>0.35694444444444445</v>
      </c>
      <c r="L335" s="10">
        <f t="shared" si="17"/>
        <v>6.5277777777777768E-2</v>
      </c>
      <c r="M335" s="12">
        <f t="shared" si="16"/>
        <v>1.5666666666666664</v>
      </c>
      <c r="N335" s="12">
        <f>Table35[[#This Row],[Trip Hours]]*Table35[[#This Row],['#Angler]]</f>
        <v>6.2666666666666657</v>
      </c>
      <c r="O335" t="s">
        <v>28</v>
      </c>
      <c r="P335" t="s">
        <v>56</v>
      </c>
      <c r="Q335" t="s">
        <v>247</v>
      </c>
      <c r="R335" s="11">
        <v>0</v>
      </c>
      <c r="S335">
        <v>2</v>
      </c>
      <c r="T335">
        <v>0</v>
      </c>
      <c r="U335" s="11">
        <v>0</v>
      </c>
      <c r="V335">
        <v>0</v>
      </c>
      <c r="W335">
        <v>0</v>
      </c>
      <c r="X335" s="11">
        <f t="shared" si="15"/>
        <v>0</v>
      </c>
      <c r="Y335">
        <f t="shared" si="15"/>
        <v>2</v>
      </c>
      <c r="Z335">
        <f t="shared" si="15"/>
        <v>0</v>
      </c>
      <c r="AA335" s="11"/>
    </row>
    <row r="336" spans="1:27" x14ac:dyDescent="0.3">
      <c r="A336" s="7">
        <v>45567</v>
      </c>
      <c r="B336">
        <v>7</v>
      </c>
      <c r="C336" t="s">
        <v>236</v>
      </c>
      <c r="D336" t="s">
        <v>26</v>
      </c>
      <c r="E336">
        <v>11</v>
      </c>
      <c r="F336">
        <v>2</v>
      </c>
      <c r="G336">
        <v>2</v>
      </c>
      <c r="H336" t="s">
        <v>27</v>
      </c>
      <c r="I336">
        <v>1</v>
      </c>
      <c r="J336" s="10">
        <v>0.25</v>
      </c>
      <c r="K336" s="10">
        <v>0.35833333333333334</v>
      </c>
      <c r="L336" s="10">
        <f t="shared" si="17"/>
        <v>0.10833333333333334</v>
      </c>
      <c r="M336" s="12">
        <f t="shared" si="16"/>
        <v>2.6</v>
      </c>
      <c r="N336" s="12">
        <f>Table35[[#This Row],[Trip Hours]]*Table35[[#This Row],['#Angler]]</f>
        <v>2.6</v>
      </c>
      <c r="O336" t="s">
        <v>28</v>
      </c>
      <c r="P336" t="s">
        <v>310</v>
      </c>
      <c r="Q336" t="s">
        <v>238</v>
      </c>
      <c r="R336" s="11">
        <v>0</v>
      </c>
      <c r="S336">
        <v>0</v>
      </c>
      <c r="T336">
        <v>0</v>
      </c>
      <c r="U336" s="11">
        <v>0</v>
      </c>
      <c r="V336">
        <v>0</v>
      </c>
      <c r="W336">
        <v>0</v>
      </c>
      <c r="X336" s="11">
        <f t="shared" ref="X336:Z399" si="18">R336+U336</f>
        <v>0</v>
      </c>
      <c r="Y336">
        <f t="shared" si="18"/>
        <v>0</v>
      </c>
      <c r="Z336">
        <f t="shared" si="18"/>
        <v>0</v>
      </c>
      <c r="AA336" s="11"/>
    </row>
    <row r="337" spans="1:28" x14ac:dyDescent="0.3">
      <c r="A337" s="7">
        <v>45567</v>
      </c>
      <c r="B337">
        <v>7</v>
      </c>
      <c r="C337" t="s">
        <v>236</v>
      </c>
      <c r="D337" t="s">
        <v>26</v>
      </c>
      <c r="E337">
        <v>12</v>
      </c>
      <c r="F337">
        <v>2</v>
      </c>
      <c r="G337">
        <v>2</v>
      </c>
      <c r="H337" t="s">
        <v>27</v>
      </c>
      <c r="I337">
        <v>1</v>
      </c>
      <c r="J337" s="10">
        <v>0.29166666666666669</v>
      </c>
      <c r="K337" s="10">
        <v>0.37361111111111112</v>
      </c>
      <c r="L337" s="10">
        <f t="shared" si="17"/>
        <v>8.1944444444444431E-2</v>
      </c>
      <c r="M337" s="12">
        <f t="shared" si="16"/>
        <v>1.9666666666666663</v>
      </c>
      <c r="N337" s="12">
        <f>Table35[[#This Row],[Trip Hours]]*Table35[[#This Row],['#Angler]]</f>
        <v>1.9666666666666663</v>
      </c>
      <c r="O337" t="s">
        <v>28</v>
      </c>
      <c r="P337" t="s">
        <v>56</v>
      </c>
      <c r="Q337" t="s">
        <v>247</v>
      </c>
      <c r="R337" s="11">
        <v>0</v>
      </c>
      <c r="S337">
        <v>0</v>
      </c>
      <c r="T337">
        <v>0</v>
      </c>
      <c r="U337" s="11">
        <v>0</v>
      </c>
      <c r="V337">
        <v>0</v>
      </c>
      <c r="W337">
        <v>0</v>
      </c>
      <c r="X337" s="11">
        <f t="shared" si="18"/>
        <v>0</v>
      </c>
      <c r="Y337">
        <f t="shared" si="18"/>
        <v>0</v>
      </c>
      <c r="Z337">
        <f t="shared" si="18"/>
        <v>0</v>
      </c>
      <c r="AA337" s="11"/>
    </row>
    <row r="338" spans="1:28" x14ac:dyDescent="0.3">
      <c r="A338" s="7">
        <v>45567</v>
      </c>
      <c r="B338">
        <v>7</v>
      </c>
      <c r="C338" t="s">
        <v>236</v>
      </c>
      <c r="D338" t="s">
        <v>26</v>
      </c>
      <c r="E338">
        <v>13</v>
      </c>
      <c r="F338">
        <v>2</v>
      </c>
      <c r="G338">
        <v>2</v>
      </c>
      <c r="H338" t="s">
        <v>27</v>
      </c>
      <c r="I338">
        <v>1</v>
      </c>
      <c r="J338" s="10">
        <v>0.36388888888888887</v>
      </c>
      <c r="K338" s="10">
        <v>0.3743055555555555</v>
      </c>
      <c r="L338" s="10">
        <f t="shared" si="17"/>
        <v>1.041666666666663E-2</v>
      </c>
      <c r="M338" s="12">
        <f t="shared" si="16"/>
        <v>0.24999999999999911</v>
      </c>
      <c r="N338" s="12">
        <f>Table35[[#This Row],[Trip Hours]]*Table35[[#This Row],['#Angler]]</f>
        <v>0.24999999999999911</v>
      </c>
      <c r="O338" t="s">
        <v>28</v>
      </c>
      <c r="P338" t="s">
        <v>49</v>
      </c>
      <c r="Q338" t="s">
        <v>247</v>
      </c>
      <c r="R338" s="11">
        <v>0</v>
      </c>
      <c r="S338">
        <v>0</v>
      </c>
      <c r="T338">
        <v>0</v>
      </c>
      <c r="U338" s="11">
        <v>0</v>
      </c>
      <c r="V338">
        <v>0</v>
      </c>
      <c r="W338">
        <v>0</v>
      </c>
      <c r="X338" s="11">
        <f t="shared" si="18"/>
        <v>0</v>
      </c>
      <c r="Y338">
        <f t="shared" si="18"/>
        <v>0</v>
      </c>
      <c r="Z338">
        <f t="shared" si="18"/>
        <v>0</v>
      </c>
      <c r="AA338" s="11"/>
    </row>
    <row r="339" spans="1:28" x14ac:dyDescent="0.3">
      <c r="A339" s="7">
        <v>45567</v>
      </c>
      <c r="B339">
        <v>7</v>
      </c>
      <c r="C339" t="s">
        <v>236</v>
      </c>
      <c r="D339" t="s">
        <v>26</v>
      </c>
      <c r="E339">
        <v>14</v>
      </c>
      <c r="F339">
        <v>2</v>
      </c>
      <c r="G339">
        <v>2</v>
      </c>
      <c r="H339" t="s">
        <v>27</v>
      </c>
      <c r="I339">
        <v>1</v>
      </c>
      <c r="J339" s="10">
        <v>0.3125</v>
      </c>
      <c r="K339" s="10">
        <v>0.375</v>
      </c>
      <c r="L339" s="10">
        <f t="shared" si="17"/>
        <v>6.25E-2</v>
      </c>
      <c r="M339" s="12">
        <f t="shared" si="16"/>
        <v>1.5</v>
      </c>
      <c r="N339" s="12">
        <f>Table35[[#This Row],[Trip Hours]]*Table35[[#This Row],['#Angler]]</f>
        <v>1.5</v>
      </c>
      <c r="O339" t="s">
        <v>28</v>
      </c>
      <c r="P339" t="s">
        <v>29</v>
      </c>
      <c r="Q339" t="s">
        <v>247</v>
      </c>
      <c r="R339" s="11">
        <v>0</v>
      </c>
      <c r="S339">
        <v>0</v>
      </c>
      <c r="T339">
        <v>0</v>
      </c>
      <c r="U339" s="11">
        <v>0</v>
      </c>
      <c r="V339">
        <v>0</v>
      </c>
      <c r="W339">
        <v>0</v>
      </c>
      <c r="X339" s="11">
        <f t="shared" si="18"/>
        <v>0</v>
      </c>
      <c r="Y339">
        <f t="shared" si="18"/>
        <v>0</v>
      </c>
      <c r="Z339">
        <f t="shared" si="18"/>
        <v>0</v>
      </c>
      <c r="AA339" s="11"/>
    </row>
    <row r="340" spans="1:28" x14ac:dyDescent="0.3">
      <c r="A340" s="7">
        <v>45567</v>
      </c>
      <c r="B340">
        <v>7</v>
      </c>
      <c r="C340" t="s">
        <v>236</v>
      </c>
      <c r="D340" t="s">
        <v>26</v>
      </c>
      <c r="E340">
        <v>15</v>
      </c>
      <c r="F340">
        <v>2</v>
      </c>
      <c r="G340">
        <v>2</v>
      </c>
      <c r="H340" t="s">
        <v>27</v>
      </c>
      <c r="I340">
        <v>1</v>
      </c>
      <c r="J340" s="10">
        <v>0.33333333333333331</v>
      </c>
      <c r="K340" s="10">
        <v>0.38819444444444445</v>
      </c>
      <c r="L340" s="10">
        <f t="shared" si="17"/>
        <v>5.4861111111111138E-2</v>
      </c>
      <c r="M340" s="12">
        <f t="shared" si="16"/>
        <v>1.3166666666666673</v>
      </c>
      <c r="N340" s="12">
        <f>Table35[[#This Row],[Trip Hours]]*Table35[[#This Row],['#Angler]]</f>
        <v>1.3166666666666673</v>
      </c>
      <c r="O340" t="s">
        <v>28</v>
      </c>
      <c r="P340" t="s">
        <v>56</v>
      </c>
      <c r="Q340" t="s">
        <v>247</v>
      </c>
      <c r="R340" s="11">
        <v>0</v>
      </c>
      <c r="S340">
        <v>0</v>
      </c>
      <c r="T340">
        <v>0</v>
      </c>
      <c r="U340" s="11">
        <v>0</v>
      </c>
      <c r="V340">
        <v>0</v>
      </c>
      <c r="W340">
        <v>0</v>
      </c>
      <c r="X340" s="11">
        <f t="shared" si="18"/>
        <v>0</v>
      </c>
      <c r="Y340">
        <f t="shared" si="18"/>
        <v>0</v>
      </c>
      <c r="Z340">
        <f t="shared" si="18"/>
        <v>0</v>
      </c>
      <c r="AA340" s="11"/>
    </row>
    <row r="341" spans="1:28" x14ac:dyDescent="0.3">
      <c r="A341" s="7">
        <v>45567</v>
      </c>
      <c r="B341">
        <v>7</v>
      </c>
      <c r="C341" t="s">
        <v>236</v>
      </c>
      <c r="D341" t="s">
        <v>26</v>
      </c>
      <c r="E341">
        <v>16</v>
      </c>
      <c r="F341">
        <v>2</v>
      </c>
      <c r="G341">
        <v>2</v>
      </c>
      <c r="H341" t="s">
        <v>27</v>
      </c>
      <c r="I341">
        <v>1</v>
      </c>
      <c r="J341" s="10">
        <v>0.33333333333333331</v>
      </c>
      <c r="K341" s="10">
        <v>0.38819444444444445</v>
      </c>
      <c r="L341" s="10">
        <f t="shared" si="17"/>
        <v>5.4861111111111138E-2</v>
      </c>
      <c r="M341" s="12">
        <f t="shared" si="16"/>
        <v>1.3166666666666673</v>
      </c>
      <c r="N341" s="12">
        <f>Table35[[#This Row],[Trip Hours]]*Table35[[#This Row],['#Angler]]</f>
        <v>1.3166666666666673</v>
      </c>
      <c r="O341" t="s">
        <v>28</v>
      </c>
      <c r="P341" t="s">
        <v>56</v>
      </c>
      <c r="Q341" t="s">
        <v>247</v>
      </c>
      <c r="R341" s="11">
        <v>0</v>
      </c>
      <c r="S341">
        <v>0</v>
      </c>
      <c r="T341">
        <v>0</v>
      </c>
      <c r="U341" s="11">
        <v>0</v>
      </c>
      <c r="V341">
        <v>0</v>
      </c>
      <c r="W341">
        <v>0</v>
      </c>
      <c r="X341" s="11">
        <f t="shared" si="18"/>
        <v>0</v>
      </c>
      <c r="Y341">
        <f t="shared" si="18"/>
        <v>0</v>
      </c>
      <c r="Z341">
        <f t="shared" si="18"/>
        <v>0</v>
      </c>
      <c r="AA341" s="11"/>
    </row>
    <row r="342" spans="1:28" x14ac:dyDescent="0.3">
      <c r="A342" s="7">
        <v>45567</v>
      </c>
      <c r="B342">
        <v>7</v>
      </c>
      <c r="C342" t="s">
        <v>236</v>
      </c>
      <c r="D342" t="s">
        <v>26</v>
      </c>
      <c r="E342">
        <v>17</v>
      </c>
      <c r="F342">
        <v>2</v>
      </c>
      <c r="G342">
        <v>3</v>
      </c>
      <c r="H342" t="s">
        <v>27</v>
      </c>
      <c r="I342">
        <v>1</v>
      </c>
      <c r="J342" s="10">
        <v>0.37083333333333335</v>
      </c>
      <c r="K342" s="10">
        <v>0.40208333333333335</v>
      </c>
      <c r="L342" s="10">
        <f t="shared" si="17"/>
        <v>3.125E-2</v>
      </c>
      <c r="M342" s="12">
        <f t="shared" si="16"/>
        <v>0.75</v>
      </c>
      <c r="N342" s="12">
        <f>Table35[[#This Row],[Trip Hours]]*Table35[[#This Row],['#Angler]]</f>
        <v>0.75</v>
      </c>
      <c r="O342" t="s">
        <v>28</v>
      </c>
      <c r="P342" t="s">
        <v>56</v>
      </c>
      <c r="Q342" t="s">
        <v>237</v>
      </c>
      <c r="R342" s="11">
        <v>0</v>
      </c>
      <c r="S342">
        <v>0</v>
      </c>
      <c r="T342">
        <v>0</v>
      </c>
      <c r="U342" s="11">
        <v>0</v>
      </c>
      <c r="V342">
        <v>0</v>
      </c>
      <c r="W342">
        <v>0</v>
      </c>
      <c r="X342" s="11">
        <f t="shared" si="18"/>
        <v>0</v>
      </c>
      <c r="Y342">
        <f t="shared" si="18"/>
        <v>0</v>
      </c>
      <c r="Z342">
        <f t="shared" si="18"/>
        <v>0</v>
      </c>
      <c r="AA342" s="11"/>
    </row>
    <row r="343" spans="1:28" x14ac:dyDescent="0.3">
      <c r="A343" s="7">
        <v>45567</v>
      </c>
      <c r="B343">
        <v>7</v>
      </c>
      <c r="C343" t="s">
        <v>236</v>
      </c>
      <c r="D343" t="s">
        <v>26</v>
      </c>
      <c r="E343">
        <v>18</v>
      </c>
      <c r="F343">
        <v>2</v>
      </c>
      <c r="G343">
        <v>3</v>
      </c>
      <c r="H343" t="s">
        <v>27</v>
      </c>
      <c r="I343">
        <v>1</v>
      </c>
      <c r="J343" s="10">
        <v>0.26041666666666669</v>
      </c>
      <c r="K343" s="10">
        <v>0.4201388888888889</v>
      </c>
      <c r="L343" s="10">
        <f t="shared" si="17"/>
        <v>0.15972222222222221</v>
      </c>
      <c r="M343" s="12">
        <f t="shared" si="16"/>
        <v>3.833333333333333</v>
      </c>
      <c r="N343" s="12">
        <f>Table35[[#This Row],[Trip Hours]]*Table35[[#This Row],['#Angler]]</f>
        <v>3.833333333333333</v>
      </c>
      <c r="O343" t="s">
        <v>28</v>
      </c>
      <c r="P343" t="s">
        <v>82</v>
      </c>
      <c r="Q343" t="s">
        <v>247</v>
      </c>
      <c r="R343" s="11">
        <v>0</v>
      </c>
      <c r="S343">
        <v>1</v>
      </c>
      <c r="T343">
        <v>0</v>
      </c>
      <c r="U343" s="11">
        <v>0</v>
      </c>
      <c r="V343">
        <v>0</v>
      </c>
      <c r="W343">
        <v>0</v>
      </c>
      <c r="X343" s="11">
        <f t="shared" si="18"/>
        <v>0</v>
      </c>
      <c r="Y343">
        <f t="shared" si="18"/>
        <v>1</v>
      </c>
      <c r="Z343">
        <f t="shared" si="18"/>
        <v>0</v>
      </c>
      <c r="AA343" s="11"/>
      <c r="AB343" t="s">
        <v>175</v>
      </c>
    </row>
    <row r="344" spans="1:28" x14ac:dyDescent="0.3">
      <c r="A344" s="7">
        <v>45567</v>
      </c>
      <c r="B344">
        <v>7</v>
      </c>
      <c r="C344" t="s">
        <v>236</v>
      </c>
      <c r="D344" t="s">
        <v>26</v>
      </c>
      <c r="E344">
        <v>19</v>
      </c>
      <c r="F344">
        <v>2</v>
      </c>
      <c r="G344">
        <v>4</v>
      </c>
      <c r="H344" t="s">
        <v>27</v>
      </c>
      <c r="I344">
        <v>1</v>
      </c>
      <c r="J344" s="10">
        <v>0.35416666666666669</v>
      </c>
      <c r="K344" s="10">
        <v>0.42499999999999999</v>
      </c>
      <c r="L344" s="10">
        <f t="shared" si="17"/>
        <v>7.0833333333333304E-2</v>
      </c>
      <c r="M344" s="12">
        <f t="shared" si="16"/>
        <v>1.6999999999999993</v>
      </c>
      <c r="N344" s="12">
        <f>Table35[[#This Row],[Trip Hours]]*Table35[[#This Row],['#Angler]]</f>
        <v>1.6999999999999993</v>
      </c>
      <c r="O344" t="s">
        <v>28</v>
      </c>
      <c r="P344" t="s">
        <v>49</v>
      </c>
      <c r="Q344" t="s">
        <v>247</v>
      </c>
      <c r="R344" s="11">
        <v>0</v>
      </c>
      <c r="S344">
        <v>0</v>
      </c>
      <c r="T344">
        <v>0</v>
      </c>
      <c r="U344" s="11">
        <v>0</v>
      </c>
      <c r="V344">
        <v>0</v>
      </c>
      <c r="W344">
        <v>0</v>
      </c>
      <c r="X344" s="11">
        <f t="shared" si="18"/>
        <v>0</v>
      </c>
      <c r="Y344">
        <f t="shared" si="18"/>
        <v>0</v>
      </c>
      <c r="Z344">
        <f t="shared" si="18"/>
        <v>0</v>
      </c>
      <c r="AA344" s="11"/>
    </row>
    <row r="345" spans="1:28" x14ac:dyDescent="0.3">
      <c r="A345" s="7">
        <v>45567</v>
      </c>
      <c r="B345">
        <v>7</v>
      </c>
      <c r="C345" t="s">
        <v>236</v>
      </c>
      <c r="D345" t="s">
        <v>26</v>
      </c>
      <c r="E345">
        <v>20</v>
      </c>
      <c r="F345">
        <v>2</v>
      </c>
      <c r="G345">
        <v>4</v>
      </c>
      <c r="H345" t="s">
        <v>27</v>
      </c>
      <c r="I345">
        <v>1</v>
      </c>
      <c r="J345" s="10">
        <v>0.43402777777777773</v>
      </c>
      <c r="K345" s="10">
        <v>0.43611111111111112</v>
      </c>
      <c r="L345" s="10">
        <f t="shared" si="17"/>
        <v>2.0833333333333814E-3</v>
      </c>
      <c r="M345" s="12">
        <f t="shared" si="16"/>
        <v>5.0000000000001155E-2</v>
      </c>
      <c r="N345" s="12">
        <f>Table35[[#This Row],[Trip Hours]]*Table35[[#This Row],['#Angler]]</f>
        <v>5.0000000000001155E-2</v>
      </c>
      <c r="O345" t="s">
        <v>28</v>
      </c>
      <c r="P345" t="s">
        <v>56</v>
      </c>
      <c r="Q345" t="s">
        <v>247</v>
      </c>
      <c r="R345" s="11">
        <v>0</v>
      </c>
      <c r="S345">
        <v>0</v>
      </c>
      <c r="T345">
        <v>0</v>
      </c>
      <c r="U345" s="11">
        <v>0</v>
      </c>
      <c r="V345">
        <v>0</v>
      </c>
      <c r="W345">
        <v>0</v>
      </c>
      <c r="X345" s="11">
        <f t="shared" si="18"/>
        <v>0</v>
      </c>
      <c r="Y345">
        <f t="shared" si="18"/>
        <v>0</v>
      </c>
      <c r="Z345">
        <f t="shared" si="18"/>
        <v>0</v>
      </c>
      <c r="AA345" s="11"/>
    </row>
    <row r="346" spans="1:28" x14ac:dyDescent="0.3">
      <c r="A346" s="7">
        <v>45568</v>
      </c>
      <c r="B346">
        <v>7</v>
      </c>
      <c r="C346" t="s">
        <v>236</v>
      </c>
      <c r="D346" t="s">
        <v>42</v>
      </c>
      <c r="E346">
        <v>1</v>
      </c>
      <c r="F346">
        <v>2</v>
      </c>
      <c r="G346">
        <v>2</v>
      </c>
      <c r="H346" t="s">
        <v>27</v>
      </c>
      <c r="I346">
        <v>1</v>
      </c>
      <c r="J346" s="10">
        <v>0.62847222222222221</v>
      </c>
      <c r="K346" s="10">
        <v>0.63124999999999998</v>
      </c>
      <c r="L346" s="10">
        <f t="shared" si="17"/>
        <v>2.7777777777777679E-3</v>
      </c>
      <c r="M346" s="12">
        <f t="shared" si="16"/>
        <v>6.666666666666643E-2</v>
      </c>
      <c r="N346" s="12">
        <f>Table35[[#This Row],[Trip Hours]]*Table35[[#This Row],['#Angler]]</f>
        <v>6.666666666666643E-2</v>
      </c>
      <c r="O346" t="s">
        <v>28</v>
      </c>
      <c r="P346" t="s">
        <v>239</v>
      </c>
      <c r="Q346" t="s">
        <v>247</v>
      </c>
      <c r="R346" s="11">
        <v>0</v>
      </c>
      <c r="S346">
        <v>0</v>
      </c>
      <c r="T346">
        <v>0</v>
      </c>
      <c r="U346" s="11">
        <v>0</v>
      </c>
      <c r="V346">
        <v>0</v>
      </c>
      <c r="W346">
        <v>0</v>
      </c>
      <c r="X346" s="11">
        <f t="shared" si="18"/>
        <v>0</v>
      </c>
      <c r="Y346">
        <f t="shared" si="18"/>
        <v>0</v>
      </c>
      <c r="Z346">
        <f t="shared" si="18"/>
        <v>0</v>
      </c>
      <c r="AA346" s="11"/>
    </row>
    <row r="347" spans="1:28" x14ac:dyDescent="0.3">
      <c r="A347" s="7">
        <v>45568</v>
      </c>
      <c r="B347">
        <v>7</v>
      </c>
      <c r="C347" t="s">
        <v>236</v>
      </c>
      <c r="D347" t="s">
        <v>42</v>
      </c>
      <c r="E347">
        <v>2</v>
      </c>
      <c r="F347">
        <v>2</v>
      </c>
      <c r="G347">
        <v>2</v>
      </c>
      <c r="H347" t="s">
        <v>27</v>
      </c>
      <c r="I347">
        <v>1</v>
      </c>
      <c r="J347" s="10">
        <v>0.62847222222222221</v>
      </c>
      <c r="K347" s="10">
        <v>0.63194444444444442</v>
      </c>
      <c r="L347" s="10">
        <f t="shared" si="17"/>
        <v>3.4722222222222099E-3</v>
      </c>
      <c r="M347" s="12">
        <f t="shared" si="16"/>
        <v>8.3333333333333037E-2</v>
      </c>
      <c r="N347" s="12">
        <f>Table35[[#This Row],[Trip Hours]]*Table35[[#This Row],['#Angler]]</f>
        <v>8.3333333333333037E-2</v>
      </c>
      <c r="O347" t="s">
        <v>28</v>
      </c>
      <c r="P347" t="s">
        <v>29</v>
      </c>
      <c r="Q347" t="s">
        <v>241</v>
      </c>
      <c r="R347" s="11">
        <v>0</v>
      </c>
      <c r="S347">
        <v>0</v>
      </c>
      <c r="T347">
        <v>0</v>
      </c>
      <c r="U347" s="11">
        <v>0</v>
      </c>
      <c r="V347">
        <v>0</v>
      </c>
      <c r="W347">
        <v>0</v>
      </c>
      <c r="X347" s="11">
        <f t="shared" si="18"/>
        <v>0</v>
      </c>
      <c r="Y347">
        <f t="shared" si="18"/>
        <v>0</v>
      </c>
      <c r="Z347">
        <f t="shared" si="18"/>
        <v>0</v>
      </c>
      <c r="AA347" s="11"/>
    </row>
    <row r="348" spans="1:28" x14ac:dyDescent="0.3">
      <c r="A348" s="7">
        <v>45568</v>
      </c>
      <c r="B348">
        <v>7</v>
      </c>
      <c r="C348" t="s">
        <v>236</v>
      </c>
      <c r="D348" t="s">
        <v>42</v>
      </c>
      <c r="E348">
        <v>3</v>
      </c>
      <c r="F348">
        <v>2</v>
      </c>
      <c r="G348">
        <v>3</v>
      </c>
      <c r="H348" t="s">
        <v>27</v>
      </c>
      <c r="I348">
        <v>1</v>
      </c>
      <c r="J348" s="10">
        <v>0.64583333333333337</v>
      </c>
      <c r="K348" s="10">
        <v>0.67569444444444438</v>
      </c>
      <c r="L348" s="10">
        <f t="shared" si="17"/>
        <v>2.9861111111111005E-2</v>
      </c>
      <c r="M348" s="12">
        <f t="shared" si="16"/>
        <v>0.71666666666666412</v>
      </c>
      <c r="N348" s="12">
        <f>Table35[[#This Row],[Trip Hours]]*Table35[[#This Row],['#Angler]]</f>
        <v>0.71666666666666412</v>
      </c>
      <c r="O348" t="s">
        <v>25</v>
      </c>
      <c r="P348" t="s">
        <v>56</v>
      </c>
      <c r="Q348" t="s">
        <v>247</v>
      </c>
      <c r="R348" s="11">
        <v>0</v>
      </c>
      <c r="S348">
        <v>0</v>
      </c>
      <c r="T348">
        <v>0</v>
      </c>
      <c r="U348" s="11">
        <v>0</v>
      </c>
      <c r="V348">
        <v>0</v>
      </c>
      <c r="W348">
        <v>0</v>
      </c>
      <c r="X348" s="11">
        <f t="shared" si="18"/>
        <v>0</v>
      </c>
      <c r="Y348">
        <f t="shared" si="18"/>
        <v>0</v>
      </c>
      <c r="Z348">
        <f t="shared" si="18"/>
        <v>0</v>
      </c>
      <c r="AA348" s="11"/>
    </row>
    <row r="349" spans="1:28" x14ac:dyDescent="0.3">
      <c r="A349" s="7">
        <v>45568</v>
      </c>
      <c r="B349">
        <v>7</v>
      </c>
      <c r="C349" t="s">
        <v>236</v>
      </c>
      <c r="D349" t="s">
        <v>42</v>
      </c>
      <c r="E349">
        <v>4</v>
      </c>
      <c r="F349">
        <v>3</v>
      </c>
      <c r="G349">
        <v>2</v>
      </c>
      <c r="H349" t="s">
        <v>27</v>
      </c>
      <c r="I349">
        <v>1</v>
      </c>
      <c r="J349" s="10">
        <v>0.70833333333333337</v>
      </c>
      <c r="K349" s="10">
        <v>0.75694444444444453</v>
      </c>
      <c r="L349" s="10">
        <f t="shared" si="17"/>
        <v>4.861111111111116E-2</v>
      </c>
      <c r="M349" s="12">
        <f t="shared" si="16"/>
        <v>1.1666666666666679</v>
      </c>
      <c r="N349" s="12">
        <f>Table35[[#This Row],[Trip Hours]]*Table35[[#This Row],['#Angler]]</f>
        <v>1.1666666666666679</v>
      </c>
      <c r="O349" t="s">
        <v>28</v>
      </c>
      <c r="P349" t="s">
        <v>111</v>
      </c>
      <c r="Q349" t="s">
        <v>311</v>
      </c>
      <c r="R349" s="11">
        <v>0</v>
      </c>
      <c r="S349">
        <v>0</v>
      </c>
      <c r="T349">
        <v>0</v>
      </c>
      <c r="U349" s="11">
        <v>0</v>
      </c>
      <c r="V349">
        <v>0</v>
      </c>
      <c r="W349">
        <v>0</v>
      </c>
      <c r="X349" s="11">
        <f t="shared" si="18"/>
        <v>0</v>
      </c>
      <c r="Y349">
        <f t="shared" si="18"/>
        <v>0</v>
      </c>
      <c r="Z349">
        <f t="shared" si="18"/>
        <v>0</v>
      </c>
      <c r="AA349" s="11"/>
    </row>
    <row r="350" spans="1:28" x14ac:dyDescent="0.3">
      <c r="A350" s="7">
        <v>45568</v>
      </c>
      <c r="B350">
        <v>7</v>
      </c>
      <c r="C350" t="s">
        <v>236</v>
      </c>
      <c r="D350" t="s">
        <v>42</v>
      </c>
      <c r="E350">
        <v>5</v>
      </c>
      <c r="F350">
        <v>3</v>
      </c>
      <c r="G350">
        <v>5</v>
      </c>
      <c r="H350" t="s">
        <v>27</v>
      </c>
      <c r="I350">
        <v>1</v>
      </c>
      <c r="J350" s="10">
        <v>0.69444444444444453</v>
      </c>
      <c r="K350" s="10">
        <v>0.76874999999999993</v>
      </c>
      <c r="L350" s="10">
        <f t="shared" si="17"/>
        <v>7.4305555555555403E-2</v>
      </c>
      <c r="M350" s="12">
        <f t="shared" si="16"/>
        <v>1.7833333333333297</v>
      </c>
      <c r="N350" s="12">
        <f>Table35[[#This Row],[Trip Hours]]*Table35[[#This Row],['#Angler]]</f>
        <v>1.7833333333333297</v>
      </c>
      <c r="O350" t="s">
        <v>28</v>
      </c>
      <c r="P350" t="s">
        <v>49</v>
      </c>
      <c r="Q350" t="s">
        <v>241</v>
      </c>
      <c r="R350" s="11">
        <v>0</v>
      </c>
      <c r="S350">
        <v>0</v>
      </c>
      <c r="T350">
        <v>0</v>
      </c>
      <c r="U350" s="11">
        <v>0</v>
      </c>
      <c r="V350">
        <v>0</v>
      </c>
      <c r="W350">
        <v>0</v>
      </c>
      <c r="X350" s="11">
        <f t="shared" si="18"/>
        <v>0</v>
      </c>
      <c r="Y350">
        <f t="shared" si="18"/>
        <v>0</v>
      </c>
      <c r="Z350">
        <f t="shared" si="18"/>
        <v>0</v>
      </c>
      <c r="AA350" s="11"/>
    </row>
    <row r="351" spans="1:28" x14ac:dyDescent="0.3">
      <c r="A351" s="7">
        <v>45568</v>
      </c>
      <c r="B351">
        <v>7</v>
      </c>
      <c r="C351" t="s">
        <v>236</v>
      </c>
      <c r="D351" t="s">
        <v>42</v>
      </c>
      <c r="E351">
        <v>6</v>
      </c>
      <c r="F351">
        <v>3</v>
      </c>
      <c r="G351">
        <v>6</v>
      </c>
      <c r="H351" t="s">
        <v>27</v>
      </c>
      <c r="I351">
        <v>1</v>
      </c>
      <c r="J351" s="10">
        <v>0.66666666666666663</v>
      </c>
      <c r="K351" s="10">
        <v>0.77847222222222223</v>
      </c>
      <c r="L351" s="10">
        <f t="shared" si="17"/>
        <v>0.1118055555555556</v>
      </c>
      <c r="M351" s="12">
        <f t="shared" si="16"/>
        <v>2.6833333333333345</v>
      </c>
      <c r="N351" s="12">
        <f>Table35[[#This Row],[Trip Hours]]*Table35[[#This Row],['#Angler]]</f>
        <v>2.6833333333333345</v>
      </c>
      <c r="O351" t="s">
        <v>25</v>
      </c>
      <c r="P351" t="s">
        <v>305</v>
      </c>
      <c r="Q351" t="s">
        <v>247</v>
      </c>
      <c r="R351" s="11">
        <v>0</v>
      </c>
      <c r="S351">
        <v>0</v>
      </c>
      <c r="T351">
        <v>0</v>
      </c>
      <c r="U351" s="11">
        <v>0</v>
      </c>
      <c r="V351">
        <v>0</v>
      </c>
      <c r="W351">
        <v>0</v>
      </c>
      <c r="X351" s="11">
        <f t="shared" si="18"/>
        <v>0</v>
      </c>
      <c r="Y351">
        <f t="shared" si="18"/>
        <v>0</v>
      </c>
      <c r="Z351">
        <f t="shared" si="18"/>
        <v>0</v>
      </c>
      <c r="AA351" s="11"/>
    </row>
    <row r="352" spans="1:28" x14ac:dyDescent="0.3">
      <c r="A352" s="7">
        <v>45569</v>
      </c>
      <c r="B352">
        <v>7</v>
      </c>
      <c r="C352" t="s">
        <v>236</v>
      </c>
      <c r="D352" t="s">
        <v>42</v>
      </c>
      <c r="E352">
        <v>1</v>
      </c>
      <c r="F352">
        <v>2</v>
      </c>
      <c r="G352">
        <v>4</v>
      </c>
      <c r="H352" t="s">
        <v>27</v>
      </c>
      <c r="I352">
        <v>1</v>
      </c>
      <c r="J352" s="10">
        <v>0.60416666666666663</v>
      </c>
      <c r="K352" s="10">
        <v>0.64374999999999993</v>
      </c>
      <c r="L352" s="10">
        <f t="shared" si="17"/>
        <v>3.9583333333333304E-2</v>
      </c>
      <c r="M352" s="12">
        <f t="shared" si="16"/>
        <v>0.94999999999999929</v>
      </c>
      <c r="N352" s="12">
        <f>Table35[[#This Row],[Trip Hours]]*Table35[[#This Row],['#Angler]]</f>
        <v>0.94999999999999929</v>
      </c>
      <c r="O352" t="s">
        <v>28</v>
      </c>
      <c r="P352" t="s">
        <v>56</v>
      </c>
      <c r="Q352" t="s">
        <v>247</v>
      </c>
      <c r="R352" s="11">
        <v>0</v>
      </c>
      <c r="S352">
        <v>0</v>
      </c>
      <c r="T352">
        <v>0</v>
      </c>
      <c r="U352" s="11">
        <v>0</v>
      </c>
      <c r="V352">
        <v>0</v>
      </c>
      <c r="W352">
        <v>0</v>
      </c>
      <c r="X352" s="11">
        <f t="shared" si="18"/>
        <v>0</v>
      </c>
      <c r="Y352">
        <f t="shared" si="18"/>
        <v>0</v>
      </c>
      <c r="Z352">
        <f t="shared" si="18"/>
        <v>0</v>
      </c>
      <c r="AA352" s="11"/>
    </row>
    <row r="353" spans="1:27" x14ac:dyDescent="0.3">
      <c r="A353" s="7">
        <v>45569</v>
      </c>
      <c r="B353">
        <v>7</v>
      </c>
      <c r="C353" t="s">
        <v>236</v>
      </c>
      <c r="D353" t="s">
        <v>42</v>
      </c>
      <c r="E353">
        <v>2</v>
      </c>
      <c r="F353">
        <v>2</v>
      </c>
      <c r="G353">
        <v>4</v>
      </c>
      <c r="H353" t="s">
        <v>27</v>
      </c>
      <c r="I353">
        <v>1</v>
      </c>
      <c r="J353" s="10">
        <v>0.58958333333333335</v>
      </c>
      <c r="K353" s="10">
        <v>0.65208333333333335</v>
      </c>
      <c r="L353" s="10">
        <f t="shared" si="17"/>
        <v>6.25E-2</v>
      </c>
      <c r="M353" s="12">
        <f t="shared" si="16"/>
        <v>1.5</v>
      </c>
      <c r="N353" s="12">
        <f>Table35[[#This Row],[Trip Hours]]*Table35[[#This Row],['#Angler]]</f>
        <v>1.5</v>
      </c>
      <c r="O353" t="s">
        <v>28</v>
      </c>
      <c r="P353" t="s">
        <v>312</v>
      </c>
      <c r="Q353" t="s">
        <v>237</v>
      </c>
      <c r="R353" s="11">
        <v>0</v>
      </c>
      <c r="S353">
        <v>0</v>
      </c>
      <c r="T353">
        <v>0</v>
      </c>
      <c r="U353" s="11">
        <v>0</v>
      </c>
      <c r="V353">
        <v>0</v>
      </c>
      <c r="W353">
        <v>0</v>
      </c>
      <c r="X353" s="11">
        <f t="shared" si="18"/>
        <v>0</v>
      </c>
      <c r="Y353">
        <f t="shared" si="18"/>
        <v>0</v>
      </c>
      <c r="Z353">
        <f t="shared" si="18"/>
        <v>0</v>
      </c>
      <c r="AA353" s="11"/>
    </row>
    <row r="354" spans="1:27" x14ac:dyDescent="0.3">
      <c r="A354" s="7">
        <v>45569</v>
      </c>
      <c r="B354">
        <v>7</v>
      </c>
      <c r="C354" t="s">
        <v>236</v>
      </c>
      <c r="D354" t="s">
        <v>42</v>
      </c>
      <c r="E354">
        <v>3</v>
      </c>
      <c r="F354">
        <v>2</v>
      </c>
      <c r="G354">
        <v>3</v>
      </c>
      <c r="H354" t="s">
        <v>27</v>
      </c>
      <c r="I354">
        <v>1</v>
      </c>
      <c r="J354" s="10">
        <v>0.55208333333333337</v>
      </c>
      <c r="K354" s="10">
        <v>0.65902777777777777</v>
      </c>
      <c r="L354" s="10">
        <f t="shared" si="17"/>
        <v>0.1069444444444444</v>
      </c>
      <c r="M354" s="12">
        <f t="shared" si="16"/>
        <v>2.5666666666666655</v>
      </c>
      <c r="N354" s="12">
        <f>Table35[[#This Row],[Trip Hours]]*Table35[[#This Row],['#Angler]]</f>
        <v>2.5666666666666655</v>
      </c>
      <c r="O354" t="s">
        <v>28</v>
      </c>
      <c r="P354" t="s">
        <v>306</v>
      </c>
      <c r="Q354" t="s">
        <v>247</v>
      </c>
      <c r="R354" s="11">
        <v>0</v>
      </c>
      <c r="S354">
        <v>1</v>
      </c>
      <c r="T354">
        <v>0</v>
      </c>
      <c r="U354" s="11">
        <v>0</v>
      </c>
      <c r="V354">
        <v>0</v>
      </c>
      <c r="W354">
        <v>0</v>
      </c>
      <c r="X354" s="11">
        <f t="shared" si="18"/>
        <v>0</v>
      </c>
      <c r="Y354">
        <f t="shared" si="18"/>
        <v>1</v>
      </c>
      <c r="Z354">
        <f t="shared" si="18"/>
        <v>0</v>
      </c>
      <c r="AA354" s="11"/>
    </row>
    <row r="355" spans="1:27" x14ac:dyDescent="0.3">
      <c r="A355" s="7">
        <v>45569</v>
      </c>
      <c r="B355">
        <v>7</v>
      </c>
      <c r="C355" t="s">
        <v>236</v>
      </c>
      <c r="D355" t="s">
        <v>42</v>
      </c>
      <c r="E355">
        <v>4</v>
      </c>
      <c r="F355">
        <v>2</v>
      </c>
      <c r="G355">
        <v>3</v>
      </c>
      <c r="H355" t="s">
        <v>27</v>
      </c>
      <c r="I355">
        <v>2</v>
      </c>
      <c r="J355" s="10">
        <v>0.65625</v>
      </c>
      <c r="K355" s="10">
        <v>0.65902777777777777</v>
      </c>
      <c r="L355" s="10">
        <f t="shared" si="17"/>
        <v>2.7777777777777679E-3</v>
      </c>
      <c r="M355" s="12">
        <f t="shared" si="16"/>
        <v>6.666666666666643E-2</v>
      </c>
      <c r="N355" s="12">
        <f>Table35[[#This Row],[Trip Hours]]*Table35[[#This Row],['#Angler]]</f>
        <v>0.13333333333333286</v>
      </c>
      <c r="O355" t="s">
        <v>28</v>
      </c>
      <c r="P355" t="s">
        <v>304</v>
      </c>
      <c r="Q355" t="s">
        <v>247</v>
      </c>
      <c r="R355" s="11">
        <v>0</v>
      </c>
      <c r="S355">
        <v>0</v>
      </c>
      <c r="T355">
        <v>0</v>
      </c>
      <c r="U355" s="11">
        <v>0</v>
      </c>
      <c r="V355">
        <v>0</v>
      </c>
      <c r="W355">
        <v>0</v>
      </c>
      <c r="X355" s="11">
        <f t="shared" si="18"/>
        <v>0</v>
      </c>
      <c r="Y355">
        <f t="shared" si="18"/>
        <v>0</v>
      </c>
      <c r="Z355">
        <f t="shared" si="18"/>
        <v>0</v>
      </c>
      <c r="AA355" s="11"/>
    </row>
    <row r="356" spans="1:27" x14ac:dyDescent="0.3">
      <c r="A356" s="7">
        <v>45569</v>
      </c>
      <c r="B356">
        <v>7</v>
      </c>
      <c r="C356" t="s">
        <v>236</v>
      </c>
      <c r="D356" t="s">
        <v>42</v>
      </c>
      <c r="E356">
        <v>5</v>
      </c>
      <c r="F356">
        <v>2</v>
      </c>
      <c r="G356">
        <v>3</v>
      </c>
      <c r="H356" t="s">
        <v>27</v>
      </c>
      <c r="I356">
        <v>2</v>
      </c>
      <c r="J356" s="10">
        <v>0.66319444444444442</v>
      </c>
      <c r="K356" s="10">
        <v>0.67083333333333339</v>
      </c>
      <c r="L356" s="10">
        <f t="shared" si="17"/>
        <v>7.6388888888889728E-3</v>
      </c>
      <c r="M356" s="12">
        <f t="shared" si="16"/>
        <v>0.18333333333333535</v>
      </c>
      <c r="N356" s="12">
        <f>Table35[[#This Row],[Trip Hours]]*Table35[[#This Row],['#Angler]]</f>
        <v>0.36666666666667069</v>
      </c>
      <c r="O356" t="s">
        <v>28</v>
      </c>
      <c r="P356" t="s">
        <v>49</v>
      </c>
      <c r="Q356" t="s">
        <v>247</v>
      </c>
      <c r="R356" s="11">
        <v>0</v>
      </c>
      <c r="S356">
        <v>0</v>
      </c>
      <c r="T356">
        <v>0</v>
      </c>
      <c r="U356" s="11">
        <v>0</v>
      </c>
      <c r="V356">
        <v>0</v>
      </c>
      <c r="W356">
        <v>0</v>
      </c>
      <c r="X356" s="11">
        <f t="shared" si="18"/>
        <v>0</v>
      </c>
      <c r="Y356">
        <f t="shared" si="18"/>
        <v>0</v>
      </c>
      <c r="Z356">
        <f t="shared" si="18"/>
        <v>0</v>
      </c>
      <c r="AA356" s="11"/>
    </row>
    <row r="357" spans="1:27" x14ac:dyDescent="0.3">
      <c r="A357" s="7">
        <v>45569</v>
      </c>
      <c r="B357">
        <v>7</v>
      </c>
      <c r="C357" t="s">
        <v>236</v>
      </c>
      <c r="D357" t="s">
        <v>42</v>
      </c>
      <c r="E357">
        <v>6</v>
      </c>
      <c r="F357">
        <v>2</v>
      </c>
      <c r="G357">
        <v>2</v>
      </c>
      <c r="H357" t="s">
        <v>27</v>
      </c>
      <c r="I357">
        <v>4</v>
      </c>
      <c r="J357" s="10">
        <v>0.71527777777777779</v>
      </c>
      <c r="K357" s="10">
        <v>0.72222222222222221</v>
      </c>
      <c r="L357" s="10">
        <f t="shared" si="17"/>
        <v>6.9444444444444198E-3</v>
      </c>
      <c r="M357" s="12">
        <f t="shared" si="16"/>
        <v>0.16666666666666607</v>
      </c>
      <c r="N357" s="12">
        <f>Table35[[#This Row],[Trip Hours]]*Table35[[#This Row],['#Angler]]</f>
        <v>0.6666666666666643</v>
      </c>
      <c r="O357" t="s">
        <v>28</v>
      </c>
      <c r="P357" t="s">
        <v>313</v>
      </c>
      <c r="Q357" t="s">
        <v>247</v>
      </c>
      <c r="R357" s="11">
        <v>0</v>
      </c>
      <c r="S357">
        <v>0</v>
      </c>
      <c r="T357">
        <v>0</v>
      </c>
      <c r="U357" s="11">
        <v>0</v>
      </c>
      <c r="V357">
        <v>0</v>
      </c>
      <c r="W357">
        <v>0</v>
      </c>
      <c r="X357" s="11">
        <f t="shared" si="18"/>
        <v>0</v>
      </c>
      <c r="Y357">
        <f t="shared" si="18"/>
        <v>0</v>
      </c>
      <c r="Z357">
        <f t="shared" si="18"/>
        <v>0</v>
      </c>
      <c r="AA357" s="11"/>
    </row>
    <row r="358" spans="1:27" x14ac:dyDescent="0.3">
      <c r="A358" s="7">
        <v>45569</v>
      </c>
      <c r="B358">
        <v>7</v>
      </c>
      <c r="C358" t="s">
        <v>236</v>
      </c>
      <c r="D358" t="s">
        <v>42</v>
      </c>
      <c r="E358">
        <v>7</v>
      </c>
      <c r="F358">
        <v>2</v>
      </c>
      <c r="G358">
        <v>2</v>
      </c>
      <c r="H358" t="s">
        <v>27</v>
      </c>
      <c r="I358">
        <v>1</v>
      </c>
      <c r="J358" s="10">
        <v>0.70833333333333337</v>
      </c>
      <c r="K358" s="10">
        <v>0.72916666666666663</v>
      </c>
      <c r="L358" s="10">
        <f t="shared" si="17"/>
        <v>2.0833333333333259E-2</v>
      </c>
      <c r="M358" s="12">
        <f t="shared" si="16"/>
        <v>0.49999999999999822</v>
      </c>
      <c r="N358" s="12">
        <f>Table35[[#This Row],[Trip Hours]]*Table35[[#This Row],['#Angler]]</f>
        <v>0.49999999999999822</v>
      </c>
      <c r="O358" t="s">
        <v>25</v>
      </c>
      <c r="P358" t="s">
        <v>56</v>
      </c>
      <c r="Q358" t="s">
        <v>241</v>
      </c>
      <c r="R358" s="11">
        <v>0</v>
      </c>
      <c r="S358">
        <v>0</v>
      </c>
      <c r="T358">
        <v>0</v>
      </c>
      <c r="U358" s="11">
        <v>0</v>
      </c>
      <c r="V358">
        <v>0</v>
      </c>
      <c r="W358">
        <v>0</v>
      </c>
      <c r="X358" s="11">
        <f t="shared" si="18"/>
        <v>0</v>
      </c>
      <c r="Y358">
        <f t="shared" si="18"/>
        <v>0</v>
      </c>
      <c r="Z358">
        <f t="shared" si="18"/>
        <v>0</v>
      </c>
      <c r="AA358" s="11"/>
    </row>
    <row r="359" spans="1:27" x14ac:dyDescent="0.3">
      <c r="A359" s="7">
        <v>45569</v>
      </c>
      <c r="B359">
        <v>7</v>
      </c>
      <c r="C359" t="s">
        <v>236</v>
      </c>
      <c r="D359" t="s">
        <v>42</v>
      </c>
      <c r="E359">
        <v>8</v>
      </c>
      <c r="F359">
        <v>2</v>
      </c>
      <c r="G359">
        <v>2</v>
      </c>
      <c r="H359" t="s">
        <v>27</v>
      </c>
      <c r="I359">
        <v>1</v>
      </c>
      <c r="J359" s="10">
        <v>0.625</v>
      </c>
      <c r="K359" s="10">
        <v>0.74444444444444446</v>
      </c>
      <c r="L359" s="10">
        <f t="shared" si="17"/>
        <v>0.11944444444444446</v>
      </c>
      <c r="M359" s="12">
        <f t="shared" si="16"/>
        <v>2.8666666666666671</v>
      </c>
      <c r="N359" s="12">
        <f>Table35[[#This Row],[Trip Hours]]*Table35[[#This Row],['#Angler]]</f>
        <v>2.8666666666666671</v>
      </c>
      <c r="O359" t="s">
        <v>25</v>
      </c>
      <c r="P359" t="s">
        <v>49</v>
      </c>
      <c r="Q359" t="s">
        <v>241</v>
      </c>
      <c r="R359" s="11">
        <v>0</v>
      </c>
      <c r="S359">
        <v>0</v>
      </c>
      <c r="T359">
        <v>0</v>
      </c>
      <c r="U359" s="11">
        <v>0</v>
      </c>
      <c r="V359">
        <v>0</v>
      </c>
      <c r="W359">
        <v>0</v>
      </c>
      <c r="X359" s="11">
        <f t="shared" si="18"/>
        <v>0</v>
      </c>
      <c r="Y359">
        <f t="shared" si="18"/>
        <v>0</v>
      </c>
      <c r="Z359">
        <f t="shared" si="18"/>
        <v>0</v>
      </c>
      <c r="AA359" s="11"/>
    </row>
    <row r="360" spans="1:27" x14ac:dyDescent="0.3">
      <c r="A360" s="7">
        <v>45569</v>
      </c>
      <c r="B360">
        <v>7</v>
      </c>
      <c r="C360" t="s">
        <v>236</v>
      </c>
      <c r="D360" t="s">
        <v>42</v>
      </c>
      <c r="E360">
        <v>9</v>
      </c>
      <c r="F360">
        <v>2</v>
      </c>
      <c r="G360">
        <v>2</v>
      </c>
      <c r="H360" t="s">
        <v>27</v>
      </c>
      <c r="I360">
        <v>2</v>
      </c>
      <c r="J360" s="10">
        <v>0.66666666666666663</v>
      </c>
      <c r="K360" s="10">
        <v>0.74652777777777779</v>
      </c>
      <c r="L360" s="10">
        <f t="shared" si="17"/>
        <v>7.986111111111116E-2</v>
      </c>
      <c r="M360" s="12">
        <f t="shared" si="16"/>
        <v>1.9166666666666679</v>
      </c>
      <c r="N360" s="12">
        <f>Table35[[#This Row],[Trip Hours]]*Table35[[#This Row],['#Angler]]</f>
        <v>3.8333333333333357</v>
      </c>
      <c r="O360" t="s">
        <v>28</v>
      </c>
      <c r="P360" t="s">
        <v>56</v>
      </c>
      <c r="Q360" t="s">
        <v>247</v>
      </c>
      <c r="R360" s="11">
        <v>0</v>
      </c>
      <c r="S360">
        <v>0</v>
      </c>
      <c r="T360">
        <v>0</v>
      </c>
      <c r="U360" s="11">
        <v>0</v>
      </c>
      <c r="V360">
        <v>0</v>
      </c>
      <c r="W360">
        <v>0</v>
      </c>
      <c r="X360" s="11">
        <f t="shared" si="18"/>
        <v>0</v>
      </c>
      <c r="Y360">
        <f t="shared" si="18"/>
        <v>0</v>
      </c>
      <c r="Z360">
        <f t="shared" si="18"/>
        <v>0</v>
      </c>
      <c r="AA360" s="11"/>
    </row>
    <row r="361" spans="1:27" x14ac:dyDescent="0.3">
      <c r="A361" s="7">
        <v>45570</v>
      </c>
      <c r="B361">
        <v>7</v>
      </c>
      <c r="C361" t="s">
        <v>250</v>
      </c>
      <c r="D361" t="s">
        <v>26</v>
      </c>
      <c r="E361">
        <v>1</v>
      </c>
      <c r="F361">
        <v>2</v>
      </c>
      <c r="G361">
        <v>5</v>
      </c>
      <c r="H361" t="s">
        <v>27</v>
      </c>
      <c r="I361">
        <v>2</v>
      </c>
      <c r="J361" s="10">
        <v>0.375</v>
      </c>
      <c r="K361" s="10">
        <v>0.47152777777777777</v>
      </c>
      <c r="L361" s="10">
        <f t="shared" si="17"/>
        <v>9.6527777777777768E-2</v>
      </c>
      <c r="M361" s="12">
        <f t="shared" si="16"/>
        <v>2.3166666666666664</v>
      </c>
      <c r="N361" s="12">
        <f>Table35[[#This Row],[Trip Hours]]*Table35[[#This Row],['#Angler]]</f>
        <v>4.6333333333333329</v>
      </c>
      <c r="O361" t="s">
        <v>25</v>
      </c>
      <c r="P361" t="s">
        <v>56</v>
      </c>
      <c r="Q361" t="s">
        <v>247</v>
      </c>
      <c r="R361" s="11">
        <v>0</v>
      </c>
      <c r="S361">
        <v>0</v>
      </c>
      <c r="T361">
        <v>0</v>
      </c>
      <c r="U361" s="11">
        <v>0</v>
      </c>
      <c r="V361">
        <v>0</v>
      </c>
      <c r="W361">
        <v>0</v>
      </c>
      <c r="X361" s="11">
        <f t="shared" si="18"/>
        <v>0</v>
      </c>
      <c r="Y361">
        <f t="shared" si="18"/>
        <v>0</v>
      </c>
      <c r="Z361">
        <f t="shared" si="18"/>
        <v>0</v>
      </c>
      <c r="AA361" s="11"/>
    </row>
    <row r="362" spans="1:27" x14ac:dyDescent="0.3">
      <c r="A362" s="7">
        <v>45570</v>
      </c>
      <c r="B362">
        <v>7</v>
      </c>
      <c r="C362" t="s">
        <v>250</v>
      </c>
      <c r="D362" t="s">
        <v>26</v>
      </c>
      <c r="E362">
        <v>2</v>
      </c>
      <c r="F362">
        <v>3</v>
      </c>
      <c r="G362">
        <v>8</v>
      </c>
      <c r="H362" t="s">
        <v>27</v>
      </c>
      <c r="I362">
        <v>2</v>
      </c>
      <c r="J362" s="10">
        <v>0.45833333333333331</v>
      </c>
      <c r="K362" s="10">
        <v>0.55763888888888891</v>
      </c>
      <c r="L362" s="10">
        <f t="shared" si="17"/>
        <v>9.9305555555555591E-2</v>
      </c>
      <c r="M362" s="12">
        <f t="shared" si="16"/>
        <v>2.3833333333333342</v>
      </c>
      <c r="N362" s="12">
        <f>Table35[[#This Row],[Trip Hours]]*Table35[[#This Row],['#Angler]]</f>
        <v>4.7666666666666684</v>
      </c>
      <c r="O362" t="s">
        <v>25</v>
      </c>
      <c r="P362" t="s">
        <v>258</v>
      </c>
      <c r="Q362" t="s">
        <v>247</v>
      </c>
      <c r="R362" s="11">
        <v>0</v>
      </c>
      <c r="S362">
        <v>0</v>
      </c>
      <c r="T362">
        <v>0</v>
      </c>
      <c r="U362" s="11">
        <v>0</v>
      </c>
      <c r="V362">
        <v>0</v>
      </c>
      <c r="W362">
        <v>0</v>
      </c>
      <c r="X362" s="11">
        <f t="shared" si="18"/>
        <v>0</v>
      </c>
      <c r="Y362">
        <f t="shared" si="18"/>
        <v>0</v>
      </c>
      <c r="Z362">
        <f t="shared" si="18"/>
        <v>0</v>
      </c>
      <c r="AA362" s="11"/>
    </row>
    <row r="363" spans="1:27" x14ac:dyDescent="0.3">
      <c r="A363" s="7">
        <v>45570</v>
      </c>
      <c r="B363">
        <v>7</v>
      </c>
      <c r="C363" t="s">
        <v>250</v>
      </c>
      <c r="D363" t="s">
        <v>26</v>
      </c>
      <c r="E363">
        <v>3</v>
      </c>
      <c r="F363">
        <v>3</v>
      </c>
      <c r="G363">
        <v>8</v>
      </c>
      <c r="H363" t="s">
        <v>27</v>
      </c>
      <c r="I363">
        <v>4</v>
      </c>
      <c r="J363" s="10">
        <v>0.41666666666666669</v>
      </c>
      <c r="K363" s="10">
        <v>0.55833333333333335</v>
      </c>
      <c r="L363" s="10">
        <f t="shared" si="17"/>
        <v>0.14166666666666666</v>
      </c>
      <c r="M363" s="12">
        <f t="shared" si="16"/>
        <v>3.4</v>
      </c>
      <c r="N363" s="12">
        <f>Table35[[#This Row],[Trip Hours]]*Table35[[#This Row],['#Angler]]</f>
        <v>13.6</v>
      </c>
      <c r="O363" t="s">
        <v>25</v>
      </c>
      <c r="P363" t="s">
        <v>272</v>
      </c>
      <c r="Q363" t="s">
        <v>241</v>
      </c>
      <c r="R363" s="11">
        <v>0</v>
      </c>
      <c r="S363">
        <v>0</v>
      </c>
      <c r="T363">
        <v>0</v>
      </c>
      <c r="U363" s="11">
        <v>0</v>
      </c>
      <c r="V363">
        <v>0</v>
      </c>
      <c r="W363">
        <v>0</v>
      </c>
      <c r="X363" s="11">
        <f t="shared" si="18"/>
        <v>0</v>
      </c>
      <c r="Y363">
        <f t="shared" si="18"/>
        <v>0</v>
      </c>
      <c r="Z363">
        <f t="shared" si="18"/>
        <v>0</v>
      </c>
      <c r="AA363" s="11"/>
    </row>
    <row r="364" spans="1:27" x14ac:dyDescent="0.3">
      <c r="A364" s="7">
        <v>45570</v>
      </c>
      <c r="B364">
        <v>7</v>
      </c>
      <c r="C364" t="s">
        <v>250</v>
      </c>
      <c r="D364" t="s">
        <v>42</v>
      </c>
      <c r="E364">
        <v>4</v>
      </c>
      <c r="F364">
        <v>1</v>
      </c>
      <c r="G364">
        <v>1</v>
      </c>
      <c r="H364" t="s">
        <v>35</v>
      </c>
      <c r="I364">
        <v>3</v>
      </c>
      <c r="J364" s="10">
        <v>0.66666666666666663</v>
      </c>
      <c r="K364" s="10">
        <v>0.73819444444444438</v>
      </c>
      <c r="L364" s="10">
        <f t="shared" si="17"/>
        <v>7.1527777777777746E-2</v>
      </c>
      <c r="M364" s="12">
        <f t="shared" si="16"/>
        <v>1.7166666666666659</v>
      </c>
      <c r="N364" s="12">
        <f>Table35[[#This Row],[Trip Hours]]*Table35[[#This Row],['#Angler]]</f>
        <v>5.1499999999999977</v>
      </c>
      <c r="O364" t="s">
        <v>25</v>
      </c>
      <c r="P364" t="s">
        <v>248</v>
      </c>
      <c r="Q364" t="s">
        <v>311</v>
      </c>
      <c r="R364" s="11">
        <v>0</v>
      </c>
      <c r="S364">
        <v>0</v>
      </c>
      <c r="T364">
        <v>0</v>
      </c>
      <c r="U364" s="11">
        <v>0</v>
      </c>
      <c r="V364">
        <v>0</v>
      </c>
      <c r="W364">
        <v>0</v>
      </c>
      <c r="X364" s="11">
        <f t="shared" si="18"/>
        <v>0</v>
      </c>
      <c r="Y364">
        <f t="shared" si="18"/>
        <v>0</v>
      </c>
      <c r="Z364">
        <f t="shared" si="18"/>
        <v>0</v>
      </c>
      <c r="AA364" s="11"/>
    </row>
    <row r="365" spans="1:27" x14ac:dyDescent="0.3">
      <c r="A365" s="7">
        <v>45570</v>
      </c>
      <c r="B365">
        <v>7</v>
      </c>
      <c r="C365" t="s">
        <v>250</v>
      </c>
      <c r="D365" t="s">
        <v>42</v>
      </c>
      <c r="E365">
        <v>5</v>
      </c>
      <c r="F365">
        <v>1</v>
      </c>
      <c r="G365">
        <v>1</v>
      </c>
      <c r="H365" t="s">
        <v>35</v>
      </c>
      <c r="I365">
        <v>3</v>
      </c>
      <c r="J365" s="10">
        <v>0.54166666666666663</v>
      </c>
      <c r="K365" s="10">
        <v>0.76041666666666663</v>
      </c>
      <c r="L365" s="10">
        <f t="shared" si="17"/>
        <v>0.21875</v>
      </c>
      <c r="M365" s="12">
        <f t="shared" si="16"/>
        <v>5.25</v>
      </c>
      <c r="N365" s="12">
        <f>Table35[[#This Row],[Trip Hours]]*Table35[[#This Row],['#Angler]]</f>
        <v>15.75</v>
      </c>
      <c r="O365" t="s">
        <v>25</v>
      </c>
      <c r="P365" t="s">
        <v>314</v>
      </c>
      <c r="Q365" t="s">
        <v>238</v>
      </c>
      <c r="R365" s="11">
        <v>0</v>
      </c>
      <c r="S365">
        <v>0</v>
      </c>
      <c r="T365">
        <v>0</v>
      </c>
      <c r="U365" s="11">
        <v>0</v>
      </c>
      <c r="V365">
        <v>0</v>
      </c>
      <c r="W365">
        <v>0</v>
      </c>
      <c r="X365" s="11">
        <f t="shared" si="18"/>
        <v>0</v>
      </c>
      <c r="Y365">
        <f t="shared" si="18"/>
        <v>0</v>
      </c>
      <c r="Z365">
        <f t="shared" si="18"/>
        <v>0</v>
      </c>
      <c r="AA365" s="11"/>
    </row>
    <row r="366" spans="1:27" x14ac:dyDescent="0.3">
      <c r="A366" s="7">
        <v>45574</v>
      </c>
      <c r="B366">
        <v>8</v>
      </c>
      <c r="C366" t="s">
        <v>236</v>
      </c>
      <c r="D366" t="s">
        <v>42</v>
      </c>
      <c r="E366">
        <v>1</v>
      </c>
      <c r="F366">
        <v>2</v>
      </c>
      <c r="G366">
        <v>5</v>
      </c>
      <c r="H366" t="s">
        <v>27</v>
      </c>
      <c r="I366">
        <v>1</v>
      </c>
      <c r="J366" s="10">
        <v>0.61111111111111105</v>
      </c>
      <c r="K366" s="10">
        <v>0.63194444444444442</v>
      </c>
      <c r="L366" s="10">
        <f t="shared" si="17"/>
        <v>2.083333333333337E-2</v>
      </c>
      <c r="M366" s="12">
        <f t="shared" si="16"/>
        <v>0.50000000000000089</v>
      </c>
      <c r="N366" s="12">
        <f>Table35[[#This Row],[Trip Hours]]*Table35[[#This Row],['#Angler]]</f>
        <v>0.50000000000000089</v>
      </c>
      <c r="O366" t="s">
        <v>28</v>
      </c>
      <c r="P366" t="s">
        <v>305</v>
      </c>
      <c r="Q366" t="s">
        <v>241</v>
      </c>
      <c r="R366" s="11">
        <v>0</v>
      </c>
      <c r="S366">
        <v>0</v>
      </c>
      <c r="T366">
        <v>0</v>
      </c>
      <c r="U366" s="11">
        <v>0</v>
      </c>
      <c r="V366">
        <v>0</v>
      </c>
      <c r="W366">
        <v>0</v>
      </c>
      <c r="X366" s="11">
        <f t="shared" si="18"/>
        <v>0</v>
      </c>
      <c r="Y366">
        <f t="shared" si="18"/>
        <v>0</v>
      </c>
      <c r="Z366">
        <f t="shared" si="18"/>
        <v>0</v>
      </c>
      <c r="AA366" s="11"/>
    </row>
    <row r="367" spans="1:27" x14ac:dyDescent="0.3">
      <c r="A367" s="7">
        <v>45574</v>
      </c>
      <c r="B367">
        <v>8</v>
      </c>
      <c r="C367" t="s">
        <v>236</v>
      </c>
      <c r="D367" t="s">
        <v>42</v>
      </c>
      <c r="E367">
        <v>2</v>
      </c>
      <c r="F367">
        <v>2</v>
      </c>
      <c r="G367">
        <v>4</v>
      </c>
      <c r="H367" t="s">
        <v>27</v>
      </c>
      <c r="I367">
        <v>1</v>
      </c>
      <c r="J367" s="10">
        <v>0.41666666666666669</v>
      </c>
      <c r="K367" s="10">
        <v>0.64583333333333337</v>
      </c>
      <c r="L367" s="10">
        <f t="shared" si="17"/>
        <v>0.22916666666666669</v>
      </c>
      <c r="M367" s="12">
        <f t="shared" si="16"/>
        <v>5.5</v>
      </c>
      <c r="N367" s="12">
        <f>Table35[[#This Row],[Trip Hours]]*Table35[[#This Row],['#Angler]]</f>
        <v>5.5</v>
      </c>
      <c r="O367" t="s">
        <v>28</v>
      </c>
      <c r="P367" t="s">
        <v>49</v>
      </c>
      <c r="Q367" t="s">
        <v>244</v>
      </c>
      <c r="R367" s="11">
        <v>0</v>
      </c>
      <c r="S367">
        <v>0</v>
      </c>
      <c r="T367">
        <v>0</v>
      </c>
      <c r="U367" s="11">
        <v>0</v>
      </c>
      <c r="V367">
        <v>0</v>
      </c>
      <c r="W367">
        <v>0</v>
      </c>
      <c r="X367" s="11">
        <f t="shared" si="18"/>
        <v>0</v>
      </c>
      <c r="Y367">
        <f t="shared" si="18"/>
        <v>0</v>
      </c>
      <c r="Z367">
        <f t="shared" si="18"/>
        <v>0</v>
      </c>
      <c r="AA367" s="11"/>
    </row>
    <row r="368" spans="1:27" x14ac:dyDescent="0.3">
      <c r="A368" s="7">
        <v>45574</v>
      </c>
      <c r="B368">
        <v>8</v>
      </c>
      <c r="C368" t="s">
        <v>236</v>
      </c>
      <c r="D368" t="s">
        <v>42</v>
      </c>
      <c r="E368">
        <v>3</v>
      </c>
      <c r="F368">
        <v>2</v>
      </c>
      <c r="G368">
        <v>3</v>
      </c>
      <c r="H368" t="s">
        <v>27</v>
      </c>
      <c r="I368">
        <v>1</v>
      </c>
      <c r="J368" s="10">
        <v>0.65625</v>
      </c>
      <c r="K368" s="10">
        <v>0.6777777777777777</v>
      </c>
      <c r="L368" s="10">
        <f t="shared" si="17"/>
        <v>2.1527777777777701E-2</v>
      </c>
      <c r="M368" s="12">
        <f t="shared" si="16"/>
        <v>0.51666666666666483</v>
      </c>
      <c r="N368" s="12">
        <f>Table35[[#This Row],[Trip Hours]]*Table35[[#This Row],['#Angler]]</f>
        <v>0.51666666666666483</v>
      </c>
      <c r="O368" t="s">
        <v>28</v>
      </c>
      <c r="P368" t="s">
        <v>207</v>
      </c>
      <c r="Q368" t="s">
        <v>247</v>
      </c>
      <c r="R368" s="11">
        <v>0</v>
      </c>
      <c r="S368">
        <v>0</v>
      </c>
      <c r="T368">
        <v>0</v>
      </c>
      <c r="U368" s="11">
        <v>0</v>
      </c>
      <c r="V368">
        <v>0</v>
      </c>
      <c r="W368">
        <v>0</v>
      </c>
      <c r="X368" s="11">
        <f t="shared" si="18"/>
        <v>0</v>
      </c>
      <c r="Y368">
        <f t="shared" si="18"/>
        <v>0</v>
      </c>
      <c r="Z368">
        <f t="shared" si="18"/>
        <v>0</v>
      </c>
      <c r="AA368" s="11"/>
    </row>
    <row r="369" spans="1:27" x14ac:dyDescent="0.3">
      <c r="A369" s="7">
        <v>45574</v>
      </c>
      <c r="B369">
        <v>8</v>
      </c>
      <c r="C369" t="s">
        <v>236</v>
      </c>
      <c r="D369" t="s">
        <v>42</v>
      </c>
      <c r="E369">
        <v>4</v>
      </c>
      <c r="F369">
        <v>2</v>
      </c>
      <c r="G369">
        <v>3</v>
      </c>
      <c r="H369" t="s">
        <v>27</v>
      </c>
      <c r="I369">
        <v>2</v>
      </c>
      <c r="J369" s="10">
        <v>0.68055555555555547</v>
      </c>
      <c r="K369" s="10">
        <v>0.69513888888888886</v>
      </c>
      <c r="L369" s="10">
        <f t="shared" si="17"/>
        <v>1.4583333333333393E-2</v>
      </c>
      <c r="M369" s="12">
        <f t="shared" si="16"/>
        <v>0.35000000000000142</v>
      </c>
      <c r="N369" s="12">
        <f>Table35[[#This Row],[Trip Hours]]*Table35[[#This Row],['#Angler]]</f>
        <v>0.70000000000000284</v>
      </c>
      <c r="O369" t="s">
        <v>25</v>
      </c>
      <c r="P369" t="s">
        <v>186</v>
      </c>
      <c r="Q369" t="s">
        <v>241</v>
      </c>
      <c r="R369" s="11">
        <v>0</v>
      </c>
      <c r="S369">
        <v>0</v>
      </c>
      <c r="T369">
        <v>0</v>
      </c>
      <c r="U369" s="11">
        <v>0</v>
      </c>
      <c r="V369">
        <v>0</v>
      </c>
      <c r="W369">
        <v>0</v>
      </c>
      <c r="X369" s="11">
        <f t="shared" si="18"/>
        <v>0</v>
      </c>
      <c r="Y369">
        <f t="shared" si="18"/>
        <v>0</v>
      </c>
      <c r="Z369">
        <f t="shared" si="18"/>
        <v>0</v>
      </c>
      <c r="AA369" s="11"/>
    </row>
    <row r="370" spans="1:27" x14ac:dyDescent="0.3">
      <c r="A370" s="7">
        <v>45574</v>
      </c>
      <c r="B370">
        <v>8</v>
      </c>
      <c r="C370" t="s">
        <v>236</v>
      </c>
      <c r="D370" t="s">
        <v>42</v>
      </c>
      <c r="E370">
        <v>5</v>
      </c>
      <c r="F370">
        <v>2</v>
      </c>
      <c r="G370">
        <v>2</v>
      </c>
      <c r="H370" t="s">
        <v>27</v>
      </c>
      <c r="I370">
        <v>2</v>
      </c>
      <c r="J370" s="10">
        <v>0.625</v>
      </c>
      <c r="K370" s="10">
        <v>0.71180555555555547</v>
      </c>
      <c r="L370" s="10">
        <f t="shared" si="17"/>
        <v>8.6805555555555469E-2</v>
      </c>
      <c r="M370" s="12">
        <f t="shared" si="16"/>
        <v>2.0833333333333313</v>
      </c>
      <c r="N370" s="12">
        <f>Table35[[#This Row],[Trip Hours]]*Table35[[#This Row],['#Angler]]</f>
        <v>4.1666666666666625</v>
      </c>
      <c r="O370" t="s">
        <v>28</v>
      </c>
      <c r="P370" t="s">
        <v>56</v>
      </c>
      <c r="Q370" t="s">
        <v>238</v>
      </c>
      <c r="R370" s="11">
        <v>0</v>
      </c>
      <c r="S370">
        <v>0</v>
      </c>
      <c r="T370">
        <v>0</v>
      </c>
      <c r="U370" s="11">
        <v>0</v>
      </c>
      <c r="V370">
        <v>0</v>
      </c>
      <c r="W370">
        <v>0</v>
      </c>
      <c r="X370" s="11">
        <f t="shared" si="18"/>
        <v>0</v>
      </c>
      <c r="Y370">
        <f t="shared" si="18"/>
        <v>0</v>
      </c>
      <c r="Z370">
        <f t="shared" si="18"/>
        <v>0</v>
      </c>
      <c r="AA370" s="11"/>
    </row>
    <row r="371" spans="1:27" x14ac:dyDescent="0.3">
      <c r="A371" s="7">
        <v>45574</v>
      </c>
      <c r="B371">
        <v>8</v>
      </c>
      <c r="C371" t="s">
        <v>236</v>
      </c>
      <c r="D371" t="s">
        <v>42</v>
      </c>
      <c r="E371">
        <v>6</v>
      </c>
      <c r="F371">
        <v>2</v>
      </c>
      <c r="G371">
        <v>2</v>
      </c>
      <c r="H371" t="s">
        <v>27</v>
      </c>
      <c r="I371">
        <v>1</v>
      </c>
      <c r="J371" s="10">
        <v>0.69791666666666663</v>
      </c>
      <c r="K371" s="10">
        <v>0.72916666666666663</v>
      </c>
      <c r="L371" s="10">
        <f t="shared" si="17"/>
        <v>3.125E-2</v>
      </c>
      <c r="M371" s="12">
        <f t="shared" si="16"/>
        <v>0.75</v>
      </c>
      <c r="N371" s="12">
        <f>Table35[[#This Row],[Trip Hours]]*Table35[[#This Row],['#Angler]]</f>
        <v>0.75</v>
      </c>
      <c r="O371" t="s">
        <v>28</v>
      </c>
      <c r="P371" t="s">
        <v>56</v>
      </c>
      <c r="Q371" t="s">
        <v>247</v>
      </c>
      <c r="R371" s="11">
        <v>0</v>
      </c>
      <c r="S371">
        <v>0</v>
      </c>
      <c r="T371">
        <v>0</v>
      </c>
      <c r="U371" s="11">
        <v>0</v>
      </c>
      <c r="V371">
        <v>0</v>
      </c>
      <c r="W371">
        <v>0</v>
      </c>
      <c r="X371" s="11">
        <f t="shared" si="18"/>
        <v>0</v>
      </c>
      <c r="Y371">
        <f t="shared" si="18"/>
        <v>0</v>
      </c>
      <c r="Z371">
        <f t="shared" si="18"/>
        <v>0</v>
      </c>
      <c r="AA371" s="11"/>
    </row>
    <row r="372" spans="1:27" x14ac:dyDescent="0.3">
      <c r="A372" s="7">
        <v>45574</v>
      </c>
      <c r="B372">
        <v>8</v>
      </c>
      <c r="C372" t="s">
        <v>236</v>
      </c>
      <c r="D372" t="s">
        <v>42</v>
      </c>
      <c r="E372">
        <v>7</v>
      </c>
      <c r="F372">
        <v>2</v>
      </c>
      <c r="G372">
        <v>2</v>
      </c>
      <c r="H372" t="s">
        <v>27</v>
      </c>
      <c r="I372">
        <v>1</v>
      </c>
      <c r="J372" s="10">
        <v>0.60416666666666663</v>
      </c>
      <c r="K372" s="10">
        <v>0.73402777777777783</v>
      </c>
      <c r="L372" s="10">
        <f t="shared" si="17"/>
        <v>0.1298611111111112</v>
      </c>
      <c r="M372" s="12">
        <f t="shared" si="16"/>
        <v>3.1166666666666689</v>
      </c>
      <c r="N372" s="12">
        <f>Table35[[#This Row],[Trip Hours]]*Table35[[#This Row],['#Angler]]</f>
        <v>3.1166666666666689</v>
      </c>
      <c r="O372" t="s">
        <v>28</v>
      </c>
      <c r="P372" t="s">
        <v>294</v>
      </c>
      <c r="Q372" t="s">
        <v>247</v>
      </c>
      <c r="R372" s="11">
        <v>0</v>
      </c>
      <c r="S372">
        <v>0</v>
      </c>
      <c r="T372">
        <v>0</v>
      </c>
      <c r="U372" s="11">
        <v>0</v>
      </c>
      <c r="V372">
        <v>0</v>
      </c>
      <c r="W372">
        <v>0</v>
      </c>
      <c r="X372" s="11">
        <f t="shared" si="18"/>
        <v>0</v>
      </c>
      <c r="Y372">
        <f t="shared" si="18"/>
        <v>0</v>
      </c>
      <c r="Z372">
        <f t="shared" si="18"/>
        <v>0</v>
      </c>
      <c r="AA372" s="11"/>
    </row>
    <row r="373" spans="1:27" x14ac:dyDescent="0.3">
      <c r="A373" s="7">
        <v>45574</v>
      </c>
      <c r="B373">
        <v>8</v>
      </c>
      <c r="C373" t="s">
        <v>236</v>
      </c>
      <c r="D373" t="s">
        <v>42</v>
      </c>
      <c r="E373">
        <v>8</v>
      </c>
      <c r="F373">
        <v>2</v>
      </c>
      <c r="G373">
        <v>2</v>
      </c>
      <c r="H373" t="s">
        <v>27</v>
      </c>
      <c r="I373">
        <v>1</v>
      </c>
      <c r="J373" s="10">
        <v>0.75</v>
      </c>
      <c r="K373" s="10">
        <v>0.75555555555555554</v>
      </c>
      <c r="L373" s="10">
        <f t="shared" si="17"/>
        <v>5.5555555555555358E-3</v>
      </c>
      <c r="M373" s="12">
        <f t="shared" si="16"/>
        <v>0.13333333333333286</v>
      </c>
      <c r="N373" s="12">
        <f>Table35[[#This Row],[Trip Hours]]*Table35[[#This Row],['#Angler]]</f>
        <v>0.13333333333333286</v>
      </c>
      <c r="O373" t="s">
        <v>28</v>
      </c>
      <c r="P373" t="s">
        <v>56</v>
      </c>
      <c r="Q373" t="s">
        <v>247</v>
      </c>
      <c r="R373" s="11">
        <v>0</v>
      </c>
      <c r="S373">
        <v>0</v>
      </c>
      <c r="T373">
        <v>0</v>
      </c>
      <c r="U373" s="11">
        <v>0</v>
      </c>
      <c r="V373">
        <v>0</v>
      </c>
      <c r="W373">
        <v>0</v>
      </c>
      <c r="X373" s="11">
        <f t="shared" si="18"/>
        <v>0</v>
      </c>
      <c r="Y373">
        <f t="shared" si="18"/>
        <v>0</v>
      </c>
      <c r="Z373">
        <f t="shared" si="18"/>
        <v>0</v>
      </c>
      <c r="AA373" s="11"/>
    </row>
    <row r="374" spans="1:27" x14ac:dyDescent="0.3">
      <c r="A374" s="7">
        <v>45574</v>
      </c>
      <c r="B374">
        <v>8</v>
      </c>
      <c r="C374" t="s">
        <v>236</v>
      </c>
      <c r="D374" t="s">
        <v>42</v>
      </c>
      <c r="E374">
        <v>9</v>
      </c>
      <c r="F374">
        <v>2</v>
      </c>
      <c r="G374">
        <v>1</v>
      </c>
      <c r="H374" t="s">
        <v>27</v>
      </c>
      <c r="I374">
        <v>1</v>
      </c>
      <c r="J374" s="10">
        <v>0.72916666666666663</v>
      </c>
      <c r="K374" s="10">
        <v>0.7597222222222223</v>
      </c>
      <c r="L374" s="10">
        <f t="shared" si="17"/>
        <v>3.0555555555555669E-2</v>
      </c>
      <c r="M374" s="12">
        <f t="shared" si="16"/>
        <v>0.73333333333333606</v>
      </c>
      <c r="N374" s="12">
        <f>Table35[[#This Row],[Trip Hours]]*Table35[[#This Row],['#Angler]]</f>
        <v>0.73333333333333606</v>
      </c>
      <c r="O374" t="s">
        <v>28</v>
      </c>
      <c r="P374" t="s">
        <v>294</v>
      </c>
      <c r="Q374" t="s">
        <v>247</v>
      </c>
      <c r="R374" s="11">
        <v>0</v>
      </c>
      <c r="S374">
        <v>0</v>
      </c>
      <c r="T374">
        <v>0</v>
      </c>
      <c r="U374" s="11">
        <v>0</v>
      </c>
      <c r="V374">
        <v>0</v>
      </c>
      <c r="W374">
        <v>0</v>
      </c>
      <c r="X374" s="11">
        <f t="shared" si="18"/>
        <v>0</v>
      </c>
      <c r="Y374">
        <f t="shared" si="18"/>
        <v>0</v>
      </c>
      <c r="Z374">
        <f t="shared" si="18"/>
        <v>0</v>
      </c>
      <c r="AA374" s="11"/>
    </row>
    <row r="375" spans="1:27" x14ac:dyDescent="0.3">
      <c r="A375" s="7">
        <v>45574</v>
      </c>
      <c r="B375">
        <v>8</v>
      </c>
      <c r="C375" t="s">
        <v>236</v>
      </c>
      <c r="D375" t="s">
        <v>42</v>
      </c>
      <c r="E375">
        <v>10</v>
      </c>
      <c r="F375">
        <v>2</v>
      </c>
      <c r="G375">
        <v>1</v>
      </c>
      <c r="H375" t="s">
        <v>27</v>
      </c>
      <c r="I375">
        <v>1</v>
      </c>
      <c r="J375" s="10">
        <v>0.73958333333333337</v>
      </c>
      <c r="K375" s="10">
        <v>0.76111111111111107</v>
      </c>
      <c r="L375" s="10">
        <f t="shared" si="17"/>
        <v>2.1527777777777701E-2</v>
      </c>
      <c r="M375" s="12">
        <f t="shared" si="16"/>
        <v>0.51666666666666483</v>
      </c>
      <c r="N375" s="12">
        <f>Table35[[#This Row],[Trip Hours]]*Table35[[#This Row],['#Angler]]</f>
        <v>0.51666666666666483</v>
      </c>
      <c r="O375" t="s">
        <v>28</v>
      </c>
      <c r="P375" t="s">
        <v>47</v>
      </c>
      <c r="Q375" t="s">
        <v>311</v>
      </c>
      <c r="R375" s="11">
        <v>0</v>
      </c>
      <c r="S375">
        <v>0</v>
      </c>
      <c r="T375">
        <v>0</v>
      </c>
      <c r="U375" s="11">
        <v>0</v>
      </c>
      <c r="V375">
        <v>0</v>
      </c>
      <c r="W375">
        <v>0</v>
      </c>
      <c r="X375" s="11">
        <f t="shared" si="18"/>
        <v>0</v>
      </c>
      <c r="Y375">
        <f t="shared" si="18"/>
        <v>0</v>
      </c>
      <c r="Z375">
        <f t="shared" si="18"/>
        <v>0</v>
      </c>
      <c r="AA375" s="11"/>
    </row>
    <row r="376" spans="1:27" x14ac:dyDescent="0.3">
      <c r="A376" s="7">
        <v>45574</v>
      </c>
      <c r="B376">
        <v>8</v>
      </c>
      <c r="C376" t="s">
        <v>236</v>
      </c>
      <c r="D376" t="s">
        <v>42</v>
      </c>
      <c r="E376">
        <v>11</v>
      </c>
      <c r="F376">
        <v>2</v>
      </c>
      <c r="G376">
        <v>1</v>
      </c>
      <c r="H376" t="s">
        <v>27</v>
      </c>
      <c r="I376">
        <v>2</v>
      </c>
      <c r="J376" s="10">
        <v>0.625</v>
      </c>
      <c r="K376" s="10">
        <v>0.76180555555555562</v>
      </c>
      <c r="L376" s="10">
        <f t="shared" si="17"/>
        <v>0.13680555555555562</v>
      </c>
      <c r="M376" s="12">
        <f t="shared" si="16"/>
        <v>3.283333333333335</v>
      </c>
      <c r="N376" s="12">
        <f>Table35[[#This Row],[Trip Hours]]*Table35[[#This Row],['#Angler]]</f>
        <v>6.56666666666667</v>
      </c>
      <c r="O376" t="s">
        <v>25</v>
      </c>
      <c r="P376" t="s">
        <v>315</v>
      </c>
      <c r="Q376" t="s">
        <v>247</v>
      </c>
      <c r="R376" s="11">
        <v>0</v>
      </c>
      <c r="S376">
        <v>0</v>
      </c>
      <c r="T376">
        <v>0</v>
      </c>
      <c r="U376" s="11">
        <v>0</v>
      </c>
      <c r="V376">
        <v>0</v>
      </c>
      <c r="W376">
        <v>0</v>
      </c>
      <c r="X376" s="11">
        <f t="shared" si="18"/>
        <v>0</v>
      </c>
      <c r="Y376">
        <f t="shared" si="18"/>
        <v>0</v>
      </c>
      <c r="Z376">
        <f t="shared" si="18"/>
        <v>0</v>
      </c>
      <c r="AA376" s="11"/>
    </row>
    <row r="377" spans="1:27" x14ac:dyDescent="0.3">
      <c r="A377" s="7">
        <v>45575</v>
      </c>
      <c r="B377">
        <v>8</v>
      </c>
      <c r="C377" t="s">
        <v>236</v>
      </c>
      <c r="D377" t="s">
        <v>42</v>
      </c>
      <c r="E377">
        <v>1</v>
      </c>
      <c r="F377">
        <v>2</v>
      </c>
      <c r="G377">
        <v>2</v>
      </c>
      <c r="H377" t="s">
        <v>27</v>
      </c>
      <c r="I377">
        <v>1</v>
      </c>
      <c r="J377" s="10">
        <v>0.6875</v>
      </c>
      <c r="K377" s="10">
        <v>0.69444444444444453</v>
      </c>
      <c r="L377" s="10">
        <f t="shared" si="17"/>
        <v>6.9444444444445308E-3</v>
      </c>
      <c r="M377" s="12">
        <f t="shared" si="16"/>
        <v>0.16666666666666874</v>
      </c>
      <c r="N377" s="12">
        <f>Table35[[#This Row],[Trip Hours]]*Table35[[#This Row],['#Angler]]</f>
        <v>0.16666666666666874</v>
      </c>
      <c r="O377" t="s">
        <v>28</v>
      </c>
      <c r="P377" t="s">
        <v>56</v>
      </c>
      <c r="Q377" t="s">
        <v>247</v>
      </c>
      <c r="R377" s="11">
        <v>0</v>
      </c>
      <c r="S377">
        <v>0</v>
      </c>
      <c r="T377">
        <v>0</v>
      </c>
      <c r="U377" s="11">
        <v>0</v>
      </c>
      <c r="V377">
        <v>0</v>
      </c>
      <c r="W377">
        <v>0</v>
      </c>
      <c r="X377" s="11">
        <f t="shared" si="18"/>
        <v>0</v>
      </c>
      <c r="Y377">
        <f t="shared" si="18"/>
        <v>0</v>
      </c>
      <c r="Z377">
        <f t="shared" si="18"/>
        <v>0</v>
      </c>
      <c r="AA377" s="11"/>
    </row>
    <row r="378" spans="1:27" x14ac:dyDescent="0.3">
      <c r="A378" s="7">
        <v>45575</v>
      </c>
      <c r="B378">
        <v>8</v>
      </c>
      <c r="C378" t="s">
        <v>236</v>
      </c>
      <c r="D378" t="s">
        <v>42</v>
      </c>
      <c r="E378">
        <v>2</v>
      </c>
      <c r="F378">
        <v>2</v>
      </c>
      <c r="G378">
        <v>2</v>
      </c>
      <c r="H378" t="s">
        <v>27</v>
      </c>
      <c r="I378">
        <v>1</v>
      </c>
      <c r="J378" s="10">
        <v>0.70138888888888884</v>
      </c>
      <c r="K378" s="10">
        <v>0.71319444444444446</v>
      </c>
      <c r="L378" s="10">
        <f t="shared" si="17"/>
        <v>1.1805555555555625E-2</v>
      </c>
      <c r="M378" s="12">
        <f t="shared" si="16"/>
        <v>0.28333333333333499</v>
      </c>
      <c r="N378" s="12">
        <f>Table35[[#This Row],[Trip Hours]]*Table35[[#This Row],['#Angler]]</f>
        <v>0.28333333333333499</v>
      </c>
      <c r="O378" t="s">
        <v>28</v>
      </c>
      <c r="P378" t="s">
        <v>56</v>
      </c>
      <c r="Q378" t="s">
        <v>247</v>
      </c>
      <c r="R378" s="11">
        <v>0</v>
      </c>
      <c r="S378">
        <v>0</v>
      </c>
      <c r="T378">
        <v>0</v>
      </c>
      <c r="U378" s="11">
        <v>0</v>
      </c>
      <c r="V378">
        <v>0</v>
      </c>
      <c r="W378">
        <v>0</v>
      </c>
      <c r="X378" s="11">
        <f t="shared" si="18"/>
        <v>0</v>
      </c>
      <c r="Y378">
        <f t="shared" si="18"/>
        <v>0</v>
      </c>
      <c r="Z378">
        <f t="shared" si="18"/>
        <v>0</v>
      </c>
      <c r="AA378" s="11"/>
    </row>
    <row r="379" spans="1:27" x14ac:dyDescent="0.3">
      <c r="A379" s="7">
        <v>45575</v>
      </c>
      <c r="B379">
        <v>8</v>
      </c>
      <c r="C379" t="s">
        <v>236</v>
      </c>
      <c r="D379" t="s">
        <v>42</v>
      </c>
      <c r="E379">
        <v>3</v>
      </c>
      <c r="F379">
        <v>2</v>
      </c>
      <c r="G379">
        <v>2</v>
      </c>
      <c r="H379" t="s">
        <v>27</v>
      </c>
      <c r="I379">
        <v>1</v>
      </c>
      <c r="J379" s="10">
        <v>0.69791666666666663</v>
      </c>
      <c r="K379" s="10">
        <v>0.71319444444444446</v>
      </c>
      <c r="L379" s="10">
        <f t="shared" si="17"/>
        <v>1.5277777777777835E-2</v>
      </c>
      <c r="M379" s="12">
        <f t="shared" si="16"/>
        <v>0.36666666666666803</v>
      </c>
      <c r="N379" s="12">
        <f>Table35[[#This Row],[Trip Hours]]*Table35[[#This Row],['#Angler]]</f>
        <v>0.36666666666666803</v>
      </c>
      <c r="O379" t="s">
        <v>28</v>
      </c>
      <c r="P379" t="s">
        <v>56</v>
      </c>
      <c r="Q379" t="s">
        <v>247</v>
      </c>
      <c r="R379" s="11">
        <v>0</v>
      </c>
      <c r="S379">
        <v>0</v>
      </c>
      <c r="T379">
        <v>0</v>
      </c>
      <c r="U379" s="11">
        <v>0</v>
      </c>
      <c r="V379">
        <v>0</v>
      </c>
      <c r="W379">
        <v>0</v>
      </c>
      <c r="X379" s="11">
        <f t="shared" si="18"/>
        <v>0</v>
      </c>
      <c r="Y379">
        <f t="shared" si="18"/>
        <v>0</v>
      </c>
      <c r="Z379">
        <f t="shared" si="18"/>
        <v>0</v>
      </c>
      <c r="AA379" s="11"/>
    </row>
    <row r="380" spans="1:27" x14ac:dyDescent="0.3">
      <c r="A380" s="7">
        <v>45575</v>
      </c>
      <c r="B380">
        <v>8</v>
      </c>
      <c r="C380" t="s">
        <v>236</v>
      </c>
      <c r="D380" t="s">
        <v>42</v>
      </c>
      <c r="E380">
        <v>4</v>
      </c>
      <c r="F380">
        <v>2</v>
      </c>
      <c r="G380">
        <v>2</v>
      </c>
      <c r="H380" t="s">
        <v>27</v>
      </c>
      <c r="I380">
        <v>1</v>
      </c>
      <c r="J380" s="10">
        <v>0.67708333333333337</v>
      </c>
      <c r="K380" s="10">
        <v>0.72152777777777777</v>
      </c>
      <c r="L380" s="10">
        <f t="shared" si="17"/>
        <v>4.4444444444444398E-2</v>
      </c>
      <c r="M380" s="12">
        <f t="shared" si="16"/>
        <v>1.0666666666666655</v>
      </c>
      <c r="N380" s="12">
        <f>Table35[[#This Row],[Trip Hours]]*Table35[[#This Row],['#Angler]]</f>
        <v>1.0666666666666655</v>
      </c>
      <c r="O380" t="s">
        <v>28</v>
      </c>
      <c r="P380" t="s">
        <v>56</v>
      </c>
      <c r="Q380" t="s">
        <v>247</v>
      </c>
      <c r="R380" s="11">
        <v>0</v>
      </c>
      <c r="S380">
        <v>0</v>
      </c>
      <c r="T380">
        <v>0</v>
      </c>
      <c r="U380" s="11">
        <v>0</v>
      </c>
      <c r="V380">
        <v>0</v>
      </c>
      <c r="W380">
        <v>0</v>
      </c>
      <c r="X380" s="11">
        <f t="shared" si="18"/>
        <v>0</v>
      </c>
      <c r="Y380">
        <f t="shared" si="18"/>
        <v>0</v>
      </c>
      <c r="Z380">
        <f t="shared" si="18"/>
        <v>0</v>
      </c>
      <c r="AA380" s="11"/>
    </row>
    <row r="381" spans="1:27" x14ac:dyDescent="0.3">
      <c r="A381" s="7">
        <v>45576</v>
      </c>
      <c r="B381">
        <v>8</v>
      </c>
      <c r="C381" t="s">
        <v>236</v>
      </c>
      <c r="D381" t="s">
        <v>26</v>
      </c>
      <c r="E381">
        <v>1</v>
      </c>
      <c r="F381">
        <v>2</v>
      </c>
      <c r="G381">
        <v>1</v>
      </c>
      <c r="H381" t="s">
        <v>27</v>
      </c>
      <c r="I381">
        <v>1</v>
      </c>
      <c r="J381" s="10">
        <v>0.29166666666666669</v>
      </c>
      <c r="K381" s="10">
        <v>0.3298611111111111</v>
      </c>
      <c r="L381" s="10">
        <f t="shared" si="17"/>
        <v>3.819444444444442E-2</v>
      </c>
      <c r="M381" s="12">
        <f t="shared" si="16"/>
        <v>0.91666666666666607</v>
      </c>
      <c r="N381" s="12">
        <f>Table35[[#This Row],[Trip Hours]]*Table35[[#This Row],['#Angler]]</f>
        <v>0.91666666666666607</v>
      </c>
      <c r="O381" t="s">
        <v>28</v>
      </c>
      <c r="P381" t="s">
        <v>56</v>
      </c>
      <c r="Q381" t="s">
        <v>241</v>
      </c>
      <c r="R381" s="11">
        <v>0</v>
      </c>
      <c r="S381">
        <v>0</v>
      </c>
      <c r="T381">
        <v>0</v>
      </c>
      <c r="U381" s="11">
        <v>0</v>
      </c>
      <c r="V381">
        <v>0</v>
      </c>
      <c r="W381">
        <v>0</v>
      </c>
      <c r="X381" s="11">
        <f t="shared" si="18"/>
        <v>0</v>
      </c>
      <c r="Y381">
        <f t="shared" si="18"/>
        <v>0</v>
      </c>
      <c r="Z381">
        <f t="shared" si="18"/>
        <v>0</v>
      </c>
      <c r="AA381" s="11"/>
    </row>
    <row r="382" spans="1:27" x14ac:dyDescent="0.3">
      <c r="A382" s="7">
        <v>45576</v>
      </c>
      <c r="B382">
        <v>8</v>
      </c>
      <c r="C382" t="s">
        <v>236</v>
      </c>
      <c r="D382" t="s">
        <v>26</v>
      </c>
      <c r="E382">
        <v>2</v>
      </c>
      <c r="F382">
        <v>2</v>
      </c>
      <c r="G382">
        <v>1</v>
      </c>
      <c r="H382" t="s">
        <v>27</v>
      </c>
      <c r="I382">
        <v>1</v>
      </c>
      <c r="J382" s="10">
        <v>0.27083333333333331</v>
      </c>
      <c r="K382" s="10">
        <v>0.33124999999999999</v>
      </c>
      <c r="L382" s="10">
        <f t="shared" si="17"/>
        <v>6.0416666666666674E-2</v>
      </c>
      <c r="M382" s="12">
        <f t="shared" si="16"/>
        <v>1.4500000000000002</v>
      </c>
      <c r="N382" s="12">
        <f>Table35[[#This Row],[Trip Hours]]*Table35[[#This Row],['#Angler]]</f>
        <v>1.4500000000000002</v>
      </c>
      <c r="O382" t="s">
        <v>28</v>
      </c>
      <c r="P382" t="s">
        <v>56</v>
      </c>
      <c r="Q382" t="s">
        <v>247</v>
      </c>
      <c r="R382" s="11">
        <v>0</v>
      </c>
      <c r="S382">
        <v>0</v>
      </c>
      <c r="T382">
        <v>0</v>
      </c>
      <c r="U382" s="11">
        <v>0</v>
      </c>
      <c r="V382">
        <v>0</v>
      </c>
      <c r="W382">
        <v>0</v>
      </c>
      <c r="X382" s="11">
        <f t="shared" si="18"/>
        <v>0</v>
      </c>
      <c r="Y382">
        <f t="shared" si="18"/>
        <v>0</v>
      </c>
      <c r="Z382">
        <f t="shared" si="18"/>
        <v>0</v>
      </c>
      <c r="AA382" s="11"/>
    </row>
    <row r="383" spans="1:27" x14ac:dyDescent="0.3">
      <c r="A383" s="7">
        <v>45576</v>
      </c>
      <c r="B383">
        <v>8</v>
      </c>
      <c r="C383" t="s">
        <v>236</v>
      </c>
      <c r="D383" t="s">
        <v>26</v>
      </c>
      <c r="E383">
        <v>3</v>
      </c>
      <c r="F383">
        <v>2</v>
      </c>
      <c r="G383">
        <v>1</v>
      </c>
      <c r="H383" t="s">
        <v>27</v>
      </c>
      <c r="I383">
        <v>1</v>
      </c>
      <c r="J383" s="10">
        <v>0.28125</v>
      </c>
      <c r="K383" s="10">
        <v>0.33124999999999999</v>
      </c>
      <c r="L383" s="10">
        <f t="shared" si="17"/>
        <v>4.9999999999999989E-2</v>
      </c>
      <c r="M383" s="12">
        <f t="shared" si="16"/>
        <v>1.1999999999999997</v>
      </c>
      <c r="N383" s="12">
        <f>Table35[[#This Row],[Trip Hours]]*Table35[[#This Row],['#Angler]]</f>
        <v>1.1999999999999997</v>
      </c>
      <c r="O383" t="s">
        <v>28</v>
      </c>
      <c r="P383" t="s">
        <v>258</v>
      </c>
      <c r="Q383" t="s">
        <v>247</v>
      </c>
      <c r="R383" s="11">
        <v>0</v>
      </c>
      <c r="S383">
        <v>0</v>
      </c>
      <c r="T383">
        <v>0</v>
      </c>
      <c r="U383" s="11">
        <v>0</v>
      </c>
      <c r="V383">
        <v>0</v>
      </c>
      <c r="W383">
        <v>0</v>
      </c>
      <c r="X383" s="11">
        <f t="shared" si="18"/>
        <v>0</v>
      </c>
      <c r="Y383">
        <f t="shared" si="18"/>
        <v>0</v>
      </c>
      <c r="Z383">
        <f t="shared" si="18"/>
        <v>0</v>
      </c>
      <c r="AA383" s="11"/>
    </row>
    <row r="384" spans="1:27" x14ac:dyDescent="0.3">
      <c r="A384" s="7">
        <v>45576</v>
      </c>
      <c r="B384">
        <v>8</v>
      </c>
      <c r="C384" t="s">
        <v>236</v>
      </c>
      <c r="D384" t="s">
        <v>26</v>
      </c>
      <c r="E384">
        <v>4</v>
      </c>
      <c r="F384">
        <v>2</v>
      </c>
      <c r="G384">
        <v>1</v>
      </c>
      <c r="H384" t="s">
        <v>27</v>
      </c>
      <c r="I384">
        <v>3</v>
      </c>
      <c r="J384" s="10">
        <v>0.29166666666666669</v>
      </c>
      <c r="K384" s="10">
        <v>0.33194444444444443</v>
      </c>
      <c r="L384" s="10">
        <f t="shared" si="17"/>
        <v>4.0277777777777746E-2</v>
      </c>
      <c r="M384" s="12">
        <f t="shared" si="16"/>
        <v>0.9666666666666659</v>
      </c>
      <c r="N384" s="12">
        <f>Table35[[#This Row],[Trip Hours]]*Table35[[#This Row],['#Angler]]</f>
        <v>2.8999999999999977</v>
      </c>
      <c r="O384" t="s">
        <v>28</v>
      </c>
      <c r="P384" t="s">
        <v>56</v>
      </c>
      <c r="Q384" t="s">
        <v>247</v>
      </c>
      <c r="R384" s="11">
        <v>0</v>
      </c>
      <c r="S384">
        <v>0</v>
      </c>
      <c r="T384">
        <v>0</v>
      </c>
      <c r="U384" s="11">
        <v>0</v>
      </c>
      <c r="V384">
        <v>0</v>
      </c>
      <c r="W384">
        <v>0</v>
      </c>
      <c r="X384" s="11">
        <f t="shared" si="18"/>
        <v>0</v>
      </c>
      <c r="Y384">
        <f t="shared" si="18"/>
        <v>0</v>
      </c>
      <c r="Z384">
        <f t="shared" si="18"/>
        <v>0</v>
      </c>
      <c r="AA384" s="11"/>
    </row>
    <row r="385" spans="1:27" x14ac:dyDescent="0.3">
      <c r="A385" s="7">
        <v>45576</v>
      </c>
      <c r="B385">
        <v>8</v>
      </c>
      <c r="C385" t="s">
        <v>236</v>
      </c>
      <c r="D385" t="s">
        <v>26</v>
      </c>
      <c r="E385">
        <v>5</v>
      </c>
      <c r="F385">
        <v>2</v>
      </c>
      <c r="G385">
        <v>2</v>
      </c>
      <c r="H385" t="s">
        <v>27</v>
      </c>
      <c r="I385">
        <v>1</v>
      </c>
      <c r="J385" s="10">
        <v>0.3125</v>
      </c>
      <c r="K385" s="10">
        <v>0.33680555555555558</v>
      </c>
      <c r="L385" s="10">
        <f t="shared" si="17"/>
        <v>2.430555555555558E-2</v>
      </c>
      <c r="M385" s="12">
        <f t="shared" si="16"/>
        <v>0.58333333333333393</v>
      </c>
      <c r="N385" s="12">
        <f>Table35[[#This Row],[Trip Hours]]*Table35[[#This Row],['#Angler]]</f>
        <v>0.58333333333333393</v>
      </c>
      <c r="O385" t="s">
        <v>28</v>
      </c>
      <c r="P385" t="s">
        <v>56</v>
      </c>
      <c r="Q385" t="s">
        <v>247</v>
      </c>
      <c r="R385" s="11">
        <v>0</v>
      </c>
      <c r="S385">
        <v>0</v>
      </c>
      <c r="T385">
        <v>0</v>
      </c>
      <c r="U385" s="11">
        <v>0</v>
      </c>
      <c r="V385">
        <v>0</v>
      </c>
      <c r="W385">
        <v>0</v>
      </c>
      <c r="X385" s="11">
        <f t="shared" si="18"/>
        <v>0</v>
      </c>
      <c r="Y385">
        <f t="shared" si="18"/>
        <v>0</v>
      </c>
      <c r="Z385">
        <f t="shared" si="18"/>
        <v>0</v>
      </c>
      <c r="AA385" s="11"/>
    </row>
    <row r="386" spans="1:27" x14ac:dyDescent="0.3">
      <c r="A386" s="7">
        <v>45576</v>
      </c>
      <c r="B386">
        <v>8</v>
      </c>
      <c r="C386" t="s">
        <v>236</v>
      </c>
      <c r="D386" t="s">
        <v>26</v>
      </c>
      <c r="E386">
        <v>6</v>
      </c>
      <c r="F386">
        <v>2</v>
      </c>
      <c r="G386">
        <v>2</v>
      </c>
      <c r="H386" t="s">
        <v>27</v>
      </c>
      <c r="I386">
        <v>1</v>
      </c>
      <c r="J386" s="10">
        <v>0.33333333333333331</v>
      </c>
      <c r="K386" s="10">
        <v>0.33819444444444446</v>
      </c>
      <c r="L386" s="10">
        <f t="shared" si="17"/>
        <v>4.8611111111111494E-3</v>
      </c>
      <c r="M386" s="12">
        <f t="shared" ref="M386:M449" si="19">L386*24</f>
        <v>0.11666666666666758</v>
      </c>
      <c r="N386" s="12">
        <f>Table35[[#This Row],[Trip Hours]]*Table35[[#This Row],['#Angler]]</f>
        <v>0.11666666666666758</v>
      </c>
      <c r="O386" t="s">
        <v>28</v>
      </c>
      <c r="P386" t="s">
        <v>316</v>
      </c>
      <c r="Q386" t="s">
        <v>247</v>
      </c>
      <c r="R386" s="11">
        <v>0</v>
      </c>
      <c r="S386">
        <v>0</v>
      </c>
      <c r="T386">
        <v>0</v>
      </c>
      <c r="U386" s="11">
        <v>0</v>
      </c>
      <c r="V386">
        <v>0</v>
      </c>
      <c r="W386">
        <v>0</v>
      </c>
      <c r="X386" s="11">
        <f t="shared" si="18"/>
        <v>0</v>
      </c>
      <c r="Y386">
        <f t="shared" si="18"/>
        <v>0</v>
      </c>
      <c r="Z386">
        <f t="shared" si="18"/>
        <v>0</v>
      </c>
      <c r="AA386" s="11"/>
    </row>
    <row r="387" spans="1:27" x14ac:dyDescent="0.3">
      <c r="A387" s="7">
        <v>45576</v>
      </c>
      <c r="B387">
        <v>8</v>
      </c>
      <c r="C387" t="s">
        <v>236</v>
      </c>
      <c r="D387" t="s">
        <v>26</v>
      </c>
      <c r="E387">
        <v>7</v>
      </c>
      <c r="F387">
        <v>2</v>
      </c>
      <c r="G387">
        <v>2</v>
      </c>
      <c r="H387" t="s">
        <v>27</v>
      </c>
      <c r="I387">
        <v>2</v>
      </c>
      <c r="J387" s="10">
        <v>0.27083333333333331</v>
      </c>
      <c r="K387" s="10">
        <v>0.33958333333333335</v>
      </c>
      <c r="L387" s="10">
        <f t="shared" si="17"/>
        <v>6.8750000000000033E-2</v>
      </c>
      <c r="M387" s="12">
        <f t="shared" si="19"/>
        <v>1.6500000000000008</v>
      </c>
      <c r="N387" s="12">
        <f>Table35[[#This Row],[Trip Hours]]*Table35[[#This Row],['#Angler]]</f>
        <v>3.3000000000000016</v>
      </c>
      <c r="O387" t="s">
        <v>28</v>
      </c>
      <c r="P387" t="s">
        <v>56</v>
      </c>
      <c r="Q387" t="s">
        <v>247</v>
      </c>
      <c r="R387" s="11">
        <v>0</v>
      </c>
      <c r="S387">
        <v>1</v>
      </c>
      <c r="T387">
        <v>0</v>
      </c>
      <c r="U387" s="11">
        <v>0</v>
      </c>
      <c r="V387">
        <v>0</v>
      </c>
      <c r="W387">
        <v>0</v>
      </c>
      <c r="X387" s="11">
        <f t="shared" si="18"/>
        <v>0</v>
      </c>
      <c r="Y387">
        <f t="shared" si="18"/>
        <v>1</v>
      </c>
      <c r="Z387">
        <f t="shared" si="18"/>
        <v>0</v>
      </c>
      <c r="AA387" s="11"/>
    </row>
    <row r="388" spans="1:27" x14ac:dyDescent="0.3">
      <c r="A388" s="7">
        <v>45576</v>
      </c>
      <c r="B388">
        <v>8</v>
      </c>
      <c r="C388" t="s">
        <v>236</v>
      </c>
      <c r="D388" t="s">
        <v>26</v>
      </c>
      <c r="E388">
        <v>8</v>
      </c>
      <c r="F388">
        <v>2</v>
      </c>
      <c r="G388">
        <v>2</v>
      </c>
      <c r="H388" t="s">
        <v>27</v>
      </c>
      <c r="I388">
        <v>2</v>
      </c>
      <c r="J388" s="10">
        <v>0.3125</v>
      </c>
      <c r="K388" s="10">
        <v>0.35000000000000003</v>
      </c>
      <c r="L388" s="10">
        <f t="shared" ref="L388:L642" si="20">K388-J388</f>
        <v>3.7500000000000033E-2</v>
      </c>
      <c r="M388" s="12">
        <f t="shared" si="19"/>
        <v>0.9000000000000008</v>
      </c>
      <c r="N388" s="12">
        <f>Table35[[#This Row],[Trip Hours]]*Table35[[#This Row],['#Angler]]</f>
        <v>1.8000000000000016</v>
      </c>
      <c r="O388" t="s">
        <v>28</v>
      </c>
      <c r="P388" t="s">
        <v>56</v>
      </c>
      <c r="Q388" t="s">
        <v>238</v>
      </c>
      <c r="R388" s="11">
        <v>0</v>
      </c>
      <c r="S388">
        <v>1</v>
      </c>
      <c r="T388">
        <v>0</v>
      </c>
      <c r="U388" s="11">
        <v>0</v>
      </c>
      <c r="V388">
        <v>0</v>
      </c>
      <c r="W388">
        <v>0</v>
      </c>
      <c r="X388" s="11">
        <f t="shared" si="18"/>
        <v>0</v>
      </c>
      <c r="Y388">
        <f t="shared" si="18"/>
        <v>1</v>
      </c>
      <c r="Z388">
        <f t="shared" si="18"/>
        <v>0</v>
      </c>
      <c r="AA388" s="11"/>
    </row>
    <row r="389" spans="1:27" x14ac:dyDescent="0.3">
      <c r="A389" s="7">
        <v>45576</v>
      </c>
      <c r="B389">
        <v>8</v>
      </c>
      <c r="C389" t="s">
        <v>236</v>
      </c>
      <c r="D389" t="s">
        <v>26</v>
      </c>
      <c r="E389">
        <v>9</v>
      </c>
      <c r="F389">
        <v>2</v>
      </c>
      <c r="G389">
        <v>2</v>
      </c>
      <c r="H389" t="s">
        <v>27</v>
      </c>
      <c r="I389">
        <v>1</v>
      </c>
      <c r="J389" s="10">
        <v>0.3125</v>
      </c>
      <c r="K389" s="10">
        <v>0.3527777777777778</v>
      </c>
      <c r="L389" s="10">
        <f t="shared" si="20"/>
        <v>4.0277777777777801E-2</v>
      </c>
      <c r="M389" s="12">
        <f t="shared" si="19"/>
        <v>0.96666666666666723</v>
      </c>
      <c r="N389" s="12">
        <f>Table35[[#This Row],[Trip Hours]]*Table35[[#This Row],['#Angler]]</f>
        <v>0.96666666666666723</v>
      </c>
      <c r="O389" t="s">
        <v>28</v>
      </c>
      <c r="P389" t="s">
        <v>56</v>
      </c>
      <c r="Q389" t="s">
        <v>241</v>
      </c>
      <c r="R389" s="11">
        <v>0</v>
      </c>
      <c r="S389">
        <v>1</v>
      </c>
      <c r="T389">
        <v>0</v>
      </c>
      <c r="U389" s="11">
        <v>0</v>
      </c>
      <c r="V389">
        <v>1</v>
      </c>
      <c r="W389">
        <v>0</v>
      </c>
      <c r="X389" s="11">
        <f t="shared" si="18"/>
        <v>0</v>
      </c>
      <c r="Y389">
        <f t="shared" si="18"/>
        <v>2</v>
      </c>
      <c r="Z389">
        <f t="shared" si="18"/>
        <v>0</v>
      </c>
      <c r="AA389" s="11"/>
    </row>
    <row r="390" spans="1:27" x14ac:dyDescent="0.3">
      <c r="A390" s="7">
        <v>45576</v>
      </c>
      <c r="B390">
        <v>8</v>
      </c>
      <c r="C390" t="s">
        <v>236</v>
      </c>
      <c r="D390" t="s">
        <v>26</v>
      </c>
      <c r="E390">
        <v>10</v>
      </c>
      <c r="F390">
        <v>2</v>
      </c>
      <c r="G390">
        <v>2</v>
      </c>
      <c r="H390" t="s">
        <v>27</v>
      </c>
      <c r="I390">
        <v>1</v>
      </c>
      <c r="J390" s="10">
        <v>0.28125</v>
      </c>
      <c r="K390" s="10">
        <v>0.35694444444444445</v>
      </c>
      <c r="L390" s="10">
        <f t="shared" si="20"/>
        <v>7.5694444444444453E-2</v>
      </c>
      <c r="M390" s="12">
        <f t="shared" si="19"/>
        <v>1.8166666666666669</v>
      </c>
      <c r="N390" s="12">
        <f>Table35[[#This Row],[Trip Hours]]*Table35[[#This Row],['#Angler]]</f>
        <v>1.8166666666666669</v>
      </c>
      <c r="O390" t="s">
        <v>25</v>
      </c>
      <c r="P390" t="s">
        <v>317</v>
      </c>
      <c r="Q390" t="s">
        <v>247</v>
      </c>
      <c r="R390" s="11">
        <v>0</v>
      </c>
      <c r="S390">
        <v>2</v>
      </c>
      <c r="T390">
        <v>0</v>
      </c>
      <c r="U390" s="11">
        <v>0</v>
      </c>
      <c r="V390">
        <v>0</v>
      </c>
      <c r="W390">
        <v>0</v>
      </c>
      <c r="X390" s="11">
        <f t="shared" si="18"/>
        <v>0</v>
      </c>
      <c r="Y390">
        <f t="shared" si="18"/>
        <v>2</v>
      </c>
      <c r="Z390">
        <f t="shared" si="18"/>
        <v>0</v>
      </c>
      <c r="AA390" s="11"/>
    </row>
    <row r="391" spans="1:27" x14ac:dyDescent="0.3">
      <c r="A391" s="7">
        <v>45576</v>
      </c>
      <c r="B391">
        <v>8</v>
      </c>
      <c r="C391" t="s">
        <v>236</v>
      </c>
      <c r="D391" t="s">
        <v>26</v>
      </c>
      <c r="E391">
        <v>11</v>
      </c>
      <c r="F391">
        <v>2</v>
      </c>
      <c r="G391">
        <v>2</v>
      </c>
      <c r="H391" t="s">
        <v>27</v>
      </c>
      <c r="I391">
        <v>1</v>
      </c>
      <c r="J391" s="10">
        <v>0.29166666666666669</v>
      </c>
      <c r="K391" s="10">
        <v>0.37638888888888888</v>
      </c>
      <c r="L391" s="10">
        <f t="shared" si="20"/>
        <v>8.4722222222222199E-2</v>
      </c>
      <c r="M391" s="12">
        <f t="shared" si="19"/>
        <v>2.0333333333333328</v>
      </c>
      <c r="N391" s="12">
        <f>Table35[[#This Row],[Trip Hours]]*Table35[[#This Row],['#Angler]]</f>
        <v>2.0333333333333328</v>
      </c>
      <c r="O391" t="s">
        <v>25</v>
      </c>
      <c r="P391" t="s">
        <v>56</v>
      </c>
      <c r="Q391" t="s">
        <v>247</v>
      </c>
      <c r="R391" s="11">
        <v>0</v>
      </c>
      <c r="S391">
        <v>0</v>
      </c>
      <c r="T391">
        <v>0</v>
      </c>
      <c r="U391" s="11">
        <v>0</v>
      </c>
      <c r="V391">
        <v>0</v>
      </c>
      <c r="W391">
        <v>0</v>
      </c>
      <c r="X391" s="11">
        <f t="shared" si="18"/>
        <v>0</v>
      </c>
      <c r="Y391">
        <f t="shared" si="18"/>
        <v>0</v>
      </c>
      <c r="Z391">
        <f t="shared" si="18"/>
        <v>0</v>
      </c>
      <c r="AA391" s="11"/>
    </row>
    <row r="392" spans="1:27" x14ac:dyDescent="0.3">
      <c r="A392" s="7">
        <v>45576</v>
      </c>
      <c r="B392">
        <v>8</v>
      </c>
      <c r="C392" t="s">
        <v>236</v>
      </c>
      <c r="D392" t="s">
        <v>26</v>
      </c>
      <c r="E392">
        <v>12</v>
      </c>
      <c r="F392">
        <v>2</v>
      </c>
      <c r="G392">
        <v>2</v>
      </c>
      <c r="H392" t="s">
        <v>27</v>
      </c>
      <c r="I392">
        <v>2</v>
      </c>
      <c r="J392" s="10">
        <v>0.29166666666666669</v>
      </c>
      <c r="K392" s="10">
        <v>0.37638888888888888</v>
      </c>
      <c r="L392" s="10">
        <f t="shared" si="20"/>
        <v>8.4722222222222199E-2</v>
      </c>
      <c r="M392" s="12">
        <f t="shared" si="19"/>
        <v>2.0333333333333328</v>
      </c>
      <c r="N392" s="12">
        <f>Table35[[#This Row],[Trip Hours]]*Table35[[#This Row],['#Angler]]</f>
        <v>4.0666666666666655</v>
      </c>
      <c r="O392" t="s">
        <v>25</v>
      </c>
      <c r="P392" t="s">
        <v>56</v>
      </c>
      <c r="Q392" t="s">
        <v>247</v>
      </c>
      <c r="R392" s="11">
        <v>0</v>
      </c>
      <c r="S392">
        <v>1</v>
      </c>
      <c r="T392">
        <v>0</v>
      </c>
      <c r="U392" s="11">
        <v>0</v>
      </c>
      <c r="V392">
        <v>0</v>
      </c>
      <c r="W392">
        <v>0</v>
      </c>
      <c r="X392" s="11">
        <f t="shared" si="18"/>
        <v>0</v>
      </c>
      <c r="Y392">
        <f t="shared" si="18"/>
        <v>1</v>
      </c>
      <c r="Z392">
        <f t="shared" si="18"/>
        <v>0</v>
      </c>
      <c r="AA392" s="11"/>
    </row>
    <row r="393" spans="1:27" x14ac:dyDescent="0.3">
      <c r="A393" s="7">
        <v>45576</v>
      </c>
      <c r="B393">
        <v>8</v>
      </c>
      <c r="C393" t="s">
        <v>236</v>
      </c>
      <c r="D393" t="s">
        <v>26</v>
      </c>
      <c r="E393">
        <v>13</v>
      </c>
      <c r="F393">
        <v>2</v>
      </c>
      <c r="G393">
        <v>2</v>
      </c>
      <c r="H393" t="s">
        <v>27</v>
      </c>
      <c r="I393">
        <v>2</v>
      </c>
      <c r="J393" s="10">
        <v>0.3125</v>
      </c>
      <c r="K393" s="10">
        <v>0.36527777777777781</v>
      </c>
      <c r="L393" s="10">
        <f t="shared" si="20"/>
        <v>5.2777777777777812E-2</v>
      </c>
      <c r="M393" s="12">
        <f t="shared" si="19"/>
        <v>1.2666666666666675</v>
      </c>
      <c r="N393" s="12">
        <f>Table35[[#This Row],[Trip Hours]]*Table35[[#This Row],['#Angler]]</f>
        <v>2.533333333333335</v>
      </c>
      <c r="O393" t="s">
        <v>28</v>
      </c>
      <c r="P393" t="s">
        <v>56</v>
      </c>
      <c r="Q393" t="s">
        <v>247</v>
      </c>
      <c r="R393" s="11">
        <v>0</v>
      </c>
      <c r="S393">
        <v>0</v>
      </c>
      <c r="T393">
        <v>0</v>
      </c>
      <c r="U393" s="11">
        <v>0</v>
      </c>
      <c r="V393">
        <v>0</v>
      </c>
      <c r="W393">
        <v>0</v>
      </c>
      <c r="X393" s="11">
        <f t="shared" si="18"/>
        <v>0</v>
      </c>
      <c r="Y393">
        <f t="shared" si="18"/>
        <v>0</v>
      </c>
      <c r="Z393">
        <f t="shared" si="18"/>
        <v>0</v>
      </c>
      <c r="AA393" s="11"/>
    </row>
    <row r="394" spans="1:27" x14ac:dyDescent="0.3">
      <c r="A394" s="7">
        <v>45576</v>
      </c>
      <c r="B394">
        <v>8</v>
      </c>
      <c r="C394" t="s">
        <v>236</v>
      </c>
      <c r="D394" t="s">
        <v>26</v>
      </c>
      <c r="E394">
        <v>14</v>
      </c>
      <c r="F394">
        <v>2</v>
      </c>
      <c r="G394">
        <v>2</v>
      </c>
      <c r="H394" t="s">
        <v>27</v>
      </c>
      <c r="I394">
        <v>1</v>
      </c>
      <c r="J394" s="10">
        <v>0.26597222222222222</v>
      </c>
      <c r="K394" s="10">
        <v>0.36805555555555558</v>
      </c>
      <c r="L394" s="10">
        <f t="shared" si="20"/>
        <v>0.10208333333333336</v>
      </c>
      <c r="M394" s="12">
        <f t="shared" si="19"/>
        <v>2.4500000000000006</v>
      </c>
      <c r="N394" s="12">
        <f>Table35[[#This Row],[Trip Hours]]*Table35[[#This Row],['#Angler]]</f>
        <v>2.4500000000000006</v>
      </c>
      <c r="O394" t="s">
        <v>25</v>
      </c>
      <c r="P394" t="s">
        <v>56</v>
      </c>
      <c r="Q394" t="s">
        <v>247</v>
      </c>
      <c r="R394" s="11">
        <v>0</v>
      </c>
      <c r="S394">
        <v>3</v>
      </c>
      <c r="T394">
        <v>0</v>
      </c>
      <c r="U394" s="11">
        <v>0</v>
      </c>
      <c r="V394">
        <v>0</v>
      </c>
      <c r="W394">
        <v>0</v>
      </c>
      <c r="X394" s="11">
        <f t="shared" si="18"/>
        <v>0</v>
      </c>
      <c r="Y394">
        <f t="shared" si="18"/>
        <v>3</v>
      </c>
      <c r="Z394">
        <f t="shared" si="18"/>
        <v>0</v>
      </c>
      <c r="AA394" s="11"/>
    </row>
    <row r="395" spans="1:27" x14ac:dyDescent="0.3">
      <c r="A395" s="7">
        <v>45576</v>
      </c>
      <c r="B395">
        <v>8</v>
      </c>
      <c r="C395" t="s">
        <v>236</v>
      </c>
      <c r="D395" t="s">
        <v>26</v>
      </c>
      <c r="E395">
        <v>15</v>
      </c>
      <c r="F395">
        <v>2</v>
      </c>
      <c r="G395">
        <v>2</v>
      </c>
      <c r="H395" t="s">
        <v>27</v>
      </c>
      <c r="I395">
        <v>1</v>
      </c>
      <c r="J395" s="10">
        <v>0.375</v>
      </c>
      <c r="K395" s="10">
        <v>0.39999999999999997</v>
      </c>
      <c r="L395" s="10">
        <f t="shared" si="20"/>
        <v>2.4999999999999967E-2</v>
      </c>
      <c r="M395" s="12">
        <f t="shared" si="19"/>
        <v>0.5999999999999992</v>
      </c>
      <c r="N395" s="12">
        <f>Table35[[#This Row],[Trip Hours]]*Table35[[#This Row],['#Angler]]</f>
        <v>0.5999999999999992</v>
      </c>
      <c r="O395" t="s">
        <v>28</v>
      </c>
      <c r="P395" t="s">
        <v>258</v>
      </c>
      <c r="Q395" t="s">
        <v>247</v>
      </c>
      <c r="R395" s="11">
        <v>0</v>
      </c>
      <c r="S395">
        <v>0</v>
      </c>
      <c r="T395">
        <v>0</v>
      </c>
      <c r="U395" s="11">
        <v>0</v>
      </c>
      <c r="V395">
        <v>0</v>
      </c>
      <c r="W395">
        <v>0</v>
      </c>
      <c r="X395" s="11">
        <f t="shared" si="18"/>
        <v>0</v>
      </c>
      <c r="Y395">
        <f t="shared" si="18"/>
        <v>0</v>
      </c>
      <c r="Z395">
        <f t="shared" si="18"/>
        <v>0</v>
      </c>
      <c r="AA395" s="11"/>
    </row>
    <row r="396" spans="1:27" x14ac:dyDescent="0.3">
      <c r="A396" s="7">
        <v>45576</v>
      </c>
      <c r="B396">
        <v>8</v>
      </c>
      <c r="C396" t="s">
        <v>236</v>
      </c>
      <c r="D396" t="s">
        <v>26</v>
      </c>
      <c r="E396">
        <v>16</v>
      </c>
      <c r="F396">
        <v>2</v>
      </c>
      <c r="G396">
        <v>3</v>
      </c>
      <c r="H396" t="s">
        <v>27</v>
      </c>
      <c r="I396">
        <v>2</v>
      </c>
      <c r="J396" s="10">
        <v>0.29166666666666669</v>
      </c>
      <c r="K396" s="10">
        <v>0.40972222222222227</v>
      </c>
      <c r="L396" s="10">
        <f t="shared" si="20"/>
        <v>0.11805555555555558</v>
      </c>
      <c r="M396" s="12">
        <f t="shared" si="19"/>
        <v>2.8333333333333339</v>
      </c>
      <c r="N396" s="12">
        <f>Table35[[#This Row],[Trip Hours]]*Table35[[#This Row],['#Angler]]</f>
        <v>5.6666666666666679</v>
      </c>
      <c r="O396" t="s">
        <v>28</v>
      </c>
      <c r="P396" t="s">
        <v>56</v>
      </c>
      <c r="Q396" t="s">
        <v>247</v>
      </c>
      <c r="R396" s="11">
        <v>0</v>
      </c>
      <c r="S396">
        <v>3</v>
      </c>
      <c r="T396">
        <v>0</v>
      </c>
      <c r="U396" s="11">
        <v>0</v>
      </c>
      <c r="V396">
        <v>0</v>
      </c>
      <c r="W396">
        <v>0</v>
      </c>
      <c r="X396" s="11">
        <f t="shared" si="18"/>
        <v>0</v>
      </c>
      <c r="Y396">
        <f t="shared" si="18"/>
        <v>3</v>
      </c>
      <c r="Z396">
        <f t="shared" si="18"/>
        <v>0</v>
      </c>
      <c r="AA396" s="11"/>
    </row>
    <row r="397" spans="1:27" x14ac:dyDescent="0.3">
      <c r="A397" s="7">
        <v>45576</v>
      </c>
      <c r="B397">
        <v>8</v>
      </c>
      <c r="C397" t="s">
        <v>236</v>
      </c>
      <c r="D397" t="s">
        <v>26</v>
      </c>
      <c r="E397">
        <v>17</v>
      </c>
      <c r="F397">
        <v>2</v>
      </c>
      <c r="G397">
        <v>3</v>
      </c>
      <c r="H397" t="s">
        <v>27</v>
      </c>
      <c r="I397">
        <v>1</v>
      </c>
      <c r="J397" s="10">
        <v>0.29166666666666669</v>
      </c>
      <c r="K397" s="10">
        <v>0.41111111111111115</v>
      </c>
      <c r="L397" s="10">
        <f t="shared" si="20"/>
        <v>0.11944444444444446</v>
      </c>
      <c r="M397" s="12">
        <f t="shared" si="19"/>
        <v>2.8666666666666671</v>
      </c>
      <c r="N397" s="12">
        <f>Table35[[#This Row],[Trip Hours]]*Table35[[#This Row],['#Angler]]</f>
        <v>2.8666666666666671</v>
      </c>
      <c r="O397" t="s">
        <v>28</v>
      </c>
      <c r="P397" t="s">
        <v>56</v>
      </c>
      <c r="Q397" t="s">
        <v>247</v>
      </c>
      <c r="R397" s="11">
        <v>0</v>
      </c>
      <c r="S397">
        <v>1</v>
      </c>
      <c r="T397">
        <v>0</v>
      </c>
      <c r="U397" s="11">
        <v>0</v>
      </c>
      <c r="V397">
        <v>0</v>
      </c>
      <c r="W397">
        <v>0</v>
      </c>
      <c r="X397" s="11">
        <f t="shared" si="18"/>
        <v>0</v>
      </c>
      <c r="Y397">
        <f t="shared" si="18"/>
        <v>1</v>
      </c>
      <c r="Z397">
        <f t="shared" si="18"/>
        <v>0</v>
      </c>
      <c r="AA397" s="11"/>
    </row>
    <row r="398" spans="1:27" x14ac:dyDescent="0.3">
      <c r="A398" s="7">
        <v>45576</v>
      </c>
      <c r="B398">
        <v>8</v>
      </c>
      <c r="C398" t="s">
        <v>236</v>
      </c>
      <c r="D398" t="s">
        <v>26</v>
      </c>
      <c r="E398">
        <v>18</v>
      </c>
      <c r="F398">
        <v>2</v>
      </c>
      <c r="G398">
        <v>3</v>
      </c>
      <c r="H398" t="s">
        <v>27</v>
      </c>
      <c r="I398">
        <v>2</v>
      </c>
      <c r="J398" s="10">
        <v>0.31944444444444448</v>
      </c>
      <c r="K398" s="10">
        <v>0.4152777777777778</v>
      </c>
      <c r="L398" s="10">
        <f t="shared" si="20"/>
        <v>9.5833333333333326E-2</v>
      </c>
      <c r="M398" s="12">
        <f t="shared" si="19"/>
        <v>2.2999999999999998</v>
      </c>
      <c r="N398" s="12">
        <f>Table35[[#This Row],[Trip Hours]]*Table35[[#This Row],['#Angler]]</f>
        <v>4.5999999999999996</v>
      </c>
      <c r="O398" t="s">
        <v>25</v>
      </c>
      <c r="P398" t="s">
        <v>258</v>
      </c>
      <c r="Q398" t="s">
        <v>241</v>
      </c>
      <c r="R398" s="11">
        <v>0</v>
      </c>
      <c r="S398">
        <v>0</v>
      </c>
      <c r="T398">
        <v>0</v>
      </c>
      <c r="U398" s="11">
        <v>0</v>
      </c>
      <c r="V398">
        <v>0</v>
      </c>
      <c r="W398">
        <v>0</v>
      </c>
      <c r="X398" s="11">
        <f t="shared" si="18"/>
        <v>0</v>
      </c>
      <c r="Y398">
        <f t="shared" si="18"/>
        <v>0</v>
      </c>
      <c r="Z398">
        <f t="shared" si="18"/>
        <v>0</v>
      </c>
      <c r="AA398" s="11"/>
    </row>
    <row r="399" spans="1:27" x14ac:dyDescent="0.3">
      <c r="A399" s="7">
        <v>45576</v>
      </c>
      <c r="B399">
        <v>8</v>
      </c>
      <c r="C399" t="s">
        <v>236</v>
      </c>
      <c r="D399" t="s">
        <v>26</v>
      </c>
      <c r="E399">
        <v>19</v>
      </c>
      <c r="F399">
        <v>2</v>
      </c>
      <c r="G399">
        <v>3</v>
      </c>
      <c r="H399" t="s">
        <v>27</v>
      </c>
      <c r="I399">
        <v>1</v>
      </c>
      <c r="J399" s="10">
        <v>0.27083333333333331</v>
      </c>
      <c r="K399" s="10">
        <v>0.4368055555555555</v>
      </c>
      <c r="L399" s="10">
        <f t="shared" si="20"/>
        <v>0.16597222222222219</v>
      </c>
      <c r="M399" s="12">
        <f t="shared" si="19"/>
        <v>3.9833333333333325</v>
      </c>
      <c r="N399" s="12">
        <f>Table35[[#This Row],[Trip Hours]]*Table35[[#This Row],['#Angler]]</f>
        <v>3.9833333333333325</v>
      </c>
      <c r="O399" t="s">
        <v>28</v>
      </c>
      <c r="P399" t="s">
        <v>56</v>
      </c>
      <c r="Q399" t="s">
        <v>247</v>
      </c>
      <c r="R399" s="11">
        <v>0</v>
      </c>
      <c r="S399">
        <v>0</v>
      </c>
      <c r="T399">
        <v>0</v>
      </c>
      <c r="U399" s="11">
        <v>0</v>
      </c>
      <c r="V399">
        <v>0</v>
      </c>
      <c r="W399">
        <v>0</v>
      </c>
      <c r="X399" s="11">
        <f t="shared" si="18"/>
        <v>0</v>
      </c>
      <c r="Y399">
        <f t="shared" si="18"/>
        <v>0</v>
      </c>
      <c r="Z399">
        <f t="shared" si="18"/>
        <v>0</v>
      </c>
      <c r="AA399" s="11"/>
    </row>
    <row r="400" spans="1:27" x14ac:dyDescent="0.3">
      <c r="A400" s="7">
        <v>45576</v>
      </c>
      <c r="B400">
        <v>8</v>
      </c>
      <c r="C400" t="s">
        <v>236</v>
      </c>
      <c r="D400" t="s">
        <v>26</v>
      </c>
      <c r="E400">
        <v>20</v>
      </c>
      <c r="F400">
        <v>2</v>
      </c>
      <c r="G400">
        <v>4</v>
      </c>
      <c r="H400" t="s">
        <v>27</v>
      </c>
      <c r="I400">
        <v>1</v>
      </c>
      <c r="J400" s="10">
        <v>0.43055555555555558</v>
      </c>
      <c r="K400" s="10">
        <v>0.44236111111111115</v>
      </c>
      <c r="L400" s="10">
        <f t="shared" si="20"/>
        <v>1.1805555555555569E-2</v>
      </c>
      <c r="M400" s="12">
        <f t="shared" si="19"/>
        <v>0.28333333333333366</v>
      </c>
      <c r="N400" s="12">
        <f>Table35[[#This Row],[Trip Hours]]*Table35[[#This Row],['#Angler]]</f>
        <v>0.28333333333333366</v>
      </c>
      <c r="O400" t="s">
        <v>28</v>
      </c>
      <c r="P400" t="s">
        <v>82</v>
      </c>
      <c r="Q400" t="s">
        <v>241</v>
      </c>
      <c r="R400" s="11">
        <v>0</v>
      </c>
      <c r="S400">
        <v>0</v>
      </c>
      <c r="T400">
        <v>0</v>
      </c>
      <c r="U400" s="11">
        <v>0</v>
      </c>
      <c r="V400">
        <v>0</v>
      </c>
      <c r="W400">
        <v>0</v>
      </c>
      <c r="X400" s="11">
        <f t="shared" ref="X400:Z463" si="21">R400+U400</f>
        <v>0</v>
      </c>
      <c r="Y400">
        <f t="shared" si="21"/>
        <v>0</v>
      </c>
      <c r="Z400">
        <f t="shared" si="21"/>
        <v>0</v>
      </c>
      <c r="AA400" s="11"/>
    </row>
    <row r="401" spans="1:27" x14ac:dyDescent="0.3">
      <c r="A401" s="7">
        <v>45576</v>
      </c>
      <c r="B401">
        <v>8</v>
      </c>
      <c r="C401" t="s">
        <v>236</v>
      </c>
      <c r="D401" t="s">
        <v>26</v>
      </c>
      <c r="E401">
        <v>21</v>
      </c>
      <c r="F401">
        <v>2</v>
      </c>
      <c r="G401">
        <v>4</v>
      </c>
      <c r="H401" t="s">
        <v>27</v>
      </c>
      <c r="I401">
        <v>1</v>
      </c>
      <c r="J401" s="10">
        <v>0.33333333333333331</v>
      </c>
      <c r="K401" s="10">
        <v>0.45624999999999999</v>
      </c>
      <c r="L401" s="10">
        <f t="shared" si="20"/>
        <v>0.12291666666666667</v>
      </c>
      <c r="M401" s="12">
        <f t="shared" si="19"/>
        <v>2.95</v>
      </c>
      <c r="N401" s="12">
        <f>Table35[[#This Row],[Trip Hours]]*Table35[[#This Row],['#Angler]]</f>
        <v>2.95</v>
      </c>
      <c r="O401" t="s">
        <v>28</v>
      </c>
      <c r="P401" t="s">
        <v>56</v>
      </c>
      <c r="Q401" t="s">
        <v>237</v>
      </c>
      <c r="R401" s="11">
        <v>0</v>
      </c>
      <c r="S401">
        <v>0</v>
      </c>
      <c r="T401">
        <v>0</v>
      </c>
      <c r="U401" s="11">
        <v>0</v>
      </c>
      <c r="V401">
        <v>0</v>
      </c>
      <c r="W401">
        <v>0</v>
      </c>
      <c r="X401" s="11">
        <f t="shared" si="21"/>
        <v>0</v>
      </c>
      <c r="Y401">
        <f t="shared" si="21"/>
        <v>0</v>
      </c>
      <c r="Z401">
        <f t="shared" si="21"/>
        <v>0</v>
      </c>
      <c r="AA401" s="11"/>
    </row>
    <row r="402" spans="1:27" x14ac:dyDescent="0.3">
      <c r="A402" s="7">
        <v>45576</v>
      </c>
      <c r="B402">
        <v>8</v>
      </c>
      <c r="C402" t="s">
        <v>236</v>
      </c>
      <c r="D402" t="s">
        <v>26</v>
      </c>
      <c r="E402">
        <v>22</v>
      </c>
      <c r="F402">
        <v>2</v>
      </c>
      <c r="G402">
        <v>4</v>
      </c>
      <c r="H402" t="s">
        <v>27</v>
      </c>
      <c r="I402">
        <v>1</v>
      </c>
      <c r="J402" s="10">
        <v>0.41666666666666669</v>
      </c>
      <c r="K402" s="10">
        <v>0.46527777777777773</v>
      </c>
      <c r="L402" s="10">
        <f t="shared" si="20"/>
        <v>4.8611111111111049E-2</v>
      </c>
      <c r="M402" s="12">
        <f t="shared" si="19"/>
        <v>1.1666666666666652</v>
      </c>
      <c r="N402" s="12">
        <f>Table35[[#This Row],[Trip Hours]]*Table35[[#This Row],['#Angler]]</f>
        <v>1.1666666666666652</v>
      </c>
      <c r="O402" t="s">
        <v>25</v>
      </c>
      <c r="P402" t="s">
        <v>148</v>
      </c>
      <c r="Q402" t="s">
        <v>247</v>
      </c>
      <c r="R402" s="11">
        <v>0</v>
      </c>
      <c r="S402">
        <v>0</v>
      </c>
      <c r="T402">
        <v>0</v>
      </c>
      <c r="U402" s="11">
        <v>0</v>
      </c>
      <c r="V402">
        <v>0</v>
      </c>
      <c r="W402">
        <v>0</v>
      </c>
      <c r="X402" s="11">
        <f t="shared" si="21"/>
        <v>0</v>
      </c>
      <c r="Y402">
        <f t="shared" si="21"/>
        <v>0</v>
      </c>
      <c r="Z402">
        <f t="shared" si="21"/>
        <v>0</v>
      </c>
      <c r="AA402" s="11"/>
    </row>
    <row r="403" spans="1:27" x14ac:dyDescent="0.3">
      <c r="A403" s="7">
        <v>45577</v>
      </c>
      <c r="B403">
        <v>8</v>
      </c>
      <c r="C403" t="s">
        <v>250</v>
      </c>
      <c r="D403" t="s">
        <v>26</v>
      </c>
      <c r="E403">
        <v>1</v>
      </c>
      <c r="F403">
        <v>2</v>
      </c>
      <c r="G403">
        <v>1</v>
      </c>
      <c r="H403" t="s">
        <v>27</v>
      </c>
      <c r="I403">
        <v>2</v>
      </c>
      <c r="J403" s="10">
        <v>0.28125</v>
      </c>
      <c r="K403" s="10">
        <v>0.3923611111111111</v>
      </c>
      <c r="L403" s="10">
        <f t="shared" si="20"/>
        <v>0.1111111111111111</v>
      </c>
      <c r="M403" s="12">
        <f t="shared" si="19"/>
        <v>2.6666666666666665</v>
      </c>
      <c r="N403" s="12">
        <f>Table35[[#This Row],[Trip Hours]]*Table35[[#This Row],['#Angler]]</f>
        <v>5.333333333333333</v>
      </c>
      <c r="O403" t="s">
        <v>28</v>
      </c>
      <c r="P403" t="s">
        <v>47</v>
      </c>
      <c r="Q403" t="s">
        <v>241</v>
      </c>
      <c r="R403" s="11">
        <v>0</v>
      </c>
      <c r="S403">
        <v>0</v>
      </c>
      <c r="T403">
        <v>0</v>
      </c>
      <c r="U403" s="11">
        <v>0</v>
      </c>
      <c r="V403">
        <v>0</v>
      </c>
      <c r="W403">
        <v>0</v>
      </c>
      <c r="X403" s="11">
        <f t="shared" si="21"/>
        <v>0</v>
      </c>
      <c r="Y403">
        <f t="shared" si="21"/>
        <v>0</v>
      </c>
      <c r="Z403">
        <f t="shared" si="21"/>
        <v>0</v>
      </c>
      <c r="AA403" s="11"/>
    </row>
    <row r="404" spans="1:27" x14ac:dyDescent="0.3">
      <c r="A404" s="7">
        <v>45577</v>
      </c>
      <c r="B404">
        <v>8</v>
      </c>
      <c r="C404" t="s">
        <v>250</v>
      </c>
      <c r="D404" t="s">
        <v>26</v>
      </c>
      <c r="E404">
        <v>2</v>
      </c>
      <c r="F404">
        <v>2</v>
      </c>
      <c r="G404">
        <v>1</v>
      </c>
      <c r="H404" t="s">
        <v>27</v>
      </c>
      <c r="I404">
        <v>1</v>
      </c>
      <c r="J404" s="10">
        <v>0.29166666666666669</v>
      </c>
      <c r="K404" s="10">
        <v>0.3923611111111111</v>
      </c>
      <c r="L404" s="10">
        <f t="shared" si="20"/>
        <v>0.10069444444444442</v>
      </c>
      <c r="M404" s="12">
        <f t="shared" si="19"/>
        <v>2.4166666666666661</v>
      </c>
      <c r="N404" s="12">
        <f>Table35[[#This Row],[Trip Hours]]*Table35[[#This Row],['#Angler]]</f>
        <v>2.4166666666666661</v>
      </c>
      <c r="O404" t="s">
        <v>28</v>
      </c>
      <c r="P404" t="s">
        <v>49</v>
      </c>
      <c r="Q404" t="s">
        <v>241</v>
      </c>
      <c r="R404" s="11">
        <v>0</v>
      </c>
      <c r="S404">
        <v>0</v>
      </c>
      <c r="T404">
        <v>0</v>
      </c>
      <c r="U404" s="11">
        <v>0</v>
      </c>
      <c r="V404">
        <v>0</v>
      </c>
      <c r="W404">
        <v>0</v>
      </c>
      <c r="X404" s="11">
        <f t="shared" si="21"/>
        <v>0</v>
      </c>
      <c r="Y404">
        <f t="shared" si="21"/>
        <v>0</v>
      </c>
      <c r="Z404">
        <f t="shared" si="21"/>
        <v>0</v>
      </c>
      <c r="AA404" s="11"/>
    </row>
    <row r="405" spans="1:27" x14ac:dyDescent="0.3">
      <c r="A405" s="7">
        <v>45577</v>
      </c>
      <c r="B405">
        <v>8</v>
      </c>
      <c r="C405" t="s">
        <v>250</v>
      </c>
      <c r="D405" t="s">
        <v>26</v>
      </c>
      <c r="E405">
        <v>3</v>
      </c>
      <c r="F405">
        <v>2</v>
      </c>
      <c r="G405">
        <v>1</v>
      </c>
      <c r="H405" t="s">
        <v>27</v>
      </c>
      <c r="I405">
        <v>1</v>
      </c>
      <c r="J405" s="10">
        <v>0.25</v>
      </c>
      <c r="K405" s="10">
        <v>0.39305555555555555</v>
      </c>
      <c r="L405" s="10">
        <f t="shared" si="20"/>
        <v>0.14305555555555555</v>
      </c>
      <c r="M405" s="12">
        <f t="shared" si="19"/>
        <v>3.4333333333333331</v>
      </c>
      <c r="N405" s="12">
        <f>Table35[[#This Row],[Trip Hours]]*Table35[[#This Row],['#Angler]]</f>
        <v>3.4333333333333331</v>
      </c>
      <c r="O405" t="s">
        <v>28</v>
      </c>
      <c r="P405" t="s">
        <v>49</v>
      </c>
      <c r="Q405" t="s">
        <v>247</v>
      </c>
      <c r="R405" s="11">
        <v>0</v>
      </c>
      <c r="S405">
        <v>0</v>
      </c>
      <c r="T405">
        <v>0</v>
      </c>
      <c r="U405" s="11">
        <v>0</v>
      </c>
      <c r="V405">
        <v>0</v>
      </c>
      <c r="W405">
        <v>0</v>
      </c>
      <c r="X405" s="11">
        <f t="shared" si="21"/>
        <v>0</v>
      </c>
      <c r="Y405">
        <f t="shared" si="21"/>
        <v>0</v>
      </c>
      <c r="Z405">
        <f t="shared" si="21"/>
        <v>0</v>
      </c>
      <c r="AA405" s="11"/>
    </row>
    <row r="406" spans="1:27" x14ac:dyDescent="0.3">
      <c r="A406" s="7">
        <v>45577</v>
      </c>
      <c r="B406">
        <v>8</v>
      </c>
      <c r="C406" t="s">
        <v>250</v>
      </c>
      <c r="D406" t="s">
        <v>26</v>
      </c>
      <c r="E406">
        <v>4</v>
      </c>
      <c r="F406">
        <v>2</v>
      </c>
      <c r="G406">
        <v>1</v>
      </c>
      <c r="H406" t="s">
        <v>27</v>
      </c>
      <c r="I406">
        <v>2</v>
      </c>
      <c r="J406" s="10">
        <v>0.29166666666666669</v>
      </c>
      <c r="K406" s="10">
        <v>0.39444444444444443</v>
      </c>
      <c r="L406" s="10">
        <f t="shared" si="20"/>
        <v>0.10277777777777775</v>
      </c>
      <c r="M406" s="12">
        <f t="shared" si="19"/>
        <v>2.4666666666666659</v>
      </c>
      <c r="N406" s="12">
        <f>Table35[[#This Row],[Trip Hours]]*Table35[[#This Row],['#Angler]]</f>
        <v>4.9333333333333318</v>
      </c>
      <c r="O406" t="s">
        <v>28</v>
      </c>
      <c r="P406" t="s">
        <v>73</v>
      </c>
      <c r="Q406" t="s">
        <v>247</v>
      </c>
      <c r="R406" s="11">
        <v>0</v>
      </c>
      <c r="S406">
        <v>0</v>
      </c>
      <c r="T406">
        <v>0</v>
      </c>
      <c r="U406" s="11">
        <v>0</v>
      </c>
      <c r="V406">
        <v>0</v>
      </c>
      <c r="W406">
        <v>0</v>
      </c>
      <c r="X406" s="11">
        <f t="shared" si="21"/>
        <v>0</v>
      </c>
      <c r="Y406">
        <f t="shared" si="21"/>
        <v>0</v>
      </c>
      <c r="Z406">
        <f t="shared" si="21"/>
        <v>0</v>
      </c>
      <c r="AA406" s="11"/>
    </row>
    <row r="407" spans="1:27" x14ac:dyDescent="0.3">
      <c r="A407" s="7">
        <v>45577</v>
      </c>
      <c r="B407">
        <v>8</v>
      </c>
      <c r="C407" t="s">
        <v>250</v>
      </c>
      <c r="D407" t="s">
        <v>26</v>
      </c>
      <c r="E407">
        <v>5</v>
      </c>
      <c r="F407">
        <v>2</v>
      </c>
      <c r="G407">
        <v>1</v>
      </c>
      <c r="H407" t="s">
        <v>27</v>
      </c>
      <c r="I407">
        <v>1</v>
      </c>
      <c r="J407" s="10">
        <v>0.29166666666666669</v>
      </c>
      <c r="K407" s="10">
        <v>0.39513888888888887</v>
      </c>
      <c r="L407" s="10">
        <f t="shared" si="20"/>
        <v>0.10347222222222219</v>
      </c>
      <c r="M407" s="12">
        <f t="shared" si="19"/>
        <v>2.4833333333333325</v>
      </c>
      <c r="N407" s="12">
        <f>Table35[[#This Row],[Trip Hours]]*Table35[[#This Row],['#Angler]]</f>
        <v>2.4833333333333325</v>
      </c>
      <c r="O407" t="s">
        <v>28</v>
      </c>
      <c r="P407" t="s">
        <v>47</v>
      </c>
      <c r="Q407" t="s">
        <v>247</v>
      </c>
      <c r="R407" s="11">
        <v>0</v>
      </c>
      <c r="S407">
        <v>0</v>
      </c>
      <c r="T407">
        <v>0</v>
      </c>
      <c r="U407" s="11">
        <v>0</v>
      </c>
      <c r="V407">
        <v>0</v>
      </c>
      <c r="W407">
        <v>0</v>
      </c>
      <c r="X407" s="11">
        <f t="shared" si="21"/>
        <v>0</v>
      </c>
      <c r="Y407">
        <f t="shared" si="21"/>
        <v>0</v>
      </c>
      <c r="Z407">
        <f t="shared" si="21"/>
        <v>0</v>
      </c>
      <c r="AA407" s="11"/>
    </row>
    <row r="408" spans="1:27" x14ac:dyDescent="0.3">
      <c r="A408" s="7">
        <v>45577</v>
      </c>
      <c r="B408">
        <v>8</v>
      </c>
      <c r="C408" t="s">
        <v>250</v>
      </c>
      <c r="D408" t="s">
        <v>26</v>
      </c>
      <c r="E408">
        <v>6</v>
      </c>
      <c r="F408">
        <v>2</v>
      </c>
      <c r="G408">
        <v>1</v>
      </c>
      <c r="H408" t="s">
        <v>27</v>
      </c>
      <c r="I408">
        <v>1</v>
      </c>
      <c r="J408" s="10">
        <v>0.35416666666666669</v>
      </c>
      <c r="K408" s="10">
        <v>0.39652777777777781</v>
      </c>
      <c r="L408" s="10">
        <f t="shared" si="20"/>
        <v>4.2361111111111127E-2</v>
      </c>
      <c r="M408" s="12">
        <f t="shared" si="19"/>
        <v>1.0166666666666671</v>
      </c>
      <c r="N408" s="12">
        <f>Table35[[#This Row],[Trip Hours]]*Table35[[#This Row],['#Angler]]</f>
        <v>1.0166666666666671</v>
      </c>
      <c r="O408" t="s">
        <v>28</v>
      </c>
      <c r="P408" t="s">
        <v>56</v>
      </c>
      <c r="Q408" t="s">
        <v>247</v>
      </c>
      <c r="R408" s="11">
        <v>0</v>
      </c>
      <c r="S408">
        <v>0</v>
      </c>
      <c r="T408">
        <v>0</v>
      </c>
      <c r="U408" s="11">
        <v>0</v>
      </c>
      <c r="V408">
        <v>0</v>
      </c>
      <c r="W408">
        <v>0</v>
      </c>
      <c r="X408" s="11">
        <f t="shared" si="21"/>
        <v>0</v>
      </c>
      <c r="Y408">
        <f t="shared" si="21"/>
        <v>0</v>
      </c>
      <c r="Z408">
        <f t="shared" si="21"/>
        <v>0</v>
      </c>
      <c r="AA408" s="11"/>
    </row>
    <row r="409" spans="1:27" x14ac:dyDescent="0.3">
      <c r="A409" s="7">
        <v>45577</v>
      </c>
      <c r="B409">
        <v>8</v>
      </c>
      <c r="C409" t="s">
        <v>250</v>
      </c>
      <c r="D409" t="s">
        <v>26</v>
      </c>
      <c r="E409">
        <v>7</v>
      </c>
      <c r="F409">
        <v>2</v>
      </c>
      <c r="G409">
        <v>1</v>
      </c>
      <c r="H409" t="s">
        <v>27</v>
      </c>
      <c r="I409">
        <v>1</v>
      </c>
      <c r="J409" s="10">
        <v>0.29166666666666669</v>
      </c>
      <c r="K409" s="10">
        <v>0.3972222222222222</v>
      </c>
      <c r="L409" s="10">
        <f t="shared" si="20"/>
        <v>0.10555555555555551</v>
      </c>
      <c r="M409" s="12">
        <f t="shared" si="19"/>
        <v>2.5333333333333323</v>
      </c>
      <c r="N409" s="12">
        <f>Table35[[#This Row],[Trip Hours]]*Table35[[#This Row],['#Angler]]</f>
        <v>2.5333333333333323</v>
      </c>
      <c r="O409" t="s">
        <v>28</v>
      </c>
      <c r="P409" t="s">
        <v>56</v>
      </c>
      <c r="Q409" t="s">
        <v>247</v>
      </c>
      <c r="R409" s="11">
        <v>0</v>
      </c>
      <c r="S409">
        <v>0</v>
      </c>
      <c r="T409">
        <v>0</v>
      </c>
      <c r="U409" s="11">
        <v>0</v>
      </c>
      <c r="V409">
        <v>0</v>
      </c>
      <c r="W409">
        <v>0</v>
      </c>
      <c r="X409" s="11">
        <f t="shared" si="21"/>
        <v>0</v>
      </c>
      <c r="Y409">
        <f t="shared" si="21"/>
        <v>0</v>
      </c>
      <c r="Z409">
        <f t="shared" si="21"/>
        <v>0</v>
      </c>
      <c r="AA409" s="11"/>
    </row>
    <row r="410" spans="1:27" x14ac:dyDescent="0.3">
      <c r="A410" s="7">
        <v>45577</v>
      </c>
      <c r="B410">
        <v>8</v>
      </c>
      <c r="C410" t="s">
        <v>250</v>
      </c>
      <c r="D410" t="s">
        <v>26</v>
      </c>
      <c r="E410">
        <v>8</v>
      </c>
      <c r="F410">
        <v>2</v>
      </c>
      <c r="G410">
        <v>1</v>
      </c>
      <c r="H410" t="s">
        <v>27</v>
      </c>
      <c r="I410">
        <v>3</v>
      </c>
      <c r="J410" s="10">
        <v>0.29166666666666669</v>
      </c>
      <c r="K410" s="10">
        <v>0.3979166666666667</v>
      </c>
      <c r="L410" s="10">
        <f t="shared" si="20"/>
        <v>0.10625000000000001</v>
      </c>
      <c r="M410" s="12">
        <f t="shared" si="19"/>
        <v>2.5500000000000003</v>
      </c>
      <c r="N410" s="12">
        <f>Table35[[#This Row],[Trip Hours]]*Table35[[#This Row],['#Angler]]</f>
        <v>7.65</v>
      </c>
      <c r="O410" t="s">
        <v>28</v>
      </c>
      <c r="P410" t="s">
        <v>56</v>
      </c>
      <c r="Q410" t="s">
        <v>247</v>
      </c>
      <c r="R410" s="11">
        <v>0</v>
      </c>
      <c r="S410">
        <v>3</v>
      </c>
      <c r="T410">
        <v>0</v>
      </c>
      <c r="U410" s="11">
        <v>0</v>
      </c>
      <c r="V410">
        <v>0</v>
      </c>
      <c r="W410">
        <v>0</v>
      </c>
      <c r="X410" s="11">
        <f t="shared" si="21"/>
        <v>0</v>
      </c>
      <c r="Y410">
        <f t="shared" si="21"/>
        <v>3</v>
      </c>
      <c r="Z410">
        <f t="shared" si="21"/>
        <v>0</v>
      </c>
      <c r="AA410" s="11"/>
    </row>
    <row r="411" spans="1:27" x14ac:dyDescent="0.3">
      <c r="A411" s="7">
        <v>45577</v>
      </c>
      <c r="B411">
        <v>8</v>
      </c>
      <c r="C411" t="s">
        <v>250</v>
      </c>
      <c r="D411" t="s">
        <v>26</v>
      </c>
      <c r="E411">
        <v>9</v>
      </c>
      <c r="F411">
        <v>2</v>
      </c>
      <c r="G411">
        <v>2</v>
      </c>
      <c r="H411" t="s">
        <v>27</v>
      </c>
      <c r="I411">
        <v>1</v>
      </c>
      <c r="J411" s="10">
        <v>0.29166666666666669</v>
      </c>
      <c r="K411" s="10">
        <v>0.40138888888888885</v>
      </c>
      <c r="L411" s="10">
        <f t="shared" si="20"/>
        <v>0.10972222222222217</v>
      </c>
      <c r="M411" s="12">
        <f t="shared" si="19"/>
        <v>2.633333333333332</v>
      </c>
      <c r="N411" s="12">
        <f>Table35[[#This Row],[Trip Hours]]*Table35[[#This Row],['#Angler]]</f>
        <v>2.633333333333332</v>
      </c>
      <c r="O411" t="s">
        <v>25</v>
      </c>
      <c r="P411" t="s">
        <v>315</v>
      </c>
      <c r="Q411" t="s">
        <v>247</v>
      </c>
      <c r="R411" s="11">
        <v>0</v>
      </c>
      <c r="S411">
        <v>0</v>
      </c>
      <c r="T411">
        <v>0</v>
      </c>
      <c r="U411" s="11">
        <v>0</v>
      </c>
      <c r="V411">
        <v>1</v>
      </c>
      <c r="W411">
        <v>0</v>
      </c>
      <c r="X411" s="11">
        <f t="shared" si="21"/>
        <v>0</v>
      </c>
      <c r="Y411">
        <f t="shared" si="21"/>
        <v>1</v>
      </c>
      <c r="Z411">
        <f t="shared" si="21"/>
        <v>0</v>
      </c>
      <c r="AA411" s="11"/>
    </row>
    <row r="412" spans="1:27" x14ac:dyDescent="0.3">
      <c r="A412" s="7">
        <v>45577</v>
      </c>
      <c r="B412">
        <v>8</v>
      </c>
      <c r="C412" t="s">
        <v>250</v>
      </c>
      <c r="D412" t="s">
        <v>26</v>
      </c>
      <c r="E412">
        <v>10</v>
      </c>
      <c r="F412">
        <v>2</v>
      </c>
      <c r="G412">
        <v>2</v>
      </c>
      <c r="H412" t="s">
        <v>27</v>
      </c>
      <c r="I412">
        <v>3</v>
      </c>
      <c r="J412" s="10">
        <v>0.2986111111111111</v>
      </c>
      <c r="K412" s="10">
        <v>0.41041666666666665</v>
      </c>
      <c r="L412" s="10">
        <f t="shared" si="20"/>
        <v>0.11180555555555555</v>
      </c>
      <c r="M412" s="12">
        <f t="shared" si="19"/>
        <v>2.6833333333333331</v>
      </c>
      <c r="N412" s="12">
        <f>Table35[[#This Row],[Trip Hours]]*Table35[[#This Row],['#Angler]]</f>
        <v>8.0499999999999989</v>
      </c>
      <c r="O412" t="s">
        <v>28</v>
      </c>
      <c r="P412" t="s">
        <v>56</v>
      </c>
      <c r="Q412" t="s">
        <v>247</v>
      </c>
      <c r="R412" s="11">
        <v>0</v>
      </c>
      <c r="S412">
        <v>6</v>
      </c>
      <c r="T412">
        <v>0</v>
      </c>
      <c r="U412" s="11">
        <v>0</v>
      </c>
      <c r="V412">
        <v>0</v>
      </c>
      <c r="W412">
        <v>0</v>
      </c>
      <c r="X412" s="11">
        <f t="shared" si="21"/>
        <v>0</v>
      </c>
      <c r="Y412">
        <f t="shared" si="21"/>
        <v>6</v>
      </c>
      <c r="Z412">
        <f t="shared" si="21"/>
        <v>0</v>
      </c>
      <c r="AA412" s="11"/>
    </row>
    <row r="413" spans="1:27" x14ac:dyDescent="0.3">
      <c r="A413" s="7">
        <v>45577</v>
      </c>
      <c r="B413">
        <v>8</v>
      </c>
      <c r="C413" t="s">
        <v>250</v>
      </c>
      <c r="D413" t="s">
        <v>26</v>
      </c>
      <c r="E413">
        <v>11</v>
      </c>
      <c r="F413">
        <v>2</v>
      </c>
      <c r="G413">
        <v>2</v>
      </c>
      <c r="H413" t="s">
        <v>27</v>
      </c>
      <c r="I413">
        <v>1</v>
      </c>
      <c r="J413" s="10">
        <v>0.40277777777777773</v>
      </c>
      <c r="K413" s="10">
        <v>0.41180555555555554</v>
      </c>
      <c r="L413" s="10">
        <f t="shared" si="20"/>
        <v>9.0277777777778012E-3</v>
      </c>
      <c r="M413" s="12">
        <f t="shared" si="19"/>
        <v>0.21666666666666723</v>
      </c>
      <c r="N413" s="12">
        <f>Table35[[#This Row],[Trip Hours]]*Table35[[#This Row],['#Angler]]</f>
        <v>0.21666666666666723</v>
      </c>
      <c r="O413" t="s">
        <v>28</v>
      </c>
      <c r="P413" t="s">
        <v>298</v>
      </c>
      <c r="Q413" t="s">
        <v>247</v>
      </c>
      <c r="R413" s="11">
        <v>0</v>
      </c>
      <c r="S413">
        <v>0</v>
      </c>
      <c r="T413">
        <v>0</v>
      </c>
      <c r="U413" s="11">
        <v>0</v>
      </c>
      <c r="V413">
        <v>0</v>
      </c>
      <c r="W413">
        <v>0</v>
      </c>
      <c r="X413" s="11">
        <f t="shared" si="21"/>
        <v>0</v>
      </c>
      <c r="Y413">
        <f t="shared" si="21"/>
        <v>0</v>
      </c>
      <c r="Z413">
        <f t="shared" si="21"/>
        <v>0</v>
      </c>
      <c r="AA413" s="11"/>
    </row>
    <row r="414" spans="1:27" x14ac:dyDescent="0.3">
      <c r="A414" s="7">
        <v>45577</v>
      </c>
      <c r="B414">
        <v>8</v>
      </c>
      <c r="C414" t="s">
        <v>250</v>
      </c>
      <c r="D414" t="s">
        <v>26</v>
      </c>
      <c r="E414">
        <v>12</v>
      </c>
      <c r="F414">
        <v>2</v>
      </c>
      <c r="G414">
        <v>2</v>
      </c>
      <c r="H414" t="s">
        <v>27</v>
      </c>
      <c r="I414">
        <v>1</v>
      </c>
      <c r="J414" s="10">
        <v>0.22916666666666666</v>
      </c>
      <c r="K414" s="10">
        <v>0.41388888888888892</v>
      </c>
      <c r="L414" s="10">
        <f t="shared" si="20"/>
        <v>0.18472222222222226</v>
      </c>
      <c r="M414" s="12">
        <f t="shared" si="19"/>
        <v>4.4333333333333345</v>
      </c>
      <c r="N414" s="12">
        <f>Table35[[#This Row],[Trip Hours]]*Table35[[#This Row],['#Angler]]</f>
        <v>4.4333333333333345</v>
      </c>
      <c r="O414" t="s">
        <v>28</v>
      </c>
      <c r="P414" t="s">
        <v>56</v>
      </c>
      <c r="Q414" t="s">
        <v>241</v>
      </c>
      <c r="R414" s="11">
        <v>0</v>
      </c>
      <c r="S414">
        <v>0</v>
      </c>
      <c r="T414">
        <v>0</v>
      </c>
      <c r="U414" s="11">
        <v>0</v>
      </c>
      <c r="V414">
        <v>0</v>
      </c>
      <c r="W414">
        <v>0</v>
      </c>
      <c r="X414" s="11">
        <f t="shared" si="21"/>
        <v>0</v>
      </c>
      <c r="Y414">
        <f t="shared" si="21"/>
        <v>0</v>
      </c>
      <c r="Z414">
        <f t="shared" si="21"/>
        <v>0</v>
      </c>
      <c r="AA414" s="11"/>
    </row>
    <row r="415" spans="1:27" x14ac:dyDescent="0.3">
      <c r="A415" s="7">
        <v>45577</v>
      </c>
      <c r="B415">
        <v>8</v>
      </c>
      <c r="C415" t="s">
        <v>250</v>
      </c>
      <c r="D415" t="s">
        <v>26</v>
      </c>
      <c r="E415">
        <v>13</v>
      </c>
      <c r="F415">
        <v>2</v>
      </c>
      <c r="G415">
        <v>2</v>
      </c>
      <c r="H415" t="s">
        <v>27</v>
      </c>
      <c r="I415">
        <v>1</v>
      </c>
      <c r="J415" s="10">
        <v>0.29166666666666669</v>
      </c>
      <c r="K415" s="10">
        <v>0.41388888888888892</v>
      </c>
      <c r="L415" s="10">
        <f t="shared" si="20"/>
        <v>0.12222222222222223</v>
      </c>
      <c r="M415" s="12">
        <f t="shared" si="19"/>
        <v>2.9333333333333336</v>
      </c>
      <c r="N415" s="12">
        <f>Table35[[#This Row],[Trip Hours]]*Table35[[#This Row],['#Angler]]</f>
        <v>2.9333333333333336</v>
      </c>
      <c r="O415" t="s">
        <v>28</v>
      </c>
      <c r="P415" t="s">
        <v>56</v>
      </c>
      <c r="Q415" t="s">
        <v>247</v>
      </c>
      <c r="R415" s="11">
        <v>0</v>
      </c>
      <c r="S415">
        <v>1</v>
      </c>
      <c r="T415">
        <v>0</v>
      </c>
      <c r="U415" s="11">
        <v>0</v>
      </c>
      <c r="V415">
        <v>0</v>
      </c>
      <c r="W415">
        <v>0</v>
      </c>
      <c r="X415" s="11">
        <f t="shared" si="21"/>
        <v>0</v>
      </c>
      <c r="Y415">
        <f t="shared" si="21"/>
        <v>1</v>
      </c>
      <c r="Z415">
        <f t="shared" si="21"/>
        <v>0</v>
      </c>
      <c r="AA415" s="11"/>
    </row>
    <row r="416" spans="1:27" x14ac:dyDescent="0.3">
      <c r="A416" s="7">
        <v>45577</v>
      </c>
      <c r="B416">
        <v>8</v>
      </c>
      <c r="C416" t="s">
        <v>250</v>
      </c>
      <c r="D416" t="s">
        <v>26</v>
      </c>
      <c r="E416">
        <v>14</v>
      </c>
      <c r="F416">
        <v>2</v>
      </c>
      <c r="G416">
        <v>2</v>
      </c>
      <c r="H416" t="s">
        <v>27</v>
      </c>
      <c r="I416">
        <v>2</v>
      </c>
      <c r="J416" s="10">
        <v>0.29166666666666669</v>
      </c>
      <c r="K416" s="10">
        <v>0.41388888888888892</v>
      </c>
      <c r="L416" s="10">
        <f t="shared" si="20"/>
        <v>0.12222222222222223</v>
      </c>
      <c r="M416" s="12">
        <f t="shared" si="19"/>
        <v>2.9333333333333336</v>
      </c>
      <c r="N416" s="12">
        <f>Table35[[#This Row],[Trip Hours]]*Table35[[#This Row],['#Angler]]</f>
        <v>5.8666666666666671</v>
      </c>
      <c r="O416" t="s">
        <v>28</v>
      </c>
      <c r="P416" t="s">
        <v>56</v>
      </c>
      <c r="Q416" t="s">
        <v>238</v>
      </c>
      <c r="R416" s="11">
        <v>0</v>
      </c>
      <c r="S416">
        <v>2</v>
      </c>
      <c r="T416">
        <v>0</v>
      </c>
      <c r="U416" s="11">
        <v>0</v>
      </c>
      <c r="V416">
        <v>0</v>
      </c>
      <c r="W416">
        <v>0</v>
      </c>
      <c r="X416" s="11">
        <f t="shared" si="21"/>
        <v>0</v>
      </c>
      <c r="Y416">
        <f t="shared" si="21"/>
        <v>2</v>
      </c>
      <c r="Z416">
        <f t="shared" si="21"/>
        <v>0</v>
      </c>
      <c r="AA416" s="11"/>
    </row>
    <row r="417" spans="1:27" x14ac:dyDescent="0.3">
      <c r="A417" s="7">
        <v>45577</v>
      </c>
      <c r="B417">
        <v>8</v>
      </c>
      <c r="C417" t="s">
        <v>250</v>
      </c>
      <c r="D417" t="s">
        <v>26</v>
      </c>
      <c r="E417">
        <v>15</v>
      </c>
      <c r="F417">
        <v>2</v>
      </c>
      <c r="G417">
        <v>2</v>
      </c>
      <c r="H417" t="s">
        <v>27</v>
      </c>
      <c r="I417">
        <v>6</v>
      </c>
      <c r="J417" s="10">
        <v>0.29166666666666669</v>
      </c>
      <c r="K417" s="10">
        <v>0.4145833333333333</v>
      </c>
      <c r="L417" s="10">
        <f t="shared" si="20"/>
        <v>0.12291666666666662</v>
      </c>
      <c r="M417" s="12">
        <f t="shared" si="19"/>
        <v>2.9499999999999988</v>
      </c>
      <c r="N417" s="12">
        <f>Table35[[#This Row],[Trip Hours]]*Table35[[#This Row],['#Angler]]</f>
        <v>17.699999999999992</v>
      </c>
      <c r="O417" t="s">
        <v>28</v>
      </c>
      <c r="P417" t="s">
        <v>56</v>
      </c>
      <c r="Q417" t="s">
        <v>238</v>
      </c>
      <c r="R417" s="11">
        <v>0</v>
      </c>
      <c r="S417">
        <v>0</v>
      </c>
      <c r="T417">
        <v>0</v>
      </c>
      <c r="U417" s="11">
        <v>0</v>
      </c>
      <c r="V417">
        <v>0</v>
      </c>
      <c r="W417">
        <v>0</v>
      </c>
      <c r="X417" s="11">
        <f t="shared" si="21"/>
        <v>0</v>
      </c>
      <c r="Y417">
        <f t="shared" si="21"/>
        <v>0</v>
      </c>
      <c r="Z417">
        <f t="shared" si="21"/>
        <v>0</v>
      </c>
      <c r="AA417" s="11"/>
    </row>
    <row r="418" spans="1:27" x14ac:dyDescent="0.3">
      <c r="A418" s="7">
        <v>45577</v>
      </c>
      <c r="B418">
        <v>8</v>
      </c>
      <c r="C418" t="s">
        <v>250</v>
      </c>
      <c r="D418" t="s">
        <v>26</v>
      </c>
      <c r="E418">
        <v>16</v>
      </c>
      <c r="F418">
        <v>2</v>
      </c>
      <c r="G418">
        <v>2</v>
      </c>
      <c r="H418" t="s">
        <v>27</v>
      </c>
      <c r="I418">
        <v>2</v>
      </c>
      <c r="J418" s="10">
        <v>0.29166666666666669</v>
      </c>
      <c r="K418" s="10">
        <v>0.41805555555555557</v>
      </c>
      <c r="L418" s="10">
        <f t="shared" si="20"/>
        <v>0.12638888888888888</v>
      </c>
      <c r="M418" s="12">
        <f t="shared" si="19"/>
        <v>3.0333333333333332</v>
      </c>
      <c r="N418" s="12">
        <f>Table35[[#This Row],[Trip Hours]]*Table35[[#This Row],['#Angler]]</f>
        <v>6.0666666666666664</v>
      </c>
      <c r="O418" t="s">
        <v>25</v>
      </c>
      <c r="P418" t="s">
        <v>56</v>
      </c>
      <c r="Q418" t="s">
        <v>238</v>
      </c>
      <c r="R418" s="11">
        <v>0</v>
      </c>
      <c r="S418">
        <v>2</v>
      </c>
      <c r="T418">
        <v>0</v>
      </c>
      <c r="U418" s="11">
        <v>0</v>
      </c>
      <c r="V418">
        <v>0</v>
      </c>
      <c r="W418">
        <v>0</v>
      </c>
      <c r="X418" s="11">
        <f t="shared" si="21"/>
        <v>0</v>
      </c>
      <c r="Y418">
        <f t="shared" si="21"/>
        <v>2</v>
      </c>
      <c r="Z418">
        <f t="shared" si="21"/>
        <v>0</v>
      </c>
      <c r="AA418" s="11"/>
    </row>
    <row r="419" spans="1:27" x14ac:dyDescent="0.3">
      <c r="A419" s="7">
        <v>45577</v>
      </c>
      <c r="B419">
        <v>8</v>
      </c>
      <c r="C419" t="s">
        <v>250</v>
      </c>
      <c r="D419" t="s">
        <v>26</v>
      </c>
      <c r="E419">
        <v>17</v>
      </c>
      <c r="F419">
        <v>2</v>
      </c>
      <c r="G419">
        <v>2</v>
      </c>
      <c r="H419" t="s">
        <v>27</v>
      </c>
      <c r="I419">
        <v>1</v>
      </c>
      <c r="J419" s="10">
        <v>0.375</v>
      </c>
      <c r="K419" s="10">
        <v>0.41805555555555557</v>
      </c>
      <c r="L419" s="10">
        <f t="shared" si="20"/>
        <v>4.3055555555555569E-2</v>
      </c>
      <c r="M419" s="12">
        <f t="shared" si="19"/>
        <v>1.0333333333333337</v>
      </c>
      <c r="N419" s="12">
        <f>Table35[[#This Row],[Trip Hours]]*Table35[[#This Row],['#Angler]]</f>
        <v>1.0333333333333337</v>
      </c>
      <c r="O419" t="s">
        <v>25</v>
      </c>
      <c r="P419" t="s">
        <v>56</v>
      </c>
      <c r="Q419" t="s">
        <v>247</v>
      </c>
      <c r="R419" s="11">
        <v>0</v>
      </c>
      <c r="S419">
        <v>0</v>
      </c>
      <c r="T419">
        <v>0</v>
      </c>
      <c r="U419" s="11">
        <v>0</v>
      </c>
      <c r="V419">
        <v>0</v>
      </c>
      <c r="W419">
        <v>0</v>
      </c>
      <c r="X419" s="11">
        <f t="shared" si="21"/>
        <v>0</v>
      </c>
      <c r="Y419">
        <f t="shared" si="21"/>
        <v>0</v>
      </c>
      <c r="Z419">
        <f t="shared" si="21"/>
        <v>0</v>
      </c>
      <c r="AA419" s="11"/>
    </row>
    <row r="420" spans="1:27" x14ac:dyDescent="0.3">
      <c r="A420" s="7">
        <v>45577</v>
      </c>
      <c r="B420">
        <v>8</v>
      </c>
      <c r="C420" t="s">
        <v>250</v>
      </c>
      <c r="D420" t="s">
        <v>26</v>
      </c>
      <c r="E420">
        <v>18</v>
      </c>
      <c r="F420">
        <v>2</v>
      </c>
      <c r="G420">
        <v>2</v>
      </c>
      <c r="H420" t="s">
        <v>27</v>
      </c>
      <c r="I420">
        <v>3</v>
      </c>
      <c r="J420" s="10">
        <v>0.26666666666666666</v>
      </c>
      <c r="K420" s="10">
        <v>0.43611111111111112</v>
      </c>
      <c r="L420" s="10">
        <f t="shared" si="20"/>
        <v>0.16944444444444445</v>
      </c>
      <c r="M420" s="12">
        <f t="shared" si="19"/>
        <v>4.0666666666666664</v>
      </c>
      <c r="N420" s="12">
        <f>Table35[[#This Row],[Trip Hours]]*Table35[[#This Row],['#Angler]]</f>
        <v>12.2</v>
      </c>
      <c r="O420" t="s">
        <v>25</v>
      </c>
      <c r="P420" t="s">
        <v>56</v>
      </c>
      <c r="Q420" t="s">
        <v>247</v>
      </c>
      <c r="R420" s="11">
        <v>0</v>
      </c>
      <c r="S420">
        <v>3</v>
      </c>
      <c r="T420">
        <v>0</v>
      </c>
      <c r="U420" s="11">
        <v>0</v>
      </c>
      <c r="V420">
        <v>1</v>
      </c>
      <c r="W420">
        <v>0</v>
      </c>
      <c r="X420" s="11">
        <f t="shared" si="21"/>
        <v>0</v>
      </c>
      <c r="Y420">
        <f t="shared" si="21"/>
        <v>4</v>
      </c>
      <c r="Z420">
        <f t="shared" si="21"/>
        <v>0</v>
      </c>
      <c r="AA420" s="11"/>
    </row>
    <row r="421" spans="1:27" x14ac:dyDescent="0.3">
      <c r="A421" s="7">
        <v>45577</v>
      </c>
      <c r="B421">
        <v>8</v>
      </c>
      <c r="C421" t="s">
        <v>250</v>
      </c>
      <c r="D421" t="s">
        <v>26</v>
      </c>
      <c r="E421">
        <v>19</v>
      </c>
      <c r="F421">
        <v>2</v>
      </c>
      <c r="G421">
        <v>2</v>
      </c>
      <c r="H421" t="s">
        <v>27</v>
      </c>
      <c r="I421">
        <v>2</v>
      </c>
      <c r="J421" s="10">
        <v>0.29166666666666669</v>
      </c>
      <c r="K421" s="10">
        <v>0.44791666666666669</v>
      </c>
      <c r="L421" s="10">
        <f t="shared" si="20"/>
        <v>0.15625</v>
      </c>
      <c r="M421" s="12">
        <f t="shared" si="19"/>
        <v>3.75</v>
      </c>
      <c r="N421" s="12">
        <f>Table35[[#This Row],[Trip Hours]]*Table35[[#This Row],['#Angler]]</f>
        <v>7.5</v>
      </c>
      <c r="O421" t="s">
        <v>28</v>
      </c>
      <c r="P421" t="s">
        <v>91</v>
      </c>
      <c r="Q421" t="s">
        <v>247</v>
      </c>
      <c r="R421" s="11">
        <v>0</v>
      </c>
      <c r="S421">
        <v>1</v>
      </c>
      <c r="T421">
        <v>0</v>
      </c>
      <c r="U421" s="11">
        <v>0</v>
      </c>
      <c r="V421">
        <v>0</v>
      </c>
      <c r="W421">
        <v>0</v>
      </c>
      <c r="X421" s="11">
        <f t="shared" si="21"/>
        <v>0</v>
      </c>
      <c r="Y421">
        <f t="shared" si="21"/>
        <v>1</v>
      </c>
      <c r="Z421">
        <f t="shared" si="21"/>
        <v>0</v>
      </c>
      <c r="AA421" s="11"/>
    </row>
    <row r="422" spans="1:27" x14ac:dyDescent="0.3">
      <c r="A422" s="7">
        <v>45577</v>
      </c>
      <c r="B422">
        <v>8</v>
      </c>
      <c r="C422" t="s">
        <v>250</v>
      </c>
      <c r="D422" t="s">
        <v>26</v>
      </c>
      <c r="E422">
        <v>20</v>
      </c>
      <c r="F422">
        <v>2</v>
      </c>
      <c r="G422">
        <v>2</v>
      </c>
      <c r="H422" t="s">
        <v>27</v>
      </c>
      <c r="I422">
        <v>1</v>
      </c>
      <c r="J422" s="10">
        <v>0.3125</v>
      </c>
      <c r="K422" s="10">
        <v>0.45</v>
      </c>
      <c r="L422" s="10">
        <f t="shared" si="20"/>
        <v>0.13750000000000001</v>
      </c>
      <c r="M422" s="12">
        <f t="shared" si="19"/>
        <v>3.3000000000000003</v>
      </c>
      <c r="N422" s="12">
        <f>Table35[[#This Row],[Trip Hours]]*Table35[[#This Row],['#Angler]]</f>
        <v>3.3000000000000003</v>
      </c>
      <c r="O422" t="s">
        <v>28</v>
      </c>
      <c r="P422" t="s">
        <v>56</v>
      </c>
      <c r="Q422" t="s">
        <v>247</v>
      </c>
      <c r="R422" s="11">
        <v>0</v>
      </c>
      <c r="S422">
        <v>0</v>
      </c>
      <c r="T422">
        <v>0</v>
      </c>
      <c r="U422" s="11">
        <v>0</v>
      </c>
      <c r="V422">
        <v>0</v>
      </c>
      <c r="W422">
        <v>0</v>
      </c>
      <c r="X422" s="11">
        <f t="shared" si="21"/>
        <v>0</v>
      </c>
      <c r="Y422">
        <f t="shared" si="21"/>
        <v>0</v>
      </c>
      <c r="Z422">
        <f t="shared" si="21"/>
        <v>0</v>
      </c>
      <c r="AA422" s="11"/>
    </row>
    <row r="423" spans="1:27" x14ac:dyDescent="0.3">
      <c r="A423" s="7">
        <v>45577</v>
      </c>
      <c r="B423">
        <v>8</v>
      </c>
      <c r="C423" t="s">
        <v>250</v>
      </c>
      <c r="D423" t="s">
        <v>26</v>
      </c>
      <c r="E423">
        <v>21</v>
      </c>
      <c r="F423">
        <v>2</v>
      </c>
      <c r="G423">
        <v>2</v>
      </c>
      <c r="H423" t="s">
        <v>27</v>
      </c>
      <c r="I423">
        <v>2</v>
      </c>
      <c r="J423" s="10">
        <v>0.4375</v>
      </c>
      <c r="K423" s="10">
        <v>0.4513888888888889</v>
      </c>
      <c r="L423" s="10">
        <f t="shared" si="20"/>
        <v>1.3888888888888895E-2</v>
      </c>
      <c r="M423" s="12">
        <f t="shared" si="19"/>
        <v>0.33333333333333348</v>
      </c>
      <c r="N423" s="12">
        <f>Table35[[#This Row],[Trip Hours]]*Table35[[#This Row],['#Angler]]</f>
        <v>0.66666666666666696</v>
      </c>
      <c r="O423" t="s">
        <v>28</v>
      </c>
      <c r="P423" t="s">
        <v>51</v>
      </c>
      <c r="Q423" t="s">
        <v>247</v>
      </c>
      <c r="R423" s="11">
        <v>0</v>
      </c>
      <c r="S423">
        <v>0</v>
      </c>
      <c r="T423">
        <v>0</v>
      </c>
      <c r="U423" s="11">
        <v>0</v>
      </c>
      <c r="V423">
        <v>0</v>
      </c>
      <c r="W423">
        <v>0</v>
      </c>
      <c r="X423" s="11">
        <f t="shared" si="21"/>
        <v>0</v>
      </c>
      <c r="Y423">
        <f t="shared" si="21"/>
        <v>0</v>
      </c>
      <c r="Z423">
        <f t="shared" si="21"/>
        <v>0</v>
      </c>
      <c r="AA423" s="11"/>
    </row>
    <row r="424" spans="1:27" x14ac:dyDescent="0.3">
      <c r="A424" s="7">
        <v>45577</v>
      </c>
      <c r="B424">
        <v>8</v>
      </c>
      <c r="C424" t="s">
        <v>250</v>
      </c>
      <c r="D424" t="s">
        <v>26</v>
      </c>
      <c r="E424">
        <v>22</v>
      </c>
      <c r="F424">
        <v>2</v>
      </c>
      <c r="G424">
        <v>2</v>
      </c>
      <c r="H424" t="s">
        <v>27</v>
      </c>
      <c r="I424">
        <v>1</v>
      </c>
      <c r="J424" s="10">
        <v>0.42708333333333331</v>
      </c>
      <c r="K424" s="10">
        <v>0.45277777777777778</v>
      </c>
      <c r="L424" s="10">
        <f t="shared" si="20"/>
        <v>2.5694444444444464E-2</v>
      </c>
      <c r="M424" s="12">
        <f t="shared" si="19"/>
        <v>0.61666666666666714</v>
      </c>
      <c r="N424" s="12">
        <f>Table35[[#This Row],[Trip Hours]]*Table35[[#This Row],['#Angler]]</f>
        <v>0.61666666666666714</v>
      </c>
      <c r="O424" t="s">
        <v>28</v>
      </c>
      <c r="P424" t="s">
        <v>73</v>
      </c>
      <c r="Q424" t="s">
        <v>247</v>
      </c>
      <c r="R424" s="11">
        <v>0</v>
      </c>
      <c r="S424">
        <v>0</v>
      </c>
      <c r="T424">
        <v>0</v>
      </c>
      <c r="U424" s="11">
        <v>0</v>
      </c>
      <c r="V424">
        <v>0</v>
      </c>
      <c r="W424">
        <v>0</v>
      </c>
      <c r="X424" s="11">
        <f t="shared" si="21"/>
        <v>0</v>
      </c>
      <c r="Y424">
        <f t="shared" si="21"/>
        <v>0</v>
      </c>
      <c r="Z424">
        <f t="shared" si="21"/>
        <v>0</v>
      </c>
      <c r="AA424" s="11"/>
    </row>
    <row r="425" spans="1:27" x14ac:dyDescent="0.3">
      <c r="A425" s="7">
        <v>45577</v>
      </c>
      <c r="B425">
        <v>8</v>
      </c>
      <c r="C425" t="s">
        <v>250</v>
      </c>
      <c r="D425" t="s">
        <v>26</v>
      </c>
      <c r="E425">
        <v>23</v>
      </c>
      <c r="F425">
        <v>2</v>
      </c>
      <c r="G425">
        <v>2</v>
      </c>
      <c r="H425" t="s">
        <v>27</v>
      </c>
      <c r="I425">
        <v>1</v>
      </c>
      <c r="J425" s="10">
        <v>0.42708333333333331</v>
      </c>
      <c r="K425" s="10">
        <v>0.45277777777777778</v>
      </c>
      <c r="L425" s="10">
        <f t="shared" si="20"/>
        <v>2.5694444444444464E-2</v>
      </c>
      <c r="M425" s="12">
        <f t="shared" si="19"/>
        <v>0.61666666666666714</v>
      </c>
      <c r="N425" s="12">
        <f>Table35[[#This Row],[Trip Hours]]*Table35[[#This Row],['#Angler]]</f>
        <v>0.61666666666666714</v>
      </c>
      <c r="O425" t="s">
        <v>28</v>
      </c>
      <c r="P425" t="s">
        <v>258</v>
      </c>
      <c r="Q425" t="s">
        <v>241</v>
      </c>
      <c r="R425" s="11">
        <v>0</v>
      </c>
      <c r="S425">
        <v>0</v>
      </c>
      <c r="T425">
        <v>0</v>
      </c>
      <c r="U425" s="11">
        <v>0</v>
      </c>
      <c r="V425">
        <v>0</v>
      </c>
      <c r="W425">
        <v>0</v>
      </c>
      <c r="X425" s="11">
        <f t="shared" si="21"/>
        <v>0</v>
      </c>
      <c r="Y425">
        <f t="shared" si="21"/>
        <v>0</v>
      </c>
      <c r="Z425">
        <f t="shared" si="21"/>
        <v>0</v>
      </c>
      <c r="AA425" s="11"/>
    </row>
    <row r="426" spans="1:27" x14ac:dyDescent="0.3">
      <c r="A426" s="7">
        <v>45577</v>
      </c>
      <c r="B426">
        <v>8</v>
      </c>
      <c r="C426" t="s">
        <v>250</v>
      </c>
      <c r="D426" t="s">
        <v>26</v>
      </c>
      <c r="E426">
        <v>24</v>
      </c>
      <c r="F426">
        <v>2</v>
      </c>
      <c r="G426">
        <v>4</v>
      </c>
      <c r="H426" t="s">
        <v>27</v>
      </c>
      <c r="I426">
        <v>1</v>
      </c>
      <c r="J426" s="10">
        <v>0.41666666666666669</v>
      </c>
      <c r="K426" s="10">
        <v>0.46319444444444446</v>
      </c>
      <c r="L426" s="10">
        <f t="shared" si="20"/>
        <v>4.6527777777777779E-2</v>
      </c>
      <c r="M426" s="12">
        <f t="shared" si="19"/>
        <v>1.1166666666666667</v>
      </c>
      <c r="N426" s="12">
        <f>Table35[[#This Row],[Trip Hours]]*Table35[[#This Row],['#Angler]]</f>
        <v>1.1166666666666667</v>
      </c>
      <c r="O426" t="s">
        <v>28</v>
      </c>
      <c r="P426" t="s">
        <v>56</v>
      </c>
      <c r="Q426" t="s">
        <v>247</v>
      </c>
      <c r="R426" s="11">
        <v>0</v>
      </c>
      <c r="S426">
        <v>0</v>
      </c>
      <c r="T426">
        <v>0</v>
      </c>
      <c r="U426" s="11">
        <v>0</v>
      </c>
      <c r="V426">
        <v>0</v>
      </c>
      <c r="W426">
        <v>0</v>
      </c>
      <c r="X426" s="11">
        <f t="shared" si="21"/>
        <v>0</v>
      </c>
      <c r="Y426">
        <f t="shared" si="21"/>
        <v>0</v>
      </c>
      <c r="Z426">
        <f t="shared" si="21"/>
        <v>0</v>
      </c>
      <c r="AA426" s="11"/>
    </row>
    <row r="427" spans="1:27" x14ac:dyDescent="0.3">
      <c r="A427" s="7">
        <v>45577</v>
      </c>
      <c r="B427">
        <v>8</v>
      </c>
      <c r="C427" t="s">
        <v>250</v>
      </c>
      <c r="D427" t="s">
        <v>42</v>
      </c>
      <c r="E427">
        <v>25</v>
      </c>
      <c r="F427">
        <v>3</v>
      </c>
      <c r="G427">
        <v>8</v>
      </c>
      <c r="H427" t="s">
        <v>27</v>
      </c>
      <c r="I427">
        <v>4</v>
      </c>
      <c r="J427" s="10">
        <v>0.71875</v>
      </c>
      <c r="K427" s="10">
        <v>0.76944444444444438</v>
      </c>
      <c r="L427" s="10">
        <f t="shared" si="20"/>
        <v>5.0694444444444375E-2</v>
      </c>
      <c r="M427" s="12">
        <f t="shared" si="19"/>
        <v>1.216666666666665</v>
      </c>
      <c r="N427" s="12">
        <f>Table35[[#This Row],[Trip Hours]]*Table35[[#This Row],['#Angler]]</f>
        <v>4.86666666666666</v>
      </c>
      <c r="O427" t="s">
        <v>25</v>
      </c>
      <c r="P427" t="s">
        <v>207</v>
      </c>
      <c r="Q427" t="s">
        <v>238</v>
      </c>
      <c r="R427" s="11">
        <v>0</v>
      </c>
      <c r="S427">
        <v>0</v>
      </c>
      <c r="T427">
        <v>0</v>
      </c>
      <c r="U427" s="11">
        <v>1</v>
      </c>
      <c r="V427">
        <v>0</v>
      </c>
      <c r="W427">
        <v>0</v>
      </c>
      <c r="X427" s="11">
        <f t="shared" si="21"/>
        <v>1</v>
      </c>
      <c r="Y427">
        <f t="shared" si="21"/>
        <v>0</v>
      </c>
      <c r="Z427">
        <f t="shared" si="21"/>
        <v>0</v>
      </c>
      <c r="AA427" s="11"/>
    </row>
    <row r="428" spans="1:27" x14ac:dyDescent="0.3">
      <c r="A428" s="7">
        <v>45577</v>
      </c>
      <c r="B428">
        <v>8</v>
      </c>
      <c r="C428" t="s">
        <v>250</v>
      </c>
      <c r="D428" t="s">
        <v>42</v>
      </c>
      <c r="E428">
        <v>26</v>
      </c>
      <c r="F428">
        <v>3</v>
      </c>
      <c r="G428">
        <v>8</v>
      </c>
      <c r="H428" t="s">
        <v>27</v>
      </c>
      <c r="I428">
        <v>1</v>
      </c>
      <c r="J428" s="10">
        <v>0.72916666666666663</v>
      </c>
      <c r="K428" s="10">
        <v>0.77083333333333337</v>
      </c>
      <c r="L428" s="10">
        <f t="shared" si="20"/>
        <v>4.1666666666666741E-2</v>
      </c>
      <c r="M428" s="12">
        <f t="shared" si="19"/>
        <v>1.0000000000000018</v>
      </c>
      <c r="N428" s="12">
        <f>Table35[[#This Row],[Trip Hours]]*Table35[[#This Row],['#Angler]]</f>
        <v>1.0000000000000018</v>
      </c>
      <c r="O428" t="s">
        <v>25</v>
      </c>
      <c r="P428" t="s">
        <v>49</v>
      </c>
      <c r="Q428" t="s">
        <v>238</v>
      </c>
      <c r="R428" s="11">
        <v>0</v>
      </c>
      <c r="S428">
        <v>0</v>
      </c>
      <c r="T428">
        <v>0</v>
      </c>
      <c r="U428" s="11">
        <v>0</v>
      </c>
      <c r="V428">
        <v>0</v>
      </c>
      <c r="W428">
        <v>0</v>
      </c>
      <c r="X428" s="11">
        <f t="shared" si="21"/>
        <v>0</v>
      </c>
      <c r="Y428">
        <f t="shared" si="21"/>
        <v>0</v>
      </c>
      <c r="Z428">
        <f t="shared" si="21"/>
        <v>0</v>
      </c>
      <c r="AA428" s="11"/>
    </row>
    <row r="429" spans="1:27" x14ac:dyDescent="0.3">
      <c r="A429" s="7">
        <v>45577</v>
      </c>
      <c r="B429">
        <v>8</v>
      </c>
      <c r="C429" t="s">
        <v>250</v>
      </c>
      <c r="D429" t="s">
        <v>42</v>
      </c>
      <c r="E429">
        <v>27</v>
      </c>
      <c r="F429">
        <v>3</v>
      </c>
      <c r="G429">
        <v>8</v>
      </c>
      <c r="H429" t="s">
        <v>27</v>
      </c>
      <c r="I429">
        <v>2</v>
      </c>
      <c r="J429" s="10">
        <v>0.70833333333333337</v>
      </c>
      <c r="K429" s="10">
        <v>0.7715277777777777</v>
      </c>
      <c r="L429" s="10">
        <f t="shared" si="20"/>
        <v>6.3194444444444331E-2</v>
      </c>
      <c r="M429" s="12">
        <f t="shared" si="19"/>
        <v>1.5166666666666639</v>
      </c>
      <c r="N429" s="12">
        <f>Table35[[#This Row],[Trip Hours]]*Table35[[#This Row],['#Angler]]</f>
        <v>3.0333333333333279</v>
      </c>
      <c r="O429" t="s">
        <v>25</v>
      </c>
      <c r="P429" t="s">
        <v>82</v>
      </c>
      <c r="Q429" t="s">
        <v>247</v>
      </c>
      <c r="R429" s="11">
        <v>0</v>
      </c>
      <c r="S429">
        <v>0</v>
      </c>
      <c r="T429">
        <v>0</v>
      </c>
      <c r="U429" s="11">
        <v>0</v>
      </c>
      <c r="V429">
        <v>0</v>
      </c>
      <c r="W429">
        <v>0</v>
      </c>
      <c r="X429" s="11">
        <f t="shared" si="21"/>
        <v>0</v>
      </c>
      <c r="Y429">
        <f t="shared" si="21"/>
        <v>0</v>
      </c>
      <c r="Z429">
        <f t="shared" si="21"/>
        <v>0</v>
      </c>
      <c r="AA429" s="11"/>
    </row>
    <row r="430" spans="1:27" x14ac:dyDescent="0.3">
      <c r="A430" s="7">
        <v>45581</v>
      </c>
      <c r="B430">
        <v>9</v>
      </c>
      <c r="C430" t="s">
        <v>236</v>
      </c>
      <c r="D430" t="s">
        <v>26</v>
      </c>
      <c r="E430">
        <v>1</v>
      </c>
      <c r="F430">
        <v>2</v>
      </c>
      <c r="G430">
        <v>1</v>
      </c>
      <c r="H430" t="s">
        <v>27</v>
      </c>
      <c r="I430">
        <v>1</v>
      </c>
      <c r="J430" s="10">
        <v>0.37152777777777773</v>
      </c>
      <c r="K430" s="10">
        <v>0.37638888888888888</v>
      </c>
      <c r="L430" s="10">
        <f t="shared" si="20"/>
        <v>4.8611111111111494E-3</v>
      </c>
      <c r="M430" s="12">
        <f t="shared" si="19"/>
        <v>0.11666666666666758</v>
      </c>
      <c r="N430" s="12">
        <f>Table35[[#This Row],[Trip Hours]]*Table35[[#This Row],['#Angler]]</f>
        <v>0.11666666666666758</v>
      </c>
      <c r="O430" t="s">
        <v>28</v>
      </c>
      <c r="P430" t="s">
        <v>56</v>
      </c>
      <c r="Q430" t="s">
        <v>247</v>
      </c>
      <c r="R430" s="11">
        <v>0</v>
      </c>
      <c r="S430">
        <v>0</v>
      </c>
      <c r="T430">
        <v>0</v>
      </c>
      <c r="U430" s="11">
        <v>0</v>
      </c>
      <c r="V430">
        <v>0</v>
      </c>
      <c r="W430">
        <v>0</v>
      </c>
      <c r="X430" s="11">
        <f t="shared" si="21"/>
        <v>0</v>
      </c>
      <c r="Y430">
        <f t="shared" si="21"/>
        <v>0</v>
      </c>
      <c r="Z430">
        <f t="shared" si="21"/>
        <v>0</v>
      </c>
      <c r="AA430" s="11"/>
    </row>
    <row r="431" spans="1:27" x14ac:dyDescent="0.3">
      <c r="A431" s="7">
        <v>45581</v>
      </c>
      <c r="B431">
        <v>9</v>
      </c>
      <c r="C431" t="s">
        <v>236</v>
      </c>
      <c r="D431" t="s">
        <v>26</v>
      </c>
      <c r="E431">
        <v>2</v>
      </c>
      <c r="F431">
        <v>2</v>
      </c>
      <c r="G431">
        <v>1</v>
      </c>
      <c r="H431" t="s">
        <v>27</v>
      </c>
      <c r="I431">
        <v>1</v>
      </c>
      <c r="J431" s="10">
        <v>0.3125</v>
      </c>
      <c r="K431" s="10">
        <v>0.37777777777777777</v>
      </c>
      <c r="L431" s="10">
        <f t="shared" si="20"/>
        <v>6.5277777777777768E-2</v>
      </c>
      <c r="M431" s="12">
        <f t="shared" si="19"/>
        <v>1.5666666666666664</v>
      </c>
      <c r="N431" s="12">
        <f>Table35[[#This Row],[Trip Hours]]*Table35[[#This Row],['#Angler]]</f>
        <v>1.5666666666666664</v>
      </c>
      <c r="O431" t="s">
        <v>28</v>
      </c>
      <c r="P431" t="s">
        <v>294</v>
      </c>
      <c r="Q431" t="s">
        <v>241</v>
      </c>
      <c r="R431" s="11">
        <v>0</v>
      </c>
      <c r="S431">
        <v>0</v>
      </c>
      <c r="T431">
        <v>0</v>
      </c>
      <c r="U431" s="11">
        <v>0</v>
      </c>
      <c r="V431">
        <v>0</v>
      </c>
      <c r="W431">
        <v>0</v>
      </c>
      <c r="X431" s="11">
        <f t="shared" si="21"/>
        <v>0</v>
      </c>
      <c r="Y431">
        <f t="shared" si="21"/>
        <v>0</v>
      </c>
      <c r="Z431">
        <f t="shared" si="21"/>
        <v>0</v>
      </c>
      <c r="AA431" s="11"/>
    </row>
    <row r="432" spans="1:27" x14ac:dyDescent="0.3">
      <c r="A432" s="7">
        <v>45581</v>
      </c>
      <c r="B432">
        <v>9</v>
      </c>
      <c r="C432" t="s">
        <v>236</v>
      </c>
      <c r="D432" t="s">
        <v>26</v>
      </c>
      <c r="E432">
        <v>3</v>
      </c>
      <c r="F432">
        <v>2</v>
      </c>
      <c r="G432">
        <v>1</v>
      </c>
      <c r="H432" t="s">
        <v>27</v>
      </c>
      <c r="I432">
        <v>1</v>
      </c>
      <c r="J432" s="10">
        <v>0.35416666666666669</v>
      </c>
      <c r="K432" s="10">
        <v>0.37916666666666665</v>
      </c>
      <c r="L432" s="10">
        <f t="shared" si="20"/>
        <v>2.4999999999999967E-2</v>
      </c>
      <c r="M432" s="12">
        <f t="shared" si="19"/>
        <v>0.5999999999999992</v>
      </c>
      <c r="N432" s="12">
        <f>Table35[[#This Row],[Trip Hours]]*Table35[[#This Row],['#Angler]]</f>
        <v>0.5999999999999992</v>
      </c>
      <c r="O432" t="s">
        <v>28</v>
      </c>
      <c r="P432" t="s">
        <v>56</v>
      </c>
      <c r="Q432" t="s">
        <v>311</v>
      </c>
      <c r="R432" s="11">
        <v>0</v>
      </c>
      <c r="S432">
        <v>0</v>
      </c>
      <c r="T432">
        <v>0</v>
      </c>
      <c r="U432" s="11">
        <v>0</v>
      </c>
      <c r="V432">
        <v>0</v>
      </c>
      <c r="W432">
        <v>0</v>
      </c>
      <c r="X432" s="11">
        <f t="shared" si="21"/>
        <v>0</v>
      </c>
      <c r="Y432">
        <f t="shared" si="21"/>
        <v>0</v>
      </c>
      <c r="Z432">
        <f t="shared" si="21"/>
        <v>0</v>
      </c>
      <c r="AA432" s="11"/>
    </row>
    <row r="433" spans="1:27" x14ac:dyDescent="0.3">
      <c r="A433" s="7">
        <v>45581</v>
      </c>
      <c r="B433">
        <v>9</v>
      </c>
      <c r="C433" t="s">
        <v>236</v>
      </c>
      <c r="D433" t="s">
        <v>26</v>
      </c>
      <c r="E433">
        <v>4</v>
      </c>
      <c r="F433">
        <v>2</v>
      </c>
      <c r="G433">
        <v>1</v>
      </c>
      <c r="H433" t="s">
        <v>27</v>
      </c>
      <c r="I433">
        <v>2</v>
      </c>
      <c r="J433" s="10">
        <v>0.30555555555555552</v>
      </c>
      <c r="K433" s="10">
        <v>0.37986111111111115</v>
      </c>
      <c r="L433" s="10">
        <f t="shared" si="20"/>
        <v>7.4305555555555625E-2</v>
      </c>
      <c r="M433" s="12">
        <f t="shared" si="19"/>
        <v>1.783333333333335</v>
      </c>
      <c r="N433" s="12">
        <f>Table35[[#This Row],[Trip Hours]]*Table35[[#This Row],['#Angler]]</f>
        <v>3.56666666666667</v>
      </c>
      <c r="O433" t="s">
        <v>28</v>
      </c>
      <c r="P433" t="s">
        <v>318</v>
      </c>
      <c r="Q433" t="s">
        <v>247</v>
      </c>
      <c r="R433" s="11">
        <v>0</v>
      </c>
      <c r="S433">
        <v>0</v>
      </c>
      <c r="T433">
        <v>0</v>
      </c>
      <c r="U433" s="11">
        <v>0</v>
      </c>
      <c r="V433">
        <v>0</v>
      </c>
      <c r="W433">
        <v>0</v>
      </c>
      <c r="X433" s="11">
        <f t="shared" si="21"/>
        <v>0</v>
      </c>
      <c r="Y433">
        <f t="shared" si="21"/>
        <v>0</v>
      </c>
      <c r="Z433">
        <f t="shared" si="21"/>
        <v>0</v>
      </c>
      <c r="AA433" s="11"/>
    </row>
    <row r="434" spans="1:27" x14ac:dyDescent="0.3">
      <c r="A434" s="7">
        <v>45581</v>
      </c>
      <c r="B434">
        <v>9</v>
      </c>
      <c r="C434" t="s">
        <v>236</v>
      </c>
      <c r="D434" t="s">
        <v>26</v>
      </c>
      <c r="E434">
        <v>5</v>
      </c>
      <c r="F434">
        <v>2</v>
      </c>
      <c r="G434">
        <v>1</v>
      </c>
      <c r="H434" t="s">
        <v>27</v>
      </c>
      <c r="I434">
        <v>2</v>
      </c>
      <c r="J434" s="10">
        <v>0.3125</v>
      </c>
      <c r="K434" s="10">
        <v>0.38055555555555554</v>
      </c>
      <c r="L434" s="10">
        <f t="shared" si="20"/>
        <v>6.8055555555555536E-2</v>
      </c>
      <c r="M434" s="12">
        <f t="shared" si="19"/>
        <v>1.6333333333333329</v>
      </c>
      <c r="N434" s="12">
        <f>Table35[[#This Row],[Trip Hours]]*Table35[[#This Row],['#Angler]]</f>
        <v>3.2666666666666657</v>
      </c>
      <c r="O434" t="s">
        <v>28</v>
      </c>
      <c r="P434" t="s">
        <v>56</v>
      </c>
      <c r="Q434" t="s">
        <v>247</v>
      </c>
      <c r="R434" s="11">
        <v>0</v>
      </c>
      <c r="S434">
        <v>0</v>
      </c>
      <c r="T434">
        <v>0</v>
      </c>
      <c r="U434" s="11">
        <v>0</v>
      </c>
      <c r="V434">
        <v>0</v>
      </c>
      <c r="W434">
        <v>0</v>
      </c>
      <c r="X434" s="11">
        <f t="shared" si="21"/>
        <v>0</v>
      </c>
      <c r="Y434">
        <f t="shared" si="21"/>
        <v>0</v>
      </c>
      <c r="Z434">
        <f t="shared" si="21"/>
        <v>0</v>
      </c>
      <c r="AA434" s="11"/>
    </row>
    <row r="435" spans="1:27" x14ac:dyDescent="0.3">
      <c r="A435" s="7">
        <v>45581</v>
      </c>
      <c r="B435">
        <v>9</v>
      </c>
      <c r="C435" t="s">
        <v>236</v>
      </c>
      <c r="D435" t="s">
        <v>26</v>
      </c>
      <c r="E435">
        <v>6</v>
      </c>
      <c r="F435">
        <v>2</v>
      </c>
      <c r="G435">
        <v>2</v>
      </c>
      <c r="H435" t="s">
        <v>27</v>
      </c>
      <c r="I435">
        <v>1</v>
      </c>
      <c r="J435" s="10">
        <v>0.33333333333333331</v>
      </c>
      <c r="K435" s="10">
        <v>0.38541666666666669</v>
      </c>
      <c r="L435" s="10">
        <f t="shared" si="20"/>
        <v>5.208333333333337E-2</v>
      </c>
      <c r="M435" s="12">
        <f t="shared" si="19"/>
        <v>1.2500000000000009</v>
      </c>
      <c r="N435" s="12">
        <f>Table35[[#This Row],[Trip Hours]]*Table35[[#This Row],['#Angler]]</f>
        <v>1.2500000000000009</v>
      </c>
      <c r="O435" t="s">
        <v>28</v>
      </c>
      <c r="P435" t="s">
        <v>56</v>
      </c>
      <c r="Q435" t="s">
        <v>247</v>
      </c>
      <c r="R435" s="11">
        <v>0</v>
      </c>
      <c r="S435">
        <v>0</v>
      </c>
      <c r="T435">
        <v>0</v>
      </c>
      <c r="U435" s="11">
        <v>0</v>
      </c>
      <c r="V435">
        <v>0</v>
      </c>
      <c r="W435">
        <v>0</v>
      </c>
      <c r="X435" s="11">
        <f t="shared" si="21"/>
        <v>0</v>
      </c>
      <c r="Y435">
        <f t="shared" si="21"/>
        <v>0</v>
      </c>
      <c r="Z435">
        <f t="shared" si="21"/>
        <v>0</v>
      </c>
      <c r="AA435" s="11"/>
    </row>
    <row r="436" spans="1:27" x14ac:dyDescent="0.3">
      <c r="A436" s="7">
        <v>45581</v>
      </c>
      <c r="B436">
        <v>9</v>
      </c>
      <c r="C436" t="s">
        <v>236</v>
      </c>
      <c r="D436" t="s">
        <v>26</v>
      </c>
      <c r="E436">
        <v>7</v>
      </c>
      <c r="F436">
        <v>2</v>
      </c>
      <c r="G436">
        <v>2</v>
      </c>
      <c r="H436" t="s">
        <v>27</v>
      </c>
      <c r="I436">
        <v>1</v>
      </c>
      <c r="J436" s="10">
        <v>0.25</v>
      </c>
      <c r="K436" s="10">
        <v>0.38611111111111113</v>
      </c>
      <c r="L436" s="10">
        <f t="shared" si="20"/>
        <v>0.13611111111111113</v>
      </c>
      <c r="M436" s="12">
        <f t="shared" si="19"/>
        <v>3.2666666666666671</v>
      </c>
      <c r="N436" s="12">
        <f>Table35[[#This Row],[Trip Hours]]*Table35[[#This Row],['#Angler]]</f>
        <v>3.2666666666666671</v>
      </c>
      <c r="O436" t="s">
        <v>25</v>
      </c>
      <c r="P436" t="s">
        <v>56</v>
      </c>
      <c r="Q436" t="s">
        <v>247</v>
      </c>
      <c r="R436" s="11">
        <v>0</v>
      </c>
      <c r="S436">
        <v>0</v>
      </c>
      <c r="T436">
        <v>0</v>
      </c>
      <c r="U436" s="11">
        <v>0</v>
      </c>
      <c r="V436">
        <v>0</v>
      </c>
      <c r="W436">
        <v>0</v>
      </c>
      <c r="X436" s="11">
        <f t="shared" si="21"/>
        <v>0</v>
      </c>
      <c r="Y436">
        <f t="shared" si="21"/>
        <v>0</v>
      </c>
      <c r="Z436">
        <f t="shared" si="21"/>
        <v>0</v>
      </c>
      <c r="AA436" s="11"/>
    </row>
    <row r="437" spans="1:27" x14ac:dyDescent="0.3">
      <c r="A437" s="7">
        <v>45581</v>
      </c>
      <c r="B437">
        <v>9</v>
      </c>
      <c r="C437" t="s">
        <v>236</v>
      </c>
      <c r="D437" t="s">
        <v>26</v>
      </c>
      <c r="E437">
        <v>8</v>
      </c>
      <c r="F437">
        <v>2</v>
      </c>
      <c r="G437">
        <v>2</v>
      </c>
      <c r="H437" t="s">
        <v>27</v>
      </c>
      <c r="I437">
        <v>1</v>
      </c>
      <c r="J437" s="10">
        <v>0.37152777777777773</v>
      </c>
      <c r="K437" s="10">
        <v>0.38611111111111113</v>
      </c>
      <c r="L437" s="10">
        <f t="shared" si="20"/>
        <v>1.4583333333333393E-2</v>
      </c>
      <c r="M437" s="12">
        <f t="shared" si="19"/>
        <v>0.35000000000000142</v>
      </c>
      <c r="N437" s="12">
        <f>Table35[[#This Row],[Trip Hours]]*Table35[[#This Row],['#Angler]]</f>
        <v>0.35000000000000142</v>
      </c>
      <c r="O437" t="s">
        <v>28</v>
      </c>
      <c r="P437" t="s">
        <v>56</v>
      </c>
      <c r="Q437" t="s">
        <v>247</v>
      </c>
      <c r="R437" s="11">
        <v>0</v>
      </c>
      <c r="S437">
        <v>0</v>
      </c>
      <c r="T437">
        <v>0</v>
      </c>
      <c r="U437" s="11">
        <v>0</v>
      </c>
      <c r="V437">
        <v>0</v>
      </c>
      <c r="W437">
        <v>0</v>
      </c>
      <c r="X437" s="11">
        <f t="shared" si="21"/>
        <v>0</v>
      </c>
      <c r="Y437">
        <f t="shared" si="21"/>
        <v>0</v>
      </c>
      <c r="Z437">
        <f t="shared" si="21"/>
        <v>0</v>
      </c>
      <c r="AA437" s="11"/>
    </row>
    <row r="438" spans="1:27" x14ac:dyDescent="0.3">
      <c r="A438" s="7">
        <v>45581</v>
      </c>
      <c r="B438">
        <v>9</v>
      </c>
      <c r="C438" t="s">
        <v>236</v>
      </c>
      <c r="D438" t="s">
        <v>26</v>
      </c>
      <c r="E438">
        <v>9</v>
      </c>
      <c r="F438">
        <v>2</v>
      </c>
      <c r="G438">
        <v>2</v>
      </c>
      <c r="H438" t="s">
        <v>27</v>
      </c>
      <c r="I438">
        <v>1</v>
      </c>
      <c r="J438" s="10">
        <v>0.34375</v>
      </c>
      <c r="K438" s="10">
        <v>0.38680555555555557</v>
      </c>
      <c r="L438" s="10">
        <f t="shared" si="20"/>
        <v>4.3055555555555569E-2</v>
      </c>
      <c r="M438" s="12">
        <f t="shared" si="19"/>
        <v>1.0333333333333337</v>
      </c>
      <c r="N438" s="12">
        <f>Table35[[#This Row],[Trip Hours]]*Table35[[#This Row],['#Angler]]</f>
        <v>1.0333333333333337</v>
      </c>
      <c r="O438" t="s">
        <v>28</v>
      </c>
      <c r="P438" t="s">
        <v>319</v>
      </c>
      <c r="Q438" t="s">
        <v>247</v>
      </c>
      <c r="R438" s="11">
        <v>0</v>
      </c>
      <c r="S438">
        <v>0</v>
      </c>
      <c r="T438">
        <v>0</v>
      </c>
      <c r="U438" s="11">
        <v>0</v>
      </c>
      <c r="V438">
        <v>0</v>
      </c>
      <c r="W438">
        <v>0</v>
      </c>
      <c r="X438" s="11">
        <f t="shared" si="21"/>
        <v>0</v>
      </c>
      <c r="Y438">
        <f t="shared" si="21"/>
        <v>0</v>
      </c>
      <c r="Z438">
        <f t="shared" si="21"/>
        <v>0</v>
      </c>
      <c r="AA438" s="11"/>
    </row>
    <row r="439" spans="1:27" x14ac:dyDescent="0.3">
      <c r="A439" s="7">
        <v>45581</v>
      </c>
      <c r="B439">
        <v>9</v>
      </c>
      <c r="C439" t="s">
        <v>236</v>
      </c>
      <c r="D439" t="s">
        <v>26</v>
      </c>
      <c r="E439">
        <v>10</v>
      </c>
      <c r="F439">
        <v>2</v>
      </c>
      <c r="G439">
        <v>2</v>
      </c>
      <c r="H439" t="s">
        <v>27</v>
      </c>
      <c r="I439">
        <v>1</v>
      </c>
      <c r="J439" s="10">
        <v>0.35416666666666669</v>
      </c>
      <c r="K439" s="10">
        <v>0.38680555555555557</v>
      </c>
      <c r="L439" s="10">
        <f t="shared" si="20"/>
        <v>3.2638888888888884E-2</v>
      </c>
      <c r="M439" s="12">
        <f t="shared" si="19"/>
        <v>0.78333333333333321</v>
      </c>
      <c r="N439" s="12">
        <f>Table35[[#This Row],[Trip Hours]]*Table35[[#This Row],['#Angler]]</f>
        <v>0.78333333333333321</v>
      </c>
      <c r="O439" t="s">
        <v>28</v>
      </c>
      <c r="P439" t="s">
        <v>56</v>
      </c>
      <c r="Q439" t="s">
        <v>238</v>
      </c>
      <c r="R439" s="11">
        <v>0</v>
      </c>
      <c r="S439">
        <v>0</v>
      </c>
      <c r="T439">
        <v>0</v>
      </c>
      <c r="U439" s="11">
        <v>0</v>
      </c>
      <c r="V439">
        <v>0</v>
      </c>
      <c r="W439">
        <v>0</v>
      </c>
      <c r="X439" s="11">
        <f t="shared" si="21"/>
        <v>0</v>
      </c>
      <c r="Y439">
        <f t="shared" si="21"/>
        <v>0</v>
      </c>
      <c r="Z439">
        <f t="shared" si="21"/>
        <v>0</v>
      </c>
      <c r="AA439" s="11"/>
    </row>
    <row r="440" spans="1:27" x14ac:dyDescent="0.3">
      <c r="A440" s="7">
        <v>45581</v>
      </c>
      <c r="B440">
        <v>9</v>
      </c>
      <c r="C440" t="s">
        <v>236</v>
      </c>
      <c r="D440" t="s">
        <v>26</v>
      </c>
      <c r="E440">
        <v>11</v>
      </c>
      <c r="F440">
        <v>2</v>
      </c>
      <c r="G440">
        <v>2</v>
      </c>
      <c r="H440" t="s">
        <v>27</v>
      </c>
      <c r="I440">
        <v>1</v>
      </c>
      <c r="J440" s="10">
        <v>0.3125</v>
      </c>
      <c r="K440" s="10">
        <v>0.39652777777777781</v>
      </c>
      <c r="L440" s="10">
        <f t="shared" si="20"/>
        <v>8.4027777777777812E-2</v>
      </c>
      <c r="M440" s="12">
        <f t="shared" si="19"/>
        <v>2.0166666666666675</v>
      </c>
      <c r="N440" s="12">
        <f>Table35[[#This Row],[Trip Hours]]*Table35[[#This Row],['#Angler]]</f>
        <v>2.0166666666666675</v>
      </c>
      <c r="O440" t="s">
        <v>28</v>
      </c>
      <c r="P440" t="s">
        <v>56</v>
      </c>
      <c r="Q440" t="s">
        <v>241</v>
      </c>
      <c r="R440" s="11">
        <v>0</v>
      </c>
      <c r="S440">
        <v>0</v>
      </c>
      <c r="T440">
        <v>0</v>
      </c>
      <c r="U440" s="11">
        <v>0</v>
      </c>
      <c r="V440">
        <v>0</v>
      </c>
      <c r="W440">
        <v>0</v>
      </c>
      <c r="X440" s="11">
        <f t="shared" si="21"/>
        <v>0</v>
      </c>
      <c r="Y440">
        <f t="shared" si="21"/>
        <v>0</v>
      </c>
      <c r="Z440">
        <f t="shared" si="21"/>
        <v>0</v>
      </c>
      <c r="AA440" s="11"/>
    </row>
    <row r="441" spans="1:27" x14ac:dyDescent="0.3">
      <c r="A441" s="7">
        <v>45581</v>
      </c>
      <c r="B441">
        <v>9</v>
      </c>
      <c r="C441" t="s">
        <v>236</v>
      </c>
      <c r="D441" t="s">
        <v>26</v>
      </c>
      <c r="E441">
        <v>12</v>
      </c>
      <c r="F441">
        <v>2</v>
      </c>
      <c r="G441">
        <v>2</v>
      </c>
      <c r="H441" t="s">
        <v>27</v>
      </c>
      <c r="I441">
        <v>2</v>
      </c>
      <c r="J441" s="10">
        <v>0.32291666666666669</v>
      </c>
      <c r="K441" s="10">
        <v>0.49444444444444446</v>
      </c>
      <c r="L441" s="10">
        <f t="shared" si="20"/>
        <v>0.17152777777777778</v>
      </c>
      <c r="M441" s="12">
        <f t="shared" si="19"/>
        <v>4.1166666666666671</v>
      </c>
      <c r="N441" s="12">
        <f>Table35[[#This Row],[Trip Hours]]*Table35[[#This Row],['#Angler]]</f>
        <v>8.2333333333333343</v>
      </c>
      <c r="O441" t="s">
        <v>25</v>
      </c>
      <c r="P441" t="s">
        <v>320</v>
      </c>
      <c r="Q441" t="s">
        <v>311</v>
      </c>
      <c r="R441" s="11">
        <v>0</v>
      </c>
      <c r="S441">
        <v>0</v>
      </c>
      <c r="T441">
        <v>0</v>
      </c>
      <c r="U441" s="11">
        <v>0</v>
      </c>
      <c r="V441">
        <v>0</v>
      </c>
      <c r="W441">
        <v>0</v>
      </c>
      <c r="X441" s="11">
        <f t="shared" si="21"/>
        <v>0</v>
      </c>
      <c r="Y441">
        <f t="shared" si="21"/>
        <v>0</v>
      </c>
      <c r="Z441">
        <f t="shared" si="21"/>
        <v>0</v>
      </c>
      <c r="AA441" s="11"/>
    </row>
    <row r="442" spans="1:27" x14ac:dyDescent="0.3">
      <c r="A442" s="7">
        <v>45581</v>
      </c>
      <c r="B442">
        <v>9</v>
      </c>
      <c r="C442" t="s">
        <v>236</v>
      </c>
      <c r="D442" t="s">
        <v>26</v>
      </c>
      <c r="E442">
        <v>13</v>
      </c>
      <c r="F442">
        <v>2</v>
      </c>
      <c r="G442">
        <v>2</v>
      </c>
      <c r="H442" t="s">
        <v>27</v>
      </c>
      <c r="I442">
        <v>1</v>
      </c>
      <c r="J442" s="10">
        <v>0.375</v>
      </c>
      <c r="K442" s="10">
        <v>0.49583333333333335</v>
      </c>
      <c r="L442" s="10">
        <f t="shared" si="20"/>
        <v>0.12083333333333335</v>
      </c>
      <c r="M442" s="12">
        <f t="shared" si="19"/>
        <v>2.9000000000000004</v>
      </c>
      <c r="N442" s="12">
        <f>Table35[[#This Row],[Trip Hours]]*Table35[[#This Row],['#Angler]]</f>
        <v>2.9000000000000004</v>
      </c>
      <c r="O442" t="s">
        <v>28</v>
      </c>
      <c r="P442" t="s">
        <v>56</v>
      </c>
      <c r="Q442" t="s">
        <v>247</v>
      </c>
      <c r="R442" s="11">
        <v>0</v>
      </c>
      <c r="S442">
        <v>0</v>
      </c>
      <c r="T442">
        <v>0</v>
      </c>
      <c r="U442" s="11">
        <v>0</v>
      </c>
      <c r="V442">
        <v>0</v>
      </c>
      <c r="W442">
        <v>0</v>
      </c>
      <c r="X442" s="11">
        <f t="shared" si="21"/>
        <v>0</v>
      </c>
      <c r="Y442">
        <f t="shared" si="21"/>
        <v>0</v>
      </c>
      <c r="Z442">
        <f t="shared" si="21"/>
        <v>0</v>
      </c>
      <c r="AA442" s="11"/>
    </row>
    <row r="443" spans="1:27" x14ac:dyDescent="0.3">
      <c r="A443" s="7">
        <v>45581</v>
      </c>
      <c r="B443">
        <v>9</v>
      </c>
      <c r="C443" t="s">
        <v>236</v>
      </c>
      <c r="D443" t="s">
        <v>26</v>
      </c>
      <c r="E443">
        <v>14</v>
      </c>
      <c r="F443">
        <v>2</v>
      </c>
      <c r="G443">
        <v>2</v>
      </c>
      <c r="H443" t="s">
        <v>27</v>
      </c>
      <c r="I443">
        <v>2</v>
      </c>
      <c r="J443" s="10">
        <v>0.41666666666666669</v>
      </c>
      <c r="K443" s="10">
        <v>0.49652777777777773</v>
      </c>
      <c r="L443" s="10">
        <f t="shared" si="20"/>
        <v>7.9861111111111049E-2</v>
      </c>
      <c r="M443" s="12">
        <f t="shared" si="19"/>
        <v>1.9166666666666652</v>
      </c>
      <c r="N443" s="12">
        <f>Table35[[#This Row],[Trip Hours]]*Table35[[#This Row],['#Angler]]</f>
        <v>3.8333333333333304</v>
      </c>
      <c r="O443" t="s">
        <v>28</v>
      </c>
      <c r="P443" t="s">
        <v>51</v>
      </c>
      <c r="Q443" t="s">
        <v>311</v>
      </c>
      <c r="R443" s="11">
        <v>0</v>
      </c>
      <c r="S443">
        <v>0</v>
      </c>
      <c r="T443">
        <v>0</v>
      </c>
      <c r="U443" s="11">
        <v>0</v>
      </c>
      <c r="V443">
        <v>0</v>
      </c>
      <c r="W443">
        <v>0</v>
      </c>
      <c r="X443" s="11">
        <f t="shared" si="21"/>
        <v>0</v>
      </c>
      <c r="Y443">
        <f t="shared" si="21"/>
        <v>0</v>
      </c>
      <c r="Z443">
        <f t="shared" si="21"/>
        <v>0</v>
      </c>
      <c r="AA443" s="11"/>
    </row>
    <row r="444" spans="1:27" x14ac:dyDescent="0.3">
      <c r="A444" s="7">
        <v>45581</v>
      </c>
      <c r="B444">
        <v>9</v>
      </c>
      <c r="C444" t="s">
        <v>236</v>
      </c>
      <c r="D444" t="s">
        <v>26</v>
      </c>
      <c r="E444">
        <v>15</v>
      </c>
      <c r="F444">
        <v>2</v>
      </c>
      <c r="G444">
        <v>2</v>
      </c>
      <c r="H444" t="s">
        <v>27</v>
      </c>
      <c r="I444">
        <v>1</v>
      </c>
      <c r="J444" s="10">
        <v>0.375</v>
      </c>
      <c r="K444" s="10">
        <v>0.50486111111111109</v>
      </c>
      <c r="L444" s="10">
        <f t="shared" si="20"/>
        <v>0.12986111111111109</v>
      </c>
      <c r="M444" s="12">
        <f t="shared" si="19"/>
        <v>3.1166666666666663</v>
      </c>
      <c r="N444" s="12">
        <f>Table35[[#This Row],[Trip Hours]]*Table35[[#This Row],['#Angler]]</f>
        <v>3.1166666666666663</v>
      </c>
      <c r="O444" t="s">
        <v>25</v>
      </c>
      <c r="P444" t="s">
        <v>56</v>
      </c>
      <c r="Q444" t="s">
        <v>241</v>
      </c>
      <c r="R444" s="11">
        <v>0</v>
      </c>
      <c r="S444">
        <v>0</v>
      </c>
      <c r="T444">
        <v>0</v>
      </c>
      <c r="U444" s="11">
        <v>0</v>
      </c>
      <c r="V444">
        <v>0</v>
      </c>
      <c r="W444">
        <v>0</v>
      </c>
      <c r="X444" s="11">
        <f t="shared" si="21"/>
        <v>0</v>
      </c>
      <c r="Y444">
        <f t="shared" si="21"/>
        <v>0</v>
      </c>
      <c r="Z444">
        <f t="shared" si="21"/>
        <v>0</v>
      </c>
      <c r="AA444" s="11"/>
    </row>
    <row r="445" spans="1:27" x14ac:dyDescent="0.3">
      <c r="A445" s="7">
        <v>45581</v>
      </c>
      <c r="B445">
        <v>9</v>
      </c>
      <c r="C445" t="s">
        <v>236</v>
      </c>
      <c r="D445" t="s">
        <v>26</v>
      </c>
      <c r="E445">
        <v>16</v>
      </c>
      <c r="F445">
        <v>2</v>
      </c>
      <c r="G445">
        <v>2</v>
      </c>
      <c r="H445" t="s">
        <v>27</v>
      </c>
      <c r="I445">
        <v>1</v>
      </c>
      <c r="J445" s="10">
        <v>0.47916666666666669</v>
      </c>
      <c r="K445" s="10">
        <v>0.50555555555555554</v>
      </c>
      <c r="L445" s="10">
        <f t="shared" si="20"/>
        <v>2.6388888888888851E-2</v>
      </c>
      <c r="M445" s="12">
        <f t="shared" si="19"/>
        <v>0.63333333333333242</v>
      </c>
      <c r="N445" s="12">
        <f>Table35[[#This Row],[Trip Hours]]*Table35[[#This Row],['#Angler]]</f>
        <v>0.63333333333333242</v>
      </c>
      <c r="O445" t="s">
        <v>28</v>
      </c>
      <c r="P445" t="s">
        <v>294</v>
      </c>
      <c r="Q445" t="s">
        <v>238</v>
      </c>
      <c r="R445" s="11">
        <v>0</v>
      </c>
      <c r="S445">
        <v>0</v>
      </c>
      <c r="T445">
        <v>0</v>
      </c>
      <c r="U445" s="11">
        <v>0</v>
      </c>
      <c r="V445">
        <v>0</v>
      </c>
      <c r="W445">
        <v>0</v>
      </c>
      <c r="X445" s="11">
        <f t="shared" si="21"/>
        <v>0</v>
      </c>
      <c r="Y445">
        <f t="shared" si="21"/>
        <v>0</v>
      </c>
      <c r="Z445">
        <f t="shared" si="21"/>
        <v>0</v>
      </c>
      <c r="AA445" s="11"/>
    </row>
    <row r="446" spans="1:27" x14ac:dyDescent="0.3">
      <c r="A446" s="7">
        <v>45581</v>
      </c>
      <c r="B446">
        <v>9</v>
      </c>
      <c r="C446" t="s">
        <v>236</v>
      </c>
      <c r="D446" t="s">
        <v>26</v>
      </c>
      <c r="E446">
        <v>17</v>
      </c>
      <c r="F446">
        <v>2</v>
      </c>
      <c r="G446">
        <v>2</v>
      </c>
      <c r="H446" t="s">
        <v>27</v>
      </c>
      <c r="I446">
        <v>2</v>
      </c>
      <c r="J446" s="10">
        <v>0.35416666666666669</v>
      </c>
      <c r="K446" s="10">
        <v>0.50624999999999998</v>
      </c>
      <c r="L446" s="10">
        <f t="shared" si="20"/>
        <v>0.15208333333333329</v>
      </c>
      <c r="M446" s="12">
        <f t="shared" si="19"/>
        <v>3.649999999999999</v>
      </c>
      <c r="N446" s="12">
        <f>Table35[[#This Row],[Trip Hours]]*Table35[[#This Row],['#Angler]]</f>
        <v>7.299999999999998</v>
      </c>
      <c r="O446" t="s">
        <v>25</v>
      </c>
      <c r="P446" t="s">
        <v>56</v>
      </c>
      <c r="Q446" t="s">
        <v>247</v>
      </c>
      <c r="R446" s="11">
        <v>0</v>
      </c>
      <c r="S446">
        <v>0</v>
      </c>
      <c r="T446">
        <v>0</v>
      </c>
      <c r="U446" s="11">
        <v>0</v>
      </c>
      <c r="V446">
        <v>0</v>
      </c>
      <c r="W446">
        <v>0</v>
      </c>
      <c r="X446" s="11">
        <f t="shared" si="21"/>
        <v>0</v>
      </c>
      <c r="Y446">
        <f t="shared" si="21"/>
        <v>0</v>
      </c>
      <c r="Z446">
        <f t="shared" si="21"/>
        <v>0</v>
      </c>
      <c r="AA446" s="11"/>
    </row>
    <row r="447" spans="1:27" x14ac:dyDescent="0.3">
      <c r="A447" s="7">
        <v>45581</v>
      </c>
      <c r="B447">
        <v>9</v>
      </c>
      <c r="C447" t="s">
        <v>236</v>
      </c>
      <c r="D447" t="s">
        <v>42</v>
      </c>
      <c r="E447">
        <v>18</v>
      </c>
      <c r="F447">
        <v>3</v>
      </c>
      <c r="G447">
        <v>8</v>
      </c>
      <c r="H447" t="s">
        <v>27</v>
      </c>
      <c r="I447">
        <v>1</v>
      </c>
      <c r="J447" s="10">
        <v>0.41666666666666669</v>
      </c>
      <c r="K447" s="10">
        <v>0.59305555555555556</v>
      </c>
      <c r="L447" s="10">
        <f t="shared" si="20"/>
        <v>0.17638888888888887</v>
      </c>
      <c r="M447" s="12">
        <f t="shared" si="19"/>
        <v>4.2333333333333325</v>
      </c>
      <c r="N447" s="12">
        <f>Table35[[#This Row],[Trip Hours]]*Table35[[#This Row],['#Angler]]</f>
        <v>4.2333333333333325</v>
      </c>
      <c r="O447" t="s">
        <v>25</v>
      </c>
      <c r="P447" t="s">
        <v>56</v>
      </c>
      <c r="Q447" t="s">
        <v>247</v>
      </c>
      <c r="R447" s="11">
        <v>0</v>
      </c>
      <c r="S447">
        <v>0</v>
      </c>
      <c r="T447">
        <v>0</v>
      </c>
      <c r="U447" s="11">
        <v>0</v>
      </c>
      <c r="V447">
        <v>0</v>
      </c>
      <c r="W447">
        <v>0</v>
      </c>
      <c r="X447" s="11">
        <f t="shared" si="21"/>
        <v>0</v>
      </c>
      <c r="Y447">
        <f t="shared" si="21"/>
        <v>0</v>
      </c>
      <c r="Z447">
        <f t="shared" si="21"/>
        <v>0</v>
      </c>
      <c r="AA447" s="11"/>
    </row>
    <row r="448" spans="1:27" x14ac:dyDescent="0.3">
      <c r="A448" s="7">
        <v>45581</v>
      </c>
      <c r="B448">
        <v>9</v>
      </c>
      <c r="C448" t="s">
        <v>236</v>
      </c>
      <c r="D448" t="s">
        <v>42</v>
      </c>
      <c r="E448">
        <v>19</v>
      </c>
      <c r="F448">
        <v>3</v>
      </c>
      <c r="G448">
        <v>8</v>
      </c>
      <c r="H448" t="s">
        <v>27</v>
      </c>
      <c r="I448">
        <v>1</v>
      </c>
      <c r="J448" s="10">
        <v>0.41666666666666669</v>
      </c>
      <c r="K448" s="10">
        <v>0.59513888888888888</v>
      </c>
      <c r="L448" s="10">
        <f t="shared" si="20"/>
        <v>0.1784722222222222</v>
      </c>
      <c r="M448" s="12">
        <f t="shared" si="19"/>
        <v>4.2833333333333332</v>
      </c>
      <c r="N448" s="12">
        <f>Table35[[#This Row],[Trip Hours]]*Table35[[#This Row],['#Angler]]</f>
        <v>4.2833333333333332</v>
      </c>
      <c r="O448" t="s">
        <v>25</v>
      </c>
      <c r="P448" t="s">
        <v>321</v>
      </c>
      <c r="Q448" t="s">
        <v>247</v>
      </c>
      <c r="R448" s="11">
        <v>0</v>
      </c>
      <c r="S448">
        <v>0</v>
      </c>
      <c r="T448">
        <v>0</v>
      </c>
      <c r="U448" s="11">
        <v>0</v>
      </c>
      <c r="V448">
        <v>0</v>
      </c>
      <c r="W448">
        <v>0</v>
      </c>
      <c r="X448" s="11">
        <f t="shared" si="21"/>
        <v>0</v>
      </c>
      <c r="Y448">
        <f t="shared" si="21"/>
        <v>0</v>
      </c>
      <c r="Z448">
        <f t="shared" si="21"/>
        <v>0</v>
      </c>
      <c r="AA448" s="11"/>
    </row>
    <row r="449" spans="1:27" x14ac:dyDescent="0.3">
      <c r="A449" s="7">
        <v>45581</v>
      </c>
      <c r="B449">
        <v>9</v>
      </c>
      <c r="C449" t="s">
        <v>236</v>
      </c>
      <c r="D449" t="s">
        <v>42</v>
      </c>
      <c r="E449">
        <v>20</v>
      </c>
      <c r="F449">
        <v>3</v>
      </c>
      <c r="G449">
        <v>7</v>
      </c>
      <c r="H449" t="s">
        <v>27</v>
      </c>
      <c r="I449">
        <v>2</v>
      </c>
      <c r="J449" s="10">
        <v>0.56944444444444442</v>
      </c>
      <c r="K449" s="10">
        <v>0.61111111111111105</v>
      </c>
      <c r="L449" s="10">
        <f t="shared" si="20"/>
        <v>4.166666666666663E-2</v>
      </c>
      <c r="M449" s="12">
        <f t="shared" si="19"/>
        <v>0.99999999999999911</v>
      </c>
      <c r="N449" s="12">
        <f>Table35[[#This Row],[Trip Hours]]*Table35[[#This Row],['#Angler]]</f>
        <v>1.9999999999999982</v>
      </c>
      <c r="O449" t="s">
        <v>25</v>
      </c>
      <c r="P449" t="s">
        <v>322</v>
      </c>
      <c r="Q449" t="s">
        <v>247</v>
      </c>
      <c r="R449" s="11">
        <v>0</v>
      </c>
      <c r="S449">
        <v>0</v>
      </c>
      <c r="T449">
        <v>0</v>
      </c>
      <c r="U449" s="11">
        <v>0</v>
      </c>
      <c r="V449">
        <v>0</v>
      </c>
      <c r="W449">
        <v>0</v>
      </c>
      <c r="X449" s="11">
        <f t="shared" si="21"/>
        <v>0</v>
      </c>
      <c r="Y449">
        <f t="shared" si="21"/>
        <v>0</v>
      </c>
      <c r="Z449">
        <f t="shared" si="21"/>
        <v>0</v>
      </c>
      <c r="AA449" s="11"/>
    </row>
    <row r="450" spans="1:27" x14ac:dyDescent="0.3">
      <c r="A450" s="7">
        <v>45582</v>
      </c>
      <c r="B450">
        <v>9</v>
      </c>
      <c r="C450" t="s">
        <v>236</v>
      </c>
      <c r="D450" t="s">
        <v>26</v>
      </c>
      <c r="E450">
        <v>1</v>
      </c>
      <c r="F450">
        <v>2</v>
      </c>
      <c r="G450">
        <v>2</v>
      </c>
      <c r="H450" t="s">
        <v>27</v>
      </c>
      <c r="I450">
        <v>1</v>
      </c>
      <c r="J450" s="10">
        <v>0.27083333333333331</v>
      </c>
      <c r="K450" s="10">
        <v>0.32916666666666666</v>
      </c>
      <c r="L450" s="10">
        <f t="shared" si="20"/>
        <v>5.8333333333333348E-2</v>
      </c>
      <c r="M450" s="12">
        <f t="shared" ref="M450:M513" si="22">L450*24</f>
        <v>1.4000000000000004</v>
      </c>
      <c r="N450" s="12">
        <f>Table35[[#This Row],[Trip Hours]]*Table35[[#This Row],['#Angler]]</f>
        <v>1.4000000000000004</v>
      </c>
      <c r="O450" t="s">
        <v>28</v>
      </c>
      <c r="P450" t="s">
        <v>323</v>
      </c>
      <c r="Q450" t="s">
        <v>241</v>
      </c>
      <c r="R450" s="11">
        <v>0</v>
      </c>
      <c r="S450">
        <v>0</v>
      </c>
      <c r="T450">
        <v>0</v>
      </c>
      <c r="U450" s="11">
        <v>0</v>
      </c>
      <c r="V450">
        <v>0</v>
      </c>
      <c r="W450">
        <v>0</v>
      </c>
      <c r="X450" s="11">
        <f t="shared" si="21"/>
        <v>0</v>
      </c>
      <c r="Y450">
        <f t="shared" si="21"/>
        <v>0</v>
      </c>
      <c r="Z450">
        <f t="shared" si="21"/>
        <v>0</v>
      </c>
      <c r="AA450" s="11"/>
    </row>
    <row r="451" spans="1:27" x14ac:dyDescent="0.3">
      <c r="A451" s="7">
        <v>45582</v>
      </c>
      <c r="B451">
        <v>9</v>
      </c>
      <c r="C451" t="s">
        <v>236</v>
      </c>
      <c r="D451" t="s">
        <v>26</v>
      </c>
      <c r="E451">
        <v>2</v>
      </c>
      <c r="F451">
        <v>2</v>
      </c>
      <c r="G451">
        <v>2</v>
      </c>
      <c r="H451" t="s">
        <v>27</v>
      </c>
      <c r="I451">
        <v>2</v>
      </c>
      <c r="J451" s="10">
        <v>0.3125</v>
      </c>
      <c r="K451" s="10">
        <v>0.34027777777777773</v>
      </c>
      <c r="L451" s="10">
        <f t="shared" si="20"/>
        <v>2.7777777777777735E-2</v>
      </c>
      <c r="M451" s="12">
        <f t="shared" si="22"/>
        <v>0.66666666666666563</v>
      </c>
      <c r="N451" s="12">
        <f>Table35[[#This Row],[Trip Hours]]*Table35[[#This Row],['#Angler]]</f>
        <v>1.3333333333333313</v>
      </c>
      <c r="O451" t="s">
        <v>28</v>
      </c>
      <c r="P451" t="s">
        <v>324</v>
      </c>
      <c r="Q451" t="s">
        <v>247</v>
      </c>
      <c r="R451" s="11">
        <v>0</v>
      </c>
      <c r="S451">
        <v>0</v>
      </c>
      <c r="T451">
        <v>0</v>
      </c>
      <c r="U451" s="11">
        <v>0</v>
      </c>
      <c r="V451">
        <v>0</v>
      </c>
      <c r="W451">
        <v>0</v>
      </c>
      <c r="X451" s="11">
        <f t="shared" si="21"/>
        <v>0</v>
      </c>
      <c r="Y451">
        <f t="shared" si="21"/>
        <v>0</v>
      </c>
      <c r="Z451">
        <f t="shared" si="21"/>
        <v>0</v>
      </c>
      <c r="AA451" s="11"/>
    </row>
    <row r="452" spans="1:27" x14ac:dyDescent="0.3">
      <c r="A452" s="7">
        <v>45582</v>
      </c>
      <c r="B452">
        <v>9</v>
      </c>
      <c r="C452" t="s">
        <v>236</v>
      </c>
      <c r="D452" t="s">
        <v>26</v>
      </c>
      <c r="E452">
        <v>3</v>
      </c>
      <c r="F452">
        <v>2</v>
      </c>
      <c r="G452">
        <v>2</v>
      </c>
      <c r="H452" t="s">
        <v>27</v>
      </c>
      <c r="I452">
        <v>1</v>
      </c>
      <c r="J452" s="10">
        <v>0.33680555555555558</v>
      </c>
      <c r="K452" s="10">
        <v>0.34027777777777773</v>
      </c>
      <c r="L452" s="10">
        <f t="shared" si="20"/>
        <v>3.4722222222221544E-3</v>
      </c>
      <c r="M452" s="12">
        <f t="shared" si="22"/>
        <v>8.3333333333331705E-2</v>
      </c>
      <c r="N452" s="12">
        <f>Table35[[#This Row],[Trip Hours]]*Table35[[#This Row],['#Angler]]</f>
        <v>8.3333333333331705E-2</v>
      </c>
      <c r="O452" t="s">
        <v>28</v>
      </c>
      <c r="P452" t="s">
        <v>56</v>
      </c>
      <c r="Q452" t="s">
        <v>238</v>
      </c>
      <c r="R452" s="11">
        <v>0</v>
      </c>
      <c r="S452">
        <v>0</v>
      </c>
      <c r="T452">
        <v>0</v>
      </c>
      <c r="U452" s="11">
        <v>0</v>
      </c>
      <c r="V452">
        <v>0</v>
      </c>
      <c r="W452">
        <v>0</v>
      </c>
      <c r="X452" s="11">
        <f t="shared" si="21"/>
        <v>0</v>
      </c>
      <c r="Y452">
        <f t="shared" si="21"/>
        <v>0</v>
      </c>
      <c r="Z452">
        <f t="shared" si="21"/>
        <v>0</v>
      </c>
      <c r="AA452" s="11"/>
    </row>
    <row r="453" spans="1:27" x14ac:dyDescent="0.3">
      <c r="A453" s="7">
        <v>45582</v>
      </c>
      <c r="B453">
        <v>9</v>
      </c>
      <c r="C453" t="s">
        <v>236</v>
      </c>
      <c r="D453" t="s">
        <v>26</v>
      </c>
      <c r="E453">
        <v>4</v>
      </c>
      <c r="F453">
        <v>2</v>
      </c>
      <c r="G453">
        <v>2</v>
      </c>
      <c r="H453" t="s">
        <v>27</v>
      </c>
      <c r="I453">
        <v>1</v>
      </c>
      <c r="J453" s="10">
        <v>0.33680555555555558</v>
      </c>
      <c r="K453" s="10">
        <v>0.34097222222222223</v>
      </c>
      <c r="L453" s="10">
        <f t="shared" si="20"/>
        <v>4.1666666666666519E-3</v>
      </c>
      <c r="M453" s="12">
        <f t="shared" si="22"/>
        <v>9.9999999999999645E-2</v>
      </c>
      <c r="N453" s="12">
        <f>Table35[[#This Row],[Trip Hours]]*Table35[[#This Row],['#Angler]]</f>
        <v>9.9999999999999645E-2</v>
      </c>
      <c r="O453" t="s">
        <v>28</v>
      </c>
      <c r="P453" t="s">
        <v>51</v>
      </c>
      <c r="Q453" t="s">
        <v>241</v>
      </c>
      <c r="R453" s="11">
        <v>0</v>
      </c>
      <c r="S453">
        <v>0</v>
      </c>
      <c r="T453">
        <v>0</v>
      </c>
      <c r="U453" s="11">
        <v>0</v>
      </c>
      <c r="V453">
        <v>0</v>
      </c>
      <c r="W453">
        <v>0</v>
      </c>
      <c r="X453" s="11">
        <f t="shared" si="21"/>
        <v>0</v>
      </c>
      <c r="Y453">
        <f t="shared" si="21"/>
        <v>0</v>
      </c>
      <c r="Z453">
        <f t="shared" si="21"/>
        <v>0</v>
      </c>
      <c r="AA453" s="11"/>
    </row>
    <row r="454" spans="1:27" x14ac:dyDescent="0.3">
      <c r="A454" s="7">
        <v>45582</v>
      </c>
      <c r="B454">
        <v>9</v>
      </c>
      <c r="C454" t="s">
        <v>236</v>
      </c>
      <c r="D454" t="s">
        <v>26</v>
      </c>
      <c r="E454">
        <v>5</v>
      </c>
      <c r="F454">
        <v>2</v>
      </c>
      <c r="G454">
        <v>2</v>
      </c>
      <c r="H454" t="s">
        <v>27</v>
      </c>
      <c r="I454">
        <v>1</v>
      </c>
      <c r="J454" s="10">
        <v>0.30208333333333331</v>
      </c>
      <c r="K454" s="10">
        <v>0.3520833333333333</v>
      </c>
      <c r="L454" s="10">
        <f t="shared" si="20"/>
        <v>4.9999999999999989E-2</v>
      </c>
      <c r="M454" s="12">
        <f t="shared" si="22"/>
        <v>1.1999999999999997</v>
      </c>
      <c r="N454" s="12">
        <f>Table35[[#This Row],[Trip Hours]]*Table35[[#This Row],['#Angler]]</f>
        <v>1.1999999999999997</v>
      </c>
      <c r="O454" t="s">
        <v>28</v>
      </c>
      <c r="P454" t="s">
        <v>49</v>
      </c>
      <c r="Q454" t="s">
        <v>247</v>
      </c>
      <c r="R454" s="11">
        <v>0</v>
      </c>
      <c r="S454">
        <v>0</v>
      </c>
      <c r="T454">
        <v>0</v>
      </c>
      <c r="U454" s="11">
        <v>0</v>
      </c>
      <c r="V454">
        <v>0</v>
      </c>
      <c r="W454">
        <v>0</v>
      </c>
      <c r="X454" s="11">
        <f t="shared" si="21"/>
        <v>0</v>
      </c>
      <c r="Y454">
        <f t="shared" si="21"/>
        <v>0</v>
      </c>
      <c r="Z454">
        <f t="shared" si="21"/>
        <v>0</v>
      </c>
      <c r="AA454" s="11"/>
    </row>
    <row r="455" spans="1:27" x14ac:dyDescent="0.3">
      <c r="A455" s="7">
        <v>45582</v>
      </c>
      <c r="B455">
        <v>9</v>
      </c>
      <c r="C455" t="s">
        <v>236</v>
      </c>
      <c r="D455" t="s">
        <v>26</v>
      </c>
      <c r="E455">
        <v>6</v>
      </c>
      <c r="F455">
        <v>2</v>
      </c>
      <c r="G455">
        <v>2</v>
      </c>
      <c r="H455" t="s">
        <v>27</v>
      </c>
      <c r="I455">
        <v>2</v>
      </c>
      <c r="J455" s="10">
        <v>0.3125</v>
      </c>
      <c r="K455" s="10">
        <v>0.35972222222222222</v>
      </c>
      <c r="L455" s="10">
        <f t="shared" si="20"/>
        <v>4.7222222222222221E-2</v>
      </c>
      <c r="M455" s="12">
        <f t="shared" si="22"/>
        <v>1.1333333333333333</v>
      </c>
      <c r="N455" s="12">
        <f>Table35[[#This Row],[Trip Hours]]*Table35[[#This Row],['#Angler]]</f>
        <v>2.2666666666666666</v>
      </c>
      <c r="O455" t="s">
        <v>28</v>
      </c>
      <c r="P455" t="s">
        <v>56</v>
      </c>
      <c r="Q455" t="s">
        <v>247</v>
      </c>
      <c r="R455" s="11">
        <v>0</v>
      </c>
      <c r="S455">
        <v>0</v>
      </c>
      <c r="T455">
        <v>0</v>
      </c>
      <c r="U455" s="11">
        <v>0</v>
      </c>
      <c r="V455">
        <v>0</v>
      </c>
      <c r="W455">
        <v>0</v>
      </c>
      <c r="X455" s="11">
        <f t="shared" si="21"/>
        <v>0</v>
      </c>
      <c r="Y455">
        <f t="shared" si="21"/>
        <v>0</v>
      </c>
      <c r="Z455">
        <f t="shared" si="21"/>
        <v>0</v>
      </c>
      <c r="AA455" s="11"/>
    </row>
    <row r="456" spans="1:27" x14ac:dyDescent="0.3">
      <c r="A456" s="7">
        <v>45582</v>
      </c>
      <c r="B456">
        <v>9</v>
      </c>
      <c r="C456" t="s">
        <v>236</v>
      </c>
      <c r="D456" t="s">
        <v>26</v>
      </c>
      <c r="E456">
        <v>7</v>
      </c>
      <c r="F456">
        <v>2</v>
      </c>
      <c r="G456">
        <v>2</v>
      </c>
      <c r="H456" t="s">
        <v>27</v>
      </c>
      <c r="I456">
        <v>1</v>
      </c>
      <c r="J456" s="10">
        <v>0.2722222222222222</v>
      </c>
      <c r="K456" s="10">
        <v>0.36249999999999999</v>
      </c>
      <c r="L456" s="10">
        <f t="shared" si="20"/>
        <v>9.027777777777779E-2</v>
      </c>
      <c r="M456" s="12">
        <f t="shared" si="22"/>
        <v>2.166666666666667</v>
      </c>
      <c r="N456" s="12">
        <f>Table35[[#This Row],[Trip Hours]]*Table35[[#This Row],['#Angler]]</f>
        <v>2.166666666666667</v>
      </c>
      <c r="O456" t="s">
        <v>28</v>
      </c>
      <c r="P456" t="s">
        <v>217</v>
      </c>
      <c r="Q456" t="s">
        <v>311</v>
      </c>
      <c r="R456" s="11">
        <v>0</v>
      </c>
      <c r="S456">
        <v>0</v>
      </c>
      <c r="T456">
        <v>0</v>
      </c>
      <c r="U456" s="11">
        <v>0</v>
      </c>
      <c r="V456">
        <v>0</v>
      </c>
      <c r="W456">
        <v>0</v>
      </c>
      <c r="X456" s="11">
        <f t="shared" si="21"/>
        <v>0</v>
      </c>
      <c r="Y456">
        <f t="shared" si="21"/>
        <v>0</v>
      </c>
      <c r="Z456">
        <f t="shared" si="21"/>
        <v>0</v>
      </c>
      <c r="AA456" s="11"/>
    </row>
    <row r="457" spans="1:27" x14ac:dyDescent="0.3">
      <c r="A457" s="7">
        <v>45582</v>
      </c>
      <c r="B457">
        <v>9</v>
      </c>
      <c r="C457" t="s">
        <v>236</v>
      </c>
      <c r="D457" t="s">
        <v>26</v>
      </c>
      <c r="E457">
        <v>8</v>
      </c>
      <c r="F457">
        <v>2</v>
      </c>
      <c r="G457">
        <v>2</v>
      </c>
      <c r="H457" t="s">
        <v>27</v>
      </c>
      <c r="I457">
        <v>1</v>
      </c>
      <c r="J457" s="10">
        <v>0.3611111111111111</v>
      </c>
      <c r="K457" s="10">
        <v>0.3756944444444445</v>
      </c>
      <c r="L457" s="10">
        <f t="shared" si="20"/>
        <v>1.4583333333333393E-2</v>
      </c>
      <c r="M457" s="12">
        <f t="shared" si="22"/>
        <v>0.35000000000000142</v>
      </c>
      <c r="N457" s="12">
        <f>Table35[[#This Row],[Trip Hours]]*Table35[[#This Row],['#Angler]]</f>
        <v>0.35000000000000142</v>
      </c>
      <c r="O457" t="s">
        <v>28</v>
      </c>
      <c r="P457" t="s">
        <v>325</v>
      </c>
      <c r="Q457" t="s">
        <v>241</v>
      </c>
      <c r="R457" s="11">
        <v>0</v>
      </c>
      <c r="S457">
        <v>0</v>
      </c>
      <c r="T457">
        <v>0</v>
      </c>
      <c r="U457" s="11">
        <v>0</v>
      </c>
      <c r="V457">
        <v>0</v>
      </c>
      <c r="W457">
        <v>0</v>
      </c>
      <c r="X457" s="11">
        <f t="shared" si="21"/>
        <v>0</v>
      </c>
      <c r="Y457">
        <f t="shared" si="21"/>
        <v>0</v>
      </c>
      <c r="Z457">
        <f t="shared" si="21"/>
        <v>0</v>
      </c>
      <c r="AA457" s="11"/>
    </row>
    <row r="458" spans="1:27" x14ac:dyDescent="0.3">
      <c r="A458" s="7">
        <v>45582</v>
      </c>
      <c r="B458">
        <v>9</v>
      </c>
      <c r="C458" t="s">
        <v>236</v>
      </c>
      <c r="D458" t="s">
        <v>26</v>
      </c>
      <c r="E458">
        <v>9</v>
      </c>
      <c r="F458">
        <v>2</v>
      </c>
      <c r="G458">
        <v>2</v>
      </c>
      <c r="H458" t="s">
        <v>27</v>
      </c>
      <c r="I458">
        <v>1</v>
      </c>
      <c r="J458" s="10">
        <v>0.3125</v>
      </c>
      <c r="K458" s="10">
        <v>0.37708333333333338</v>
      </c>
      <c r="L458" s="10">
        <f t="shared" si="20"/>
        <v>6.4583333333333381E-2</v>
      </c>
      <c r="M458" s="12">
        <f t="shared" si="22"/>
        <v>1.5500000000000012</v>
      </c>
      <c r="N458" s="12">
        <f>Table35[[#This Row],[Trip Hours]]*Table35[[#This Row],['#Angler]]</f>
        <v>1.5500000000000012</v>
      </c>
      <c r="O458" t="s">
        <v>28</v>
      </c>
      <c r="P458" t="s">
        <v>219</v>
      </c>
      <c r="Q458" t="s">
        <v>311</v>
      </c>
      <c r="R458" s="11">
        <v>0</v>
      </c>
      <c r="S458">
        <v>0</v>
      </c>
      <c r="T458">
        <v>0</v>
      </c>
      <c r="U458" s="11">
        <v>0</v>
      </c>
      <c r="V458">
        <v>0</v>
      </c>
      <c r="W458">
        <v>0</v>
      </c>
      <c r="X458" s="11">
        <f t="shared" si="21"/>
        <v>0</v>
      </c>
      <c r="Y458">
        <f t="shared" si="21"/>
        <v>0</v>
      </c>
      <c r="Z458">
        <f t="shared" si="21"/>
        <v>0</v>
      </c>
      <c r="AA458" s="11"/>
    </row>
    <row r="459" spans="1:27" x14ac:dyDescent="0.3">
      <c r="A459" s="7">
        <v>45582</v>
      </c>
      <c r="B459">
        <v>9</v>
      </c>
      <c r="C459" t="s">
        <v>236</v>
      </c>
      <c r="D459" t="s">
        <v>26</v>
      </c>
      <c r="E459">
        <v>10</v>
      </c>
      <c r="F459">
        <v>2</v>
      </c>
      <c r="G459">
        <v>3</v>
      </c>
      <c r="H459" t="s">
        <v>27</v>
      </c>
      <c r="I459">
        <v>1</v>
      </c>
      <c r="J459" s="10">
        <v>0.33333333333333331</v>
      </c>
      <c r="K459" s="10">
        <v>0.4236111111111111</v>
      </c>
      <c r="L459" s="10">
        <f t="shared" si="20"/>
        <v>9.027777777777779E-2</v>
      </c>
      <c r="M459" s="12">
        <f t="shared" si="22"/>
        <v>2.166666666666667</v>
      </c>
      <c r="N459" s="12">
        <f>Table35[[#This Row],[Trip Hours]]*Table35[[#This Row],['#Angler]]</f>
        <v>2.166666666666667</v>
      </c>
      <c r="O459" t="s">
        <v>28</v>
      </c>
      <c r="P459" t="s">
        <v>217</v>
      </c>
      <c r="Q459" t="s">
        <v>224</v>
      </c>
      <c r="R459" s="11">
        <v>0</v>
      </c>
      <c r="S459">
        <v>0</v>
      </c>
      <c r="T459">
        <v>0</v>
      </c>
      <c r="U459" s="11">
        <v>0</v>
      </c>
      <c r="V459">
        <v>0</v>
      </c>
      <c r="W459">
        <v>0</v>
      </c>
      <c r="X459" s="11">
        <f t="shared" si="21"/>
        <v>0</v>
      </c>
      <c r="Y459">
        <f t="shared" si="21"/>
        <v>0</v>
      </c>
      <c r="Z459">
        <f t="shared" si="21"/>
        <v>0</v>
      </c>
      <c r="AA459" s="11"/>
    </row>
    <row r="460" spans="1:27" x14ac:dyDescent="0.3">
      <c r="A460" s="7">
        <v>45582</v>
      </c>
      <c r="B460">
        <v>9</v>
      </c>
      <c r="C460" t="s">
        <v>236</v>
      </c>
      <c r="D460" t="s">
        <v>26</v>
      </c>
      <c r="E460">
        <v>11</v>
      </c>
      <c r="F460">
        <v>1</v>
      </c>
      <c r="G460">
        <v>2</v>
      </c>
      <c r="H460" t="s">
        <v>27</v>
      </c>
      <c r="I460">
        <v>1</v>
      </c>
      <c r="J460" s="10">
        <v>0.33333333333333331</v>
      </c>
      <c r="K460" s="10">
        <v>0.41666666666666669</v>
      </c>
      <c r="L460" s="10">
        <f t="shared" si="20"/>
        <v>8.333333333333337E-2</v>
      </c>
      <c r="M460" s="12">
        <f t="shared" si="22"/>
        <v>2.0000000000000009</v>
      </c>
      <c r="N460" s="12">
        <f>Table35[[#This Row],[Trip Hours]]*Table35[[#This Row],['#Angler]]</f>
        <v>2.0000000000000009</v>
      </c>
      <c r="O460" t="s">
        <v>25</v>
      </c>
      <c r="P460" t="s">
        <v>49</v>
      </c>
      <c r="Q460" t="s">
        <v>241</v>
      </c>
      <c r="R460" s="11">
        <v>0</v>
      </c>
      <c r="S460">
        <v>0</v>
      </c>
      <c r="T460">
        <v>0</v>
      </c>
      <c r="U460" s="11">
        <v>0</v>
      </c>
      <c r="V460">
        <v>0</v>
      </c>
      <c r="W460">
        <v>0</v>
      </c>
      <c r="X460" s="11">
        <f t="shared" si="21"/>
        <v>0</v>
      </c>
      <c r="Y460">
        <f t="shared" si="21"/>
        <v>0</v>
      </c>
      <c r="Z460">
        <f t="shared" si="21"/>
        <v>0</v>
      </c>
      <c r="AA460" s="11"/>
    </row>
    <row r="461" spans="1:27" x14ac:dyDescent="0.3">
      <c r="A461" s="7">
        <v>45582</v>
      </c>
      <c r="B461">
        <v>9</v>
      </c>
      <c r="C461" t="s">
        <v>236</v>
      </c>
      <c r="D461" t="s">
        <v>26</v>
      </c>
      <c r="E461">
        <v>12</v>
      </c>
      <c r="F461">
        <v>2</v>
      </c>
      <c r="G461">
        <v>4</v>
      </c>
      <c r="H461" t="s">
        <v>27</v>
      </c>
      <c r="I461">
        <v>1</v>
      </c>
      <c r="J461" s="10">
        <v>0.42708333333333331</v>
      </c>
      <c r="K461" s="10">
        <v>0.43194444444444446</v>
      </c>
      <c r="L461" s="10">
        <f t="shared" si="20"/>
        <v>4.8611111111111494E-3</v>
      </c>
      <c r="M461" s="12">
        <f t="shared" si="22"/>
        <v>0.11666666666666758</v>
      </c>
      <c r="N461" s="12">
        <f>Table35[[#This Row],[Trip Hours]]*Table35[[#This Row],['#Angler]]</f>
        <v>0.11666666666666758</v>
      </c>
      <c r="O461" t="s">
        <v>28</v>
      </c>
      <c r="P461" t="s">
        <v>49</v>
      </c>
      <c r="Q461" t="s">
        <v>241</v>
      </c>
      <c r="R461" s="11">
        <v>0</v>
      </c>
      <c r="S461">
        <v>0</v>
      </c>
      <c r="T461">
        <v>0</v>
      </c>
      <c r="U461" s="11">
        <v>0</v>
      </c>
      <c r="V461">
        <v>0</v>
      </c>
      <c r="W461">
        <v>0</v>
      </c>
      <c r="X461" s="11">
        <f t="shared" si="21"/>
        <v>0</v>
      </c>
      <c r="Y461">
        <f t="shared" si="21"/>
        <v>0</v>
      </c>
      <c r="Z461">
        <f t="shared" si="21"/>
        <v>0</v>
      </c>
      <c r="AA461" s="11"/>
    </row>
    <row r="462" spans="1:27" x14ac:dyDescent="0.3">
      <c r="A462" s="7">
        <v>45582</v>
      </c>
      <c r="B462">
        <v>9</v>
      </c>
      <c r="C462" t="s">
        <v>236</v>
      </c>
      <c r="D462" t="s">
        <v>26</v>
      </c>
      <c r="E462">
        <v>13</v>
      </c>
      <c r="F462">
        <v>2</v>
      </c>
      <c r="G462">
        <v>4</v>
      </c>
      <c r="H462" t="s">
        <v>27</v>
      </c>
      <c r="I462">
        <v>2</v>
      </c>
      <c r="J462" s="10">
        <v>0.42708333333333331</v>
      </c>
      <c r="K462" s="10">
        <v>0.44097222222222227</v>
      </c>
      <c r="L462" s="10">
        <f t="shared" si="20"/>
        <v>1.3888888888888951E-2</v>
      </c>
      <c r="M462" s="12">
        <f t="shared" si="22"/>
        <v>0.33333333333333481</v>
      </c>
      <c r="N462" s="12">
        <f>Table35[[#This Row],[Trip Hours]]*Table35[[#This Row],['#Angler]]</f>
        <v>0.66666666666666963</v>
      </c>
      <c r="O462" t="s">
        <v>28</v>
      </c>
      <c r="P462" t="s">
        <v>217</v>
      </c>
      <c r="Q462" t="s">
        <v>224</v>
      </c>
      <c r="R462" s="11">
        <v>0</v>
      </c>
      <c r="S462">
        <v>0</v>
      </c>
      <c r="T462">
        <v>0</v>
      </c>
      <c r="U462" s="11">
        <v>0</v>
      </c>
      <c r="V462">
        <v>0</v>
      </c>
      <c r="W462">
        <v>0</v>
      </c>
      <c r="X462" s="11">
        <f t="shared" si="21"/>
        <v>0</v>
      </c>
      <c r="Y462">
        <f t="shared" si="21"/>
        <v>0</v>
      </c>
      <c r="Z462">
        <f t="shared" si="21"/>
        <v>0</v>
      </c>
      <c r="AA462" s="11"/>
    </row>
    <row r="463" spans="1:27" x14ac:dyDescent="0.3">
      <c r="A463" s="7">
        <v>45582</v>
      </c>
      <c r="B463">
        <v>9</v>
      </c>
      <c r="C463" t="s">
        <v>236</v>
      </c>
      <c r="D463" t="s">
        <v>26</v>
      </c>
      <c r="E463">
        <v>14</v>
      </c>
      <c r="F463">
        <v>2</v>
      </c>
      <c r="G463">
        <v>4</v>
      </c>
      <c r="H463" t="s">
        <v>27</v>
      </c>
      <c r="I463">
        <v>1</v>
      </c>
      <c r="J463" s="10">
        <v>0.375</v>
      </c>
      <c r="K463" s="10">
        <v>0.46111111111111108</v>
      </c>
      <c r="L463" s="10">
        <f t="shared" si="20"/>
        <v>8.6111111111111083E-2</v>
      </c>
      <c r="M463" s="12">
        <f t="shared" si="22"/>
        <v>2.066666666666666</v>
      </c>
      <c r="N463" s="12">
        <f>Table35[[#This Row],[Trip Hours]]*Table35[[#This Row],['#Angler]]</f>
        <v>2.066666666666666</v>
      </c>
      <c r="O463" t="s">
        <v>28</v>
      </c>
      <c r="P463" t="s">
        <v>148</v>
      </c>
      <c r="Q463" t="s">
        <v>247</v>
      </c>
      <c r="R463" s="11">
        <v>0</v>
      </c>
      <c r="S463">
        <v>0</v>
      </c>
      <c r="T463">
        <v>0</v>
      </c>
      <c r="U463" s="11">
        <v>0</v>
      </c>
      <c r="V463">
        <v>0</v>
      </c>
      <c r="W463">
        <v>0</v>
      </c>
      <c r="X463" s="11">
        <f t="shared" si="21"/>
        <v>0</v>
      </c>
      <c r="Y463">
        <f t="shared" si="21"/>
        <v>0</v>
      </c>
      <c r="Z463">
        <f t="shared" si="21"/>
        <v>0</v>
      </c>
      <c r="AA463" s="11"/>
    </row>
    <row r="464" spans="1:27" x14ac:dyDescent="0.3">
      <c r="A464" s="7">
        <v>45582</v>
      </c>
      <c r="B464">
        <v>9</v>
      </c>
      <c r="C464" t="s">
        <v>236</v>
      </c>
      <c r="D464" t="s">
        <v>26</v>
      </c>
      <c r="E464">
        <v>15</v>
      </c>
      <c r="F464">
        <v>2</v>
      </c>
      <c r="G464">
        <v>4</v>
      </c>
      <c r="H464" t="s">
        <v>27</v>
      </c>
      <c r="I464">
        <v>1</v>
      </c>
      <c r="J464" s="10">
        <v>0.4375</v>
      </c>
      <c r="K464" s="10">
        <v>0.46180555555555558</v>
      </c>
      <c r="L464" s="10">
        <f t="shared" si="20"/>
        <v>2.430555555555558E-2</v>
      </c>
      <c r="M464" s="12">
        <f t="shared" si="22"/>
        <v>0.58333333333333393</v>
      </c>
      <c r="N464" s="12">
        <f>Table35[[#This Row],[Trip Hours]]*Table35[[#This Row],['#Angler]]</f>
        <v>0.58333333333333393</v>
      </c>
      <c r="O464" t="s">
        <v>28</v>
      </c>
      <c r="P464" t="s">
        <v>326</v>
      </c>
      <c r="Q464" t="s">
        <v>247</v>
      </c>
      <c r="R464" s="11">
        <v>0</v>
      </c>
      <c r="S464">
        <v>0</v>
      </c>
      <c r="T464">
        <v>0</v>
      </c>
      <c r="U464" s="11">
        <v>0</v>
      </c>
      <c r="V464">
        <v>0</v>
      </c>
      <c r="W464">
        <v>0</v>
      </c>
      <c r="X464" s="11">
        <f t="shared" ref="X464:Z527" si="23">R464+U464</f>
        <v>0</v>
      </c>
      <c r="Y464">
        <f t="shared" si="23"/>
        <v>0</v>
      </c>
      <c r="Z464">
        <f t="shared" si="23"/>
        <v>0</v>
      </c>
      <c r="AA464" s="11"/>
    </row>
    <row r="465" spans="1:27" x14ac:dyDescent="0.3">
      <c r="A465" s="7">
        <v>45582</v>
      </c>
      <c r="B465">
        <v>9</v>
      </c>
      <c r="C465" t="s">
        <v>236</v>
      </c>
      <c r="D465" t="s">
        <v>26</v>
      </c>
      <c r="E465">
        <v>16</v>
      </c>
      <c r="F465">
        <v>2</v>
      </c>
      <c r="G465">
        <v>4</v>
      </c>
      <c r="H465" t="s">
        <v>27</v>
      </c>
      <c r="I465">
        <v>3</v>
      </c>
      <c r="J465" s="10">
        <v>0.44444444444444442</v>
      </c>
      <c r="K465" s="10">
        <v>0.46249999999999997</v>
      </c>
      <c r="L465" s="10">
        <f t="shared" si="20"/>
        <v>1.8055555555555547E-2</v>
      </c>
      <c r="M465" s="12">
        <f t="shared" si="22"/>
        <v>0.43333333333333313</v>
      </c>
      <c r="N465" s="12">
        <f>Table35[[#This Row],[Trip Hours]]*Table35[[#This Row],['#Angler]]</f>
        <v>1.2999999999999994</v>
      </c>
      <c r="O465" t="s">
        <v>28</v>
      </c>
      <c r="P465" t="s">
        <v>29</v>
      </c>
      <c r="Q465" t="s">
        <v>238</v>
      </c>
      <c r="R465" s="11">
        <v>0</v>
      </c>
      <c r="S465">
        <v>0</v>
      </c>
      <c r="T465">
        <v>0</v>
      </c>
      <c r="U465" s="11">
        <v>0</v>
      </c>
      <c r="V465">
        <v>0</v>
      </c>
      <c r="W465">
        <v>0</v>
      </c>
      <c r="X465" s="11">
        <f t="shared" si="23"/>
        <v>0</v>
      </c>
      <c r="Y465">
        <f t="shared" si="23"/>
        <v>0</v>
      </c>
      <c r="Z465">
        <f t="shared" si="23"/>
        <v>0</v>
      </c>
      <c r="AA465" s="11"/>
    </row>
    <row r="466" spans="1:27" x14ac:dyDescent="0.3">
      <c r="A466" s="7">
        <v>45583</v>
      </c>
      <c r="B466">
        <v>9</v>
      </c>
      <c r="C466" t="s">
        <v>236</v>
      </c>
      <c r="D466" t="s">
        <v>26</v>
      </c>
      <c r="E466">
        <v>1</v>
      </c>
      <c r="F466">
        <v>2</v>
      </c>
      <c r="G466">
        <v>2</v>
      </c>
      <c r="H466" t="s">
        <v>27</v>
      </c>
      <c r="I466">
        <v>1</v>
      </c>
      <c r="J466" s="10">
        <v>0.41666666666666669</v>
      </c>
      <c r="K466" s="10">
        <v>0.45416666666666666</v>
      </c>
      <c r="L466" s="10">
        <f t="shared" si="20"/>
        <v>3.7499999999999978E-2</v>
      </c>
      <c r="M466" s="12">
        <f t="shared" si="22"/>
        <v>0.89999999999999947</v>
      </c>
      <c r="N466" s="12">
        <f>Table35[[#This Row],[Trip Hours]]*Table35[[#This Row],['#Angler]]</f>
        <v>0.89999999999999947</v>
      </c>
      <c r="O466" t="s">
        <v>28</v>
      </c>
      <c r="P466" t="s">
        <v>258</v>
      </c>
      <c r="Q466" t="s">
        <v>224</v>
      </c>
      <c r="R466" s="11">
        <v>0</v>
      </c>
      <c r="S466">
        <v>0</v>
      </c>
      <c r="T466">
        <v>0</v>
      </c>
      <c r="U466" s="11">
        <v>0</v>
      </c>
      <c r="V466">
        <v>0</v>
      </c>
      <c r="W466">
        <v>1</v>
      </c>
      <c r="X466" s="11">
        <f t="shared" si="23"/>
        <v>0</v>
      </c>
      <c r="Y466">
        <f t="shared" si="23"/>
        <v>0</v>
      </c>
      <c r="Z466">
        <f t="shared" si="23"/>
        <v>1</v>
      </c>
      <c r="AA466" s="11"/>
    </row>
    <row r="467" spans="1:27" x14ac:dyDescent="0.3">
      <c r="A467" s="7">
        <v>45583</v>
      </c>
      <c r="B467">
        <v>9</v>
      </c>
      <c r="C467" t="s">
        <v>236</v>
      </c>
      <c r="D467" t="s">
        <v>26</v>
      </c>
      <c r="E467">
        <v>2</v>
      </c>
      <c r="F467">
        <v>2</v>
      </c>
      <c r="G467">
        <v>2</v>
      </c>
      <c r="H467" t="s">
        <v>27</v>
      </c>
      <c r="I467">
        <v>1</v>
      </c>
      <c r="J467" s="10">
        <v>0.40625</v>
      </c>
      <c r="K467" s="10">
        <v>0.45416666666666666</v>
      </c>
      <c r="L467" s="10">
        <f t="shared" si="20"/>
        <v>4.7916666666666663E-2</v>
      </c>
      <c r="M467" s="12">
        <f t="shared" si="22"/>
        <v>1.1499999999999999</v>
      </c>
      <c r="N467" s="12">
        <f>Table35[[#This Row],[Trip Hours]]*Table35[[#This Row],['#Angler]]</f>
        <v>1.1499999999999999</v>
      </c>
      <c r="O467" t="s">
        <v>28</v>
      </c>
      <c r="P467" t="s">
        <v>82</v>
      </c>
      <c r="Q467" t="s">
        <v>224</v>
      </c>
      <c r="R467" s="11">
        <v>0</v>
      </c>
      <c r="S467">
        <v>0</v>
      </c>
      <c r="T467">
        <v>0</v>
      </c>
      <c r="U467" s="11">
        <v>0</v>
      </c>
      <c r="V467">
        <v>0</v>
      </c>
      <c r="W467">
        <v>0</v>
      </c>
      <c r="X467" s="11">
        <f t="shared" si="23"/>
        <v>0</v>
      </c>
      <c r="Y467">
        <f t="shared" si="23"/>
        <v>0</v>
      </c>
      <c r="Z467">
        <f t="shared" si="23"/>
        <v>0</v>
      </c>
      <c r="AA467" s="11"/>
    </row>
    <row r="468" spans="1:27" x14ac:dyDescent="0.3">
      <c r="A468" s="7">
        <v>45583</v>
      </c>
      <c r="B468">
        <v>9</v>
      </c>
      <c r="C468" t="s">
        <v>236</v>
      </c>
      <c r="D468" t="s">
        <v>26</v>
      </c>
      <c r="E468">
        <v>3</v>
      </c>
      <c r="F468">
        <v>2</v>
      </c>
      <c r="G468">
        <v>1</v>
      </c>
      <c r="H468" t="s">
        <v>27</v>
      </c>
      <c r="I468">
        <v>1</v>
      </c>
      <c r="J468" s="10">
        <v>0.40625</v>
      </c>
      <c r="K468" s="10">
        <v>0.46249999999999997</v>
      </c>
      <c r="L468" s="10">
        <f t="shared" si="20"/>
        <v>5.6249999999999967E-2</v>
      </c>
      <c r="M468" s="12">
        <f t="shared" si="22"/>
        <v>1.3499999999999992</v>
      </c>
      <c r="N468" s="12">
        <f>Table35[[#This Row],[Trip Hours]]*Table35[[#This Row],['#Angler]]</f>
        <v>1.3499999999999992</v>
      </c>
      <c r="O468" t="s">
        <v>25</v>
      </c>
      <c r="P468" t="s">
        <v>49</v>
      </c>
      <c r="Q468" t="s">
        <v>238</v>
      </c>
      <c r="R468" s="11">
        <v>0</v>
      </c>
      <c r="S468">
        <v>0</v>
      </c>
      <c r="T468">
        <v>0</v>
      </c>
      <c r="U468" s="11">
        <v>0</v>
      </c>
      <c r="V468">
        <v>0</v>
      </c>
      <c r="W468">
        <v>0</v>
      </c>
      <c r="X468" s="11">
        <f t="shared" si="23"/>
        <v>0</v>
      </c>
      <c r="Y468">
        <f t="shared" si="23"/>
        <v>0</v>
      </c>
      <c r="Z468">
        <f t="shared" si="23"/>
        <v>0</v>
      </c>
      <c r="AA468" s="11"/>
    </row>
    <row r="469" spans="1:27" x14ac:dyDescent="0.3">
      <c r="A469" s="7">
        <v>45583</v>
      </c>
      <c r="B469">
        <v>9</v>
      </c>
      <c r="C469" t="s">
        <v>236</v>
      </c>
      <c r="D469" t="s">
        <v>42</v>
      </c>
      <c r="E469">
        <v>4</v>
      </c>
      <c r="F469">
        <v>2</v>
      </c>
      <c r="G469">
        <v>2</v>
      </c>
      <c r="H469" t="s">
        <v>27</v>
      </c>
      <c r="I469">
        <v>2</v>
      </c>
      <c r="J469" s="10">
        <v>0.58333333333333337</v>
      </c>
      <c r="K469" s="10">
        <v>0.63263888888888886</v>
      </c>
      <c r="L469" s="10">
        <f t="shared" si="20"/>
        <v>4.9305555555555491E-2</v>
      </c>
      <c r="M469" s="12">
        <f t="shared" si="22"/>
        <v>1.1833333333333318</v>
      </c>
      <c r="N469" s="12">
        <f>Table35[[#This Row],[Trip Hours]]*Table35[[#This Row],['#Angler]]</f>
        <v>2.3666666666666636</v>
      </c>
      <c r="O469" t="s">
        <v>28</v>
      </c>
      <c r="P469" t="s">
        <v>47</v>
      </c>
      <c r="Q469" t="s">
        <v>241</v>
      </c>
      <c r="R469" s="11">
        <v>0</v>
      </c>
      <c r="S469">
        <v>0</v>
      </c>
      <c r="T469">
        <v>0</v>
      </c>
      <c r="U469" s="11">
        <v>0</v>
      </c>
      <c r="V469">
        <v>0</v>
      </c>
      <c r="W469">
        <v>0</v>
      </c>
      <c r="X469" s="11">
        <f t="shared" si="23"/>
        <v>0</v>
      </c>
      <c r="Y469">
        <f t="shared" si="23"/>
        <v>0</v>
      </c>
      <c r="Z469">
        <f t="shared" si="23"/>
        <v>0</v>
      </c>
      <c r="AA469" s="11"/>
    </row>
    <row r="470" spans="1:27" x14ac:dyDescent="0.3">
      <c r="A470" s="7">
        <v>45583</v>
      </c>
      <c r="B470">
        <v>9</v>
      </c>
      <c r="C470" t="s">
        <v>236</v>
      </c>
      <c r="D470" t="s">
        <v>42</v>
      </c>
      <c r="E470">
        <v>5</v>
      </c>
      <c r="F470">
        <v>2</v>
      </c>
      <c r="G470">
        <v>2</v>
      </c>
      <c r="H470" t="s">
        <v>27</v>
      </c>
      <c r="I470">
        <v>1</v>
      </c>
      <c r="J470" s="10">
        <v>0.62152777777777779</v>
      </c>
      <c r="K470" s="10">
        <v>0.63472222222222219</v>
      </c>
      <c r="L470" s="10">
        <f t="shared" si="20"/>
        <v>1.3194444444444398E-2</v>
      </c>
      <c r="M470" s="12">
        <f t="shared" si="22"/>
        <v>0.31666666666666554</v>
      </c>
      <c r="N470" s="12">
        <f>Table35[[#This Row],[Trip Hours]]*Table35[[#This Row],['#Angler]]</f>
        <v>0.31666666666666554</v>
      </c>
      <c r="O470" t="s">
        <v>28</v>
      </c>
      <c r="P470" t="s">
        <v>294</v>
      </c>
      <c r="Q470" t="s">
        <v>241</v>
      </c>
      <c r="R470" s="11">
        <v>0</v>
      </c>
      <c r="S470">
        <v>0</v>
      </c>
      <c r="T470">
        <v>0</v>
      </c>
      <c r="U470" s="11">
        <v>0</v>
      </c>
      <c r="V470">
        <v>0</v>
      </c>
      <c r="W470">
        <v>0</v>
      </c>
      <c r="X470" s="11">
        <f t="shared" si="23"/>
        <v>0</v>
      </c>
      <c r="Y470">
        <f t="shared" si="23"/>
        <v>0</v>
      </c>
      <c r="Z470">
        <f t="shared" si="23"/>
        <v>0</v>
      </c>
      <c r="AA470" s="11"/>
    </row>
    <row r="471" spans="1:27" x14ac:dyDescent="0.3">
      <c r="A471" s="7">
        <v>45583</v>
      </c>
      <c r="B471">
        <v>9</v>
      </c>
      <c r="C471" t="s">
        <v>236</v>
      </c>
      <c r="D471" t="s">
        <v>42</v>
      </c>
      <c r="E471">
        <v>6</v>
      </c>
      <c r="F471">
        <v>2</v>
      </c>
      <c r="G471">
        <v>2</v>
      </c>
      <c r="H471" t="s">
        <v>27</v>
      </c>
      <c r="I471">
        <v>1</v>
      </c>
      <c r="J471" s="10">
        <v>0.33333333333333331</v>
      </c>
      <c r="K471" s="10">
        <v>0.39583333333333331</v>
      </c>
      <c r="L471" s="10">
        <f t="shared" si="20"/>
        <v>6.25E-2</v>
      </c>
      <c r="M471" s="12">
        <f t="shared" si="22"/>
        <v>1.5</v>
      </c>
      <c r="N471" s="12">
        <f>Table35[[#This Row],[Trip Hours]]*Table35[[#This Row],['#Angler]]</f>
        <v>1.5</v>
      </c>
      <c r="O471" t="s">
        <v>25</v>
      </c>
      <c r="P471" t="s">
        <v>56</v>
      </c>
      <c r="Q471" t="s">
        <v>224</v>
      </c>
      <c r="R471" s="11">
        <v>0</v>
      </c>
      <c r="S471">
        <v>0</v>
      </c>
      <c r="T471">
        <v>0</v>
      </c>
      <c r="U471" s="11">
        <v>0</v>
      </c>
      <c r="V471">
        <v>0</v>
      </c>
      <c r="W471">
        <v>0</v>
      </c>
      <c r="X471" s="11">
        <f t="shared" si="23"/>
        <v>0</v>
      </c>
      <c r="Y471">
        <f t="shared" si="23"/>
        <v>0</v>
      </c>
      <c r="Z471">
        <f t="shared" si="23"/>
        <v>0</v>
      </c>
      <c r="AA471" s="11"/>
    </row>
    <row r="472" spans="1:27" x14ac:dyDescent="0.3">
      <c r="A472" s="7">
        <v>45583</v>
      </c>
      <c r="B472">
        <v>9</v>
      </c>
      <c r="C472" t="s">
        <v>236</v>
      </c>
      <c r="D472" t="s">
        <v>42</v>
      </c>
      <c r="E472">
        <v>7</v>
      </c>
      <c r="F472">
        <v>2</v>
      </c>
      <c r="G472">
        <v>2</v>
      </c>
      <c r="H472" t="s">
        <v>27</v>
      </c>
      <c r="I472">
        <v>1</v>
      </c>
      <c r="J472" s="10">
        <v>0.52083333333333337</v>
      </c>
      <c r="K472" s="10">
        <v>0.64444444444444449</v>
      </c>
      <c r="L472" s="10">
        <f t="shared" si="20"/>
        <v>0.12361111111111112</v>
      </c>
      <c r="M472" s="12">
        <f t="shared" si="22"/>
        <v>2.9666666666666668</v>
      </c>
      <c r="N472" s="12">
        <f>Table35[[#This Row],[Trip Hours]]*Table35[[#This Row],['#Angler]]</f>
        <v>2.9666666666666668</v>
      </c>
      <c r="O472" t="s">
        <v>25</v>
      </c>
      <c r="P472" t="s">
        <v>56</v>
      </c>
      <c r="Q472" t="s">
        <v>224</v>
      </c>
      <c r="R472" s="11">
        <v>0</v>
      </c>
      <c r="S472">
        <v>0</v>
      </c>
      <c r="T472">
        <v>0</v>
      </c>
      <c r="U472" s="11">
        <v>0</v>
      </c>
      <c r="V472">
        <v>0</v>
      </c>
      <c r="W472">
        <v>0</v>
      </c>
      <c r="X472" s="11">
        <f t="shared" si="23"/>
        <v>0</v>
      </c>
      <c r="Y472">
        <f t="shared" si="23"/>
        <v>0</v>
      </c>
      <c r="Z472">
        <f t="shared" si="23"/>
        <v>0</v>
      </c>
      <c r="AA472" s="11"/>
    </row>
    <row r="473" spans="1:27" x14ac:dyDescent="0.3">
      <c r="A473" s="7">
        <v>45583</v>
      </c>
      <c r="B473">
        <v>9</v>
      </c>
      <c r="C473" t="s">
        <v>236</v>
      </c>
      <c r="D473" t="s">
        <v>42</v>
      </c>
      <c r="E473">
        <v>8</v>
      </c>
      <c r="F473">
        <v>2</v>
      </c>
      <c r="G473">
        <v>2</v>
      </c>
      <c r="H473" t="s">
        <v>27</v>
      </c>
      <c r="I473">
        <v>1</v>
      </c>
      <c r="J473" s="10">
        <v>0.60416666666666663</v>
      </c>
      <c r="K473" s="10">
        <v>0.65902777777777777</v>
      </c>
      <c r="L473" s="10">
        <f t="shared" si="20"/>
        <v>5.4861111111111138E-2</v>
      </c>
      <c r="M473" s="12">
        <f t="shared" si="22"/>
        <v>1.3166666666666673</v>
      </c>
      <c r="N473" s="12">
        <f>Table35[[#This Row],[Trip Hours]]*Table35[[#This Row],['#Angler]]</f>
        <v>1.3166666666666673</v>
      </c>
      <c r="O473" t="s">
        <v>25</v>
      </c>
      <c r="P473" t="s">
        <v>258</v>
      </c>
      <c r="Q473" t="s">
        <v>247</v>
      </c>
      <c r="R473" s="11">
        <v>0</v>
      </c>
      <c r="S473">
        <v>0</v>
      </c>
      <c r="T473">
        <v>0</v>
      </c>
      <c r="U473" s="11">
        <v>0</v>
      </c>
      <c r="V473">
        <v>0</v>
      </c>
      <c r="W473">
        <v>0</v>
      </c>
      <c r="X473" s="11">
        <f t="shared" si="23"/>
        <v>0</v>
      </c>
      <c r="Y473">
        <f t="shared" si="23"/>
        <v>0</v>
      </c>
      <c r="Z473">
        <f t="shared" si="23"/>
        <v>0</v>
      </c>
      <c r="AA473" s="11"/>
    </row>
    <row r="474" spans="1:27" x14ac:dyDescent="0.3">
      <c r="A474" s="7">
        <v>45583</v>
      </c>
      <c r="B474">
        <v>9</v>
      </c>
      <c r="C474" t="s">
        <v>236</v>
      </c>
      <c r="D474" t="s">
        <v>42</v>
      </c>
      <c r="E474">
        <v>9</v>
      </c>
      <c r="F474">
        <v>2</v>
      </c>
      <c r="G474">
        <v>4</v>
      </c>
      <c r="H474" t="s">
        <v>27</v>
      </c>
      <c r="I474">
        <v>2</v>
      </c>
      <c r="J474" s="10">
        <v>0.625</v>
      </c>
      <c r="K474" s="10">
        <v>0.70138888888888884</v>
      </c>
      <c r="L474" s="10">
        <f t="shared" si="20"/>
        <v>7.638888888888884E-2</v>
      </c>
      <c r="M474" s="12">
        <f t="shared" si="22"/>
        <v>1.8333333333333321</v>
      </c>
      <c r="N474" s="12">
        <f>Table35[[#This Row],[Trip Hours]]*Table35[[#This Row],['#Angler]]</f>
        <v>3.6666666666666643</v>
      </c>
      <c r="O474" t="s">
        <v>28</v>
      </c>
      <c r="P474" t="s">
        <v>327</v>
      </c>
      <c r="Q474" t="s">
        <v>224</v>
      </c>
      <c r="R474" s="11">
        <v>0</v>
      </c>
      <c r="S474">
        <v>0</v>
      </c>
      <c r="T474">
        <v>0</v>
      </c>
      <c r="U474" s="11">
        <v>0</v>
      </c>
      <c r="V474">
        <v>0</v>
      </c>
      <c r="W474">
        <v>0</v>
      </c>
      <c r="X474" s="11">
        <f t="shared" si="23"/>
        <v>0</v>
      </c>
      <c r="Y474">
        <f t="shared" si="23"/>
        <v>0</v>
      </c>
      <c r="Z474">
        <f t="shared" si="23"/>
        <v>0</v>
      </c>
      <c r="AA474" s="11"/>
    </row>
    <row r="475" spans="1:27" x14ac:dyDescent="0.3">
      <c r="A475" s="7">
        <v>45583</v>
      </c>
      <c r="B475">
        <v>9</v>
      </c>
      <c r="C475" t="s">
        <v>236</v>
      </c>
      <c r="D475" t="s">
        <v>42</v>
      </c>
      <c r="E475">
        <v>10</v>
      </c>
      <c r="F475">
        <v>2</v>
      </c>
      <c r="G475">
        <v>4</v>
      </c>
      <c r="H475" t="s">
        <v>27</v>
      </c>
      <c r="I475">
        <v>1</v>
      </c>
      <c r="J475" s="10">
        <v>0.66666666666666663</v>
      </c>
      <c r="K475" s="10">
        <v>0.70208333333333339</v>
      </c>
      <c r="L475" s="10">
        <f t="shared" si="20"/>
        <v>3.5416666666666763E-2</v>
      </c>
      <c r="M475" s="12">
        <f t="shared" si="22"/>
        <v>0.85000000000000231</v>
      </c>
      <c r="N475" s="12">
        <f>Table35[[#This Row],[Trip Hours]]*Table35[[#This Row],['#Angler]]</f>
        <v>0.85000000000000231</v>
      </c>
      <c r="O475" t="s">
        <v>28</v>
      </c>
      <c r="P475" t="s">
        <v>217</v>
      </c>
      <c r="Q475" t="s">
        <v>241</v>
      </c>
      <c r="R475" s="11">
        <v>0</v>
      </c>
      <c r="S475">
        <v>0</v>
      </c>
      <c r="T475">
        <v>0</v>
      </c>
      <c r="U475" s="11">
        <v>0</v>
      </c>
      <c r="V475">
        <v>0</v>
      </c>
      <c r="W475">
        <v>0</v>
      </c>
      <c r="X475" s="11">
        <f t="shared" si="23"/>
        <v>0</v>
      </c>
      <c r="Y475">
        <f t="shared" si="23"/>
        <v>0</v>
      </c>
      <c r="Z475">
        <f t="shared" si="23"/>
        <v>0</v>
      </c>
      <c r="AA475" s="11"/>
    </row>
    <row r="476" spans="1:27" x14ac:dyDescent="0.3">
      <c r="A476" s="7">
        <v>45583</v>
      </c>
      <c r="B476">
        <v>9</v>
      </c>
      <c r="C476" t="s">
        <v>236</v>
      </c>
      <c r="D476" t="s">
        <v>42</v>
      </c>
      <c r="E476">
        <v>11</v>
      </c>
      <c r="F476">
        <v>2</v>
      </c>
      <c r="G476">
        <v>5</v>
      </c>
      <c r="H476" t="s">
        <v>27</v>
      </c>
      <c r="I476">
        <v>3</v>
      </c>
      <c r="J476" s="10">
        <v>0.625</v>
      </c>
      <c r="K476" s="10">
        <v>0.71527777777777779</v>
      </c>
      <c r="L476" s="10">
        <f t="shared" si="20"/>
        <v>9.027777777777779E-2</v>
      </c>
      <c r="M476" s="12">
        <f t="shared" si="22"/>
        <v>2.166666666666667</v>
      </c>
      <c r="N476" s="12">
        <f>Table35[[#This Row],[Trip Hours]]*Table35[[#This Row],['#Angler]]</f>
        <v>6.5000000000000009</v>
      </c>
      <c r="O476" t="s">
        <v>28</v>
      </c>
      <c r="P476" t="s">
        <v>51</v>
      </c>
      <c r="Q476" t="s">
        <v>247</v>
      </c>
      <c r="R476" s="11">
        <v>0</v>
      </c>
      <c r="S476">
        <v>0</v>
      </c>
      <c r="T476">
        <v>0</v>
      </c>
      <c r="U476" s="11">
        <v>0</v>
      </c>
      <c r="V476">
        <v>0</v>
      </c>
      <c r="W476">
        <v>0</v>
      </c>
      <c r="X476" s="11">
        <f t="shared" si="23"/>
        <v>0</v>
      </c>
      <c r="Y476">
        <f t="shared" si="23"/>
        <v>0</v>
      </c>
      <c r="Z476">
        <f t="shared" si="23"/>
        <v>0</v>
      </c>
      <c r="AA476" s="11"/>
    </row>
    <row r="477" spans="1:27" x14ac:dyDescent="0.3">
      <c r="A477" s="7">
        <v>45583</v>
      </c>
      <c r="B477">
        <v>9</v>
      </c>
      <c r="C477" t="s">
        <v>236</v>
      </c>
      <c r="D477" t="s">
        <v>42</v>
      </c>
      <c r="E477">
        <v>12</v>
      </c>
      <c r="F477">
        <v>2</v>
      </c>
      <c r="G477">
        <v>5</v>
      </c>
      <c r="H477" t="s">
        <v>27</v>
      </c>
      <c r="I477">
        <v>2</v>
      </c>
      <c r="J477" s="10">
        <v>0.67708333333333337</v>
      </c>
      <c r="K477" s="10">
        <v>0.72222222222222221</v>
      </c>
      <c r="L477" s="10">
        <f t="shared" si="20"/>
        <v>4.513888888888884E-2</v>
      </c>
      <c r="M477" s="12">
        <f t="shared" si="22"/>
        <v>1.0833333333333321</v>
      </c>
      <c r="N477" s="12">
        <f>Table35[[#This Row],[Trip Hours]]*Table35[[#This Row],['#Angler]]</f>
        <v>2.1666666666666643</v>
      </c>
      <c r="O477" t="s">
        <v>28</v>
      </c>
      <c r="P477" t="s">
        <v>51</v>
      </c>
      <c r="Q477" t="s">
        <v>241</v>
      </c>
      <c r="R477" s="11">
        <v>0</v>
      </c>
      <c r="S477">
        <v>0</v>
      </c>
      <c r="T477">
        <v>0</v>
      </c>
      <c r="U477" s="11">
        <v>0</v>
      </c>
      <c r="V477">
        <v>0</v>
      </c>
      <c r="W477">
        <v>0</v>
      </c>
      <c r="X477" s="11">
        <f t="shared" si="23"/>
        <v>0</v>
      </c>
      <c r="Y477">
        <f t="shared" si="23"/>
        <v>0</v>
      </c>
      <c r="Z477">
        <f t="shared" si="23"/>
        <v>0</v>
      </c>
      <c r="AA477" s="11"/>
    </row>
    <row r="478" spans="1:27" x14ac:dyDescent="0.3">
      <c r="A478" s="7">
        <v>45583</v>
      </c>
      <c r="B478">
        <v>9</v>
      </c>
      <c r="C478" t="s">
        <v>236</v>
      </c>
      <c r="D478" t="s">
        <v>42</v>
      </c>
      <c r="E478">
        <v>13</v>
      </c>
      <c r="F478">
        <v>3</v>
      </c>
      <c r="G478">
        <v>6</v>
      </c>
      <c r="H478" t="s">
        <v>27</v>
      </c>
      <c r="I478">
        <v>1</v>
      </c>
      <c r="J478" s="10">
        <v>0.73611111111111116</v>
      </c>
      <c r="K478" s="10">
        <v>0.76180555555555562</v>
      </c>
      <c r="L478" s="10">
        <f t="shared" si="20"/>
        <v>2.5694444444444464E-2</v>
      </c>
      <c r="M478" s="12">
        <f t="shared" si="22"/>
        <v>0.61666666666666714</v>
      </c>
      <c r="N478" s="12">
        <f>Table35[[#This Row],[Trip Hours]]*Table35[[#This Row],['#Angler]]</f>
        <v>0.61666666666666714</v>
      </c>
      <c r="O478" t="s">
        <v>25</v>
      </c>
      <c r="P478" t="s">
        <v>49</v>
      </c>
      <c r="Q478" t="s">
        <v>241</v>
      </c>
      <c r="R478" s="11">
        <v>0</v>
      </c>
      <c r="S478">
        <v>0</v>
      </c>
      <c r="T478">
        <v>0</v>
      </c>
      <c r="U478" s="11">
        <v>0</v>
      </c>
      <c r="V478">
        <v>0</v>
      </c>
      <c r="W478">
        <v>0</v>
      </c>
      <c r="X478" s="11">
        <f t="shared" si="23"/>
        <v>0</v>
      </c>
      <c r="Y478">
        <f t="shared" si="23"/>
        <v>0</v>
      </c>
      <c r="Z478">
        <f t="shared" si="23"/>
        <v>0</v>
      </c>
      <c r="AA478" s="11"/>
    </row>
    <row r="479" spans="1:27" x14ac:dyDescent="0.3">
      <c r="A479" s="7">
        <v>45583</v>
      </c>
      <c r="B479">
        <v>9</v>
      </c>
      <c r="C479" t="s">
        <v>236</v>
      </c>
      <c r="D479" t="s">
        <v>42</v>
      </c>
      <c r="E479">
        <v>14</v>
      </c>
      <c r="F479">
        <v>3</v>
      </c>
      <c r="G479">
        <v>6</v>
      </c>
      <c r="H479" t="s">
        <v>27</v>
      </c>
      <c r="I479">
        <v>1</v>
      </c>
      <c r="J479" s="10">
        <v>0.70833333333333337</v>
      </c>
      <c r="K479" s="10">
        <v>0.76388888888888884</v>
      </c>
      <c r="L479" s="10">
        <f t="shared" si="20"/>
        <v>5.5555555555555469E-2</v>
      </c>
      <c r="M479" s="12">
        <f t="shared" si="22"/>
        <v>1.3333333333333313</v>
      </c>
      <c r="N479" s="12">
        <f>Table35[[#This Row],[Trip Hours]]*Table35[[#This Row],['#Angler]]</f>
        <v>1.3333333333333313</v>
      </c>
      <c r="O479" t="s">
        <v>25</v>
      </c>
      <c r="P479" t="s">
        <v>51</v>
      </c>
      <c r="Q479" t="s">
        <v>224</v>
      </c>
      <c r="R479" s="11">
        <v>0</v>
      </c>
      <c r="S479">
        <v>0</v>
      </c>
      <c r="T479">
        <v>0</v>
      </c>
      <c r="U479" s="11">
        <v>0</v>
      </c>
      <c r="V479">
        <v>0</v>
      </c>
      <c r="W479">
        <v>0</v>
      </c>
      <c r="X479" s="11">
        <f t="shared" si="23"/>
        <v>0</v>
      </c>
      <c r="Y479">
        <f t="shared" si="23"/>
        <v>0</v>
      </c>
      <c r="Z479">
        <f t="shared" si="23"/>
        <v>0</v>
      </c>
      <c r="AA479" s="11"/>
    </row>
    <row r="480" spans="1:27" x14ac:dyDescent="0.3">
      <c r="A480" s="7">
        <v>45583</v>
      </c>
      <c r="B480">
        <v>9</v>
      </c>
      <c r="C480" t="s">
        <v>236</v>
      </c>
      <c r="D480" t="s">
        <v>42</v>
      </c>
      <c r="E480">
        <v>15</v>
      </c>
      <c r="F480">
        <v>3</v>
      </c>
      <c r="G480">
        <v>6</v>
      </c>
      <c r="H480" t="s">
        <v>27</v>
      </c>
      <c r="I480">
        <v>1</v>
      </c>
      <c r="J480" s="10">
        <v>0.60416666666666663</v>
      </c>
      <c r="K480" s="10">
        <v>0.76388888888888884</v>
      </c>
      <c r="L480" s="10">
        <f t="shared" si="20"/>
        <v>0.15972222222222221</v>
      </c>
      <c r="M480" s="12">
        <f t="shared" si="22"/>
        <v>3.833333333333333</v>
      </c>
      <c r="N480" s="12">
        <f>Table35[[#This Row],[Trip Hours]]*Table35[[#This Row],['#Angler]]</f>
        <v>3.833333333333333</v>
      </c>
      <c r="O480" t="s">
        <v>25</v>
      </c>
      <c r="P480" t="s">
        <v>51</v>
      </c>
      <c r="Q480" t="s">
        <v>224</v>
      </c>
      <c r="R480" s="11">
        <v>0</v>
      </c>
      <c r="S480">
        <v>0</v>
      </c>
      <c r="T480">
        <v>0</v>
      </c>
      <c r="U480" s="11">
        <v>0</v>
      </c>
      <c r="V480">
        <v>0</v>
      </c>
      <c r="W480">
        <v>0</v>
      </c>
      <c r="X480" s="11">
        <f t="shared" si="23"/>
        <v>0</v>
      </c>
      <c r="Y480">
        <f t="shared" si="23"/>
        <v>0</v>
      </c>
      <c r="Z480">
        <f t="shared" si="23"/>
        <v>0</v>
      </c>
      <c r="AA480" s="11"/>
    </row>
    <row r="481" spans="1:27" x14ac:dyDescent="0.3">
      <c r="A481" s="7">
        <v>45583</v>
      </c>
      <c r="B481">
        <v>9</v>
      </c>
      <c r="C481" t="s">
        <v>236</v>
      </c>
      <c r="D481" t="s">
        <v>42</v>
      </c>
      <c r="E481">
        <v>16</v>
      </c>
      <c r="F481">
        <v>3</v>
      </c>
      <c r="G481">
        <v>6</v>
      </c>
      <c r="H481" t="s">
        <v>27</v>
      </c>
      <c r="I481">
        <v>1</v>
      </c>
      <c r="J481" s="10">
        <v>0.66666666666666663</v>
      </c>
      <c r="K481" s="10">
        <v>0.76388888888888884</v>
      </c>
      <c r="L481" s="10">
        <f t="shared" si="20"/>
        <v>9.722222222222221E-2</v>
      </c>
      <c r="M481" s="12">
        <f t="shared" si="22"/>
        <v>2.333333333333333</v>
      </c>
      <c r="N481" s="12">
        <f>Table35[[#This Row],[Trip Hours]]*Table35[[#This Row],['#Angler]]</f>
        <v>2.333333333333333</v>
      </c>
      <c r="O481" t="s">
        <v>25</v>
      </c>
      <c r="P481" t="s">
        <v>219</v>
      </c>
      <c r="Q481" t="s">
        <v>247</v>
      </c>
      <c r="R481" s="11">
        <v>0</v>
      </c>
      <c r="S481">
        <v>0</v>
      </c>
      <c r="T481">
        <v>0</v>
      </c>
      <c r="U481" s="11">
        <v>0</v>
      </c>
      <c r="V481">
        <v>0</v>
      </c>
      <c r="W481">
        <v>0</v>
      </c>
      <c r="X481" s="11">
        <f t="shared" si="23"/>
        <v>0</v>
      </c>
      <c r="Y481">
        <f t="shared" si="23"/>
        <v>0</v>
      </c>
      <c r="Z481">
        <f t="shared" si="23"/>
        <v>0</v>
      </c>
      <c r="AA481" s="11"/>
    </row>
    <row r="482" spans="1:27" x14ac:dyDescent="0.3">
      <c r="A482" s="7">
        <v>45583</v>
      </c>
      <c r="B482">
        <v>9</v>
      </c>
      <c r="C482" t="s">
        <v>236</v>
      </c>
      <c r="D482" t="s">
        <v>42</v>
      </c>
      <c r="E482">
        <v>17</v>
      </c>
      <c r="F482">
        <v>3</v>
      </c>
      <c r="G482">
        <v>6</v>
      </c>
      <c r="H482" t="s">
        <v>27</v>
      </c>
      <c r="I482">
        <v>1</v>
      </c>
      <c r="J482" s="10">
        <v>0.73958333333333337</v>
      </c>
      <c r="K482" s="10">
        <v>0.76388888888888884</v>
      </c>
      <c r="L482" s="10">
        <f t="shared" si="20"/>
        <v>2.4305555555555469E-2</v>
      </c>
      <c r="M482" s="12">
        <f t="shared" si="22"/>
        <v>0.58333333333333126</v>
      </c>
      <c r="N482" s="12">
        <f>Table35[[#This Row],[Trip Hours]]*Table35[[#This Row],['#Angler]]</f>
        <v>0.58333333333333126</v>
      </c>
      <c r="O482" t="s">
        <v>25</v>
      </c>
      <c r="P482" t="s">
        <v>219</v>
      </c>
      <c r="Q482" t="s">
        <v>241</v>
      </c>
      <c r="R482" s="11">
        <v>0</v>
      </c>
      <c r="S482">
        <v>0</v>
      </c>
      <c r="T482">
        <v>0</v>
      </c>
      <c r="U482" s="11">
        <v>0</v>
      </c>
      <c r="V482">
        <v>0</v>
      </c>
      <c r="W482">
        <v>0</v>
      </c>
      <c r="X482" s="11">
        <f t="shared" si="23"/>
        <v>0</v>
      </c>
      <c r="Y482">
        <f t="shared" si="23"/>
        <v>0</v>
      </c>
      <c r="Z482">
        <f t="shared" si="23"/>
        <v>0</v>
      </c>
      <c r="AA482" s="11"/>
    </row>
    <row r="483" spans="1:27" x14ac:dyDescent="0.3">
      <c r="A483" s="7">
        <v>45584</v>
      </c>
      <c r="B483">
        <v>9</v>
      </c>
      <c r="C483" t="s">
        <v>250</v>
      </c>
      <c r="D483" t="s">
        <v>26</v>
      </c>
      <c r="E483">
        <v>1</v>
      </c>
      <c r="F483">
        <v>2</v>
      </c>
      <c r="G483">
        <v>3</v>
      </c>
      <c r="H483" t="s">
        <v>27</v>
      </c>
      <c r="I483">
        <v>2</v>
      </c>
      <c r="J483" s="10">
        <v>0.25</v>
      </c>
      <c r="K483" s="10">
        <v>0.41597222222222219</v>
      </c>
      <c r="L483" s="10">
        <f t="shared" si="20"/>
        <v>0.16597222222222219</v>
      </c>
      <c r="M483" s="12">
        <f t="shared" si="22"/>
        <v>3.9833333333333325</v>
      </c>
      <c r="N483" s="12">
        <f>Table35[[#This Row],[Trip Hours]]*Table35[[#This Row],['#Angler]]</f>
        <v>7.966666666666665</v>
      </c>
      <c r="O483" t="s">
        <v>25</v>
      </c>
      <c r="P483" t="s">
        <v>328</v>
      </c>
      <c r="Q483" t="s">
        <v>241</v>
      </c>
      <c r="R483" s="11">
        <v>0</v>
      </c>
      <c r="S483">
        <v>0</v>
      </c>
      <c r="T483">
        <v>1</v>
      </c>
      <c r="U483" s="11">
        <v>0</v>
      </c>
      <c r="V483">
        <v>0</v>
      </c>
      <c r="W483">
        <v>0</v>
      </c>
      <c r="X483" s="11">
        <f t="shared" si="23"/>
        <v>0</v>
      </c>
      <c r="Y483">
        <f t="shared" si="23"/>
        <v>0</v>
      </c>
      <c r="Z483">
        <f t="shared" si="23"/>
        <v>1</v>
      </c>
      <c r="AA483" s="11"/>
    </row>
    <row r="484" spans="1:27" x14ac:dyDescent="0.3">
      <c r="A484" s="7">
        <v>45584</v>
      </c>
      <c r="B484">
        <v>9</v>
      </c>
      <c r="C484" t="s">
        <v>250</v>
      </c>
      <c r="D484" t="s">
        <v>26</v>
      </c>
      <c r="E484">
        <v>2</v>
      </c>
      <c r="F484">
        <v>2</v>
      </c>
      <c r="G484">
        <v>4</v>
      </c>
      <c r="H484" t="s">
        <v>27</v>
      </c>
      <c r="I484">
        <v>1</v>
      </c>
      <c r="J484" s="10">
        <v>0.41319444444444442</v>
      </c>
      <c r="K484" s="10">
        <v>0.4284722222222222</v>
      </c>
      <c r="L484" s="10">
        <f t="shared" si="20"/>
        <v>1.5277777777777779E-2</v>
      </c>
      <c r="M484" s="12">
        <f t="shared" si="22"/>
        <v>0.3666666666666667</v>
      </c>
      <c r="N484" s="12">
        <f>Table35[[#This Row],[Trip Hours]]*Table35[[#This Row],['#Angler]]</f>
        <v>0.3666666666666667</v>
      </c>
      <c r="O484" t="s">
        <v>28</v>
      </c>
      <c r="P484" t="s">
        <v>73</v>
      </c>
      <c r="Q484" t="s">
        <v>241</v>
      </c>
      <c r="R484" s="11">
        <v>0</v>
      </c>
      <c r="S484">
        <v>0</v>
      </c>
      <c r="T484">
        <v>0</v>
      </c>
      <c r="U484" s="11">
        <v>0</v>
      </c>
      <c r="V484">
        <v>0</v>
      </c>
      <c r="W484">
        <v>0</v>
      </c>
      <c r="X484" s="11">
        <f t="shared" si="23"/>
        <v>0</v>
      </c>
      <c r="Y484">
        <f t="shared" si="23"/>
        <v>0</v>
      </c>
      <c r="Z484">
        <f t="shared" si="23"/>
        <v>0</v>
      </c>
      <c r="AA484" s="11"/>
    </row>
    <row r="485" spans="1:27" x14ac:dyDescent="0.3">
      <c r="A485" s="7">
        <v>45584</v>
      </c>
      <c r="B485">
        <v>9</v>
      </c>
      <c r="C485" t="s">
        <v>250</v>
      </c>
      <c r="D485" t="s">
        <v>26</v>
      </c>
      <c r="E485">
        <v>3</v>
      </c>
      <c r="F485">
        <v>2</v>
      </c>
      <c r="G485">
        <v>4</v>
      </c>
      <c r="H485" t="s">
        <v>27</v>
      </c>
      <c r="I485">
        <v>1</v>
      </c>
      <c r="J485" s="10">
        <v>0.39583333333333331</v>
      </c>
      <c r="K485" s="10">
        <v>0.4291666666666667</v>
      </c>
      <c r="L485" s="10">
        <f t="shared" si="20"/>
        <v>3.3333333333333381E-2</v>
      </c>
      <c r="M485" s="12">
        <f t="shared" si="22"/>
        <v>0.80000000000000115</v>
      </c>
      <c r="N485" s="12">
        <f>Table35[[#This Row],[Trip Hours]]*Table35[[#This Row],['#Angler]]</f>
        <v>0.80000000000000115</v>
      </c>
      <c r="O485" t="s">
        <v>28</v>
      </c>
      <c r="P485" t="s">
        <v>217</v>
      </c>
      <c r="Q485" t="s">
        <v>224</v>
      </c>
      <c r="R485" s="11">
        <v>0</v>
      </c>
      <c r="S485">
        <v>0</v>
      </c>
      <c r="T485">
        <v>0</v>
      </c>
      <c r="U485" s="11">
        <v>0</v>
      </c>
      <c r="V485">
        <v>0</v>
      </c>
      <c r="W485">
        <v>0</v>
      </c>
      <c r="X485" s="11">
        <f t="shared" si="23"/>
        <v>0</v>
      </c>
      <c r="Y485">
        <f t="shared" si="23"/>
        <v>0</v>
      </c>
      <c r="Z485">
        <f t="shared" si="23"/>
        <v>0</v>
      </c>
      <c r="AA485" s="11"/>
    </row>
    <row r="486" spans="1:27" x14ac:dyDescent="0.3">
      <c r="A486" s="7">
        <v>45584</v>
      </c>
      <c r="B486">
        <v>9</v>
      </c>
      <c r="C486" t="s">
        <v>250</v>
      </c>
      <c r="D486" t="s">
        <v>26</v>
      </c>
      <c r="E486">
        <v>4</v>
      </c>
      <c r="F486">
        <v>2</v>
      </c>
      <c r="G486">
        <v>4</v>
      </c>
      <c r="H486" t="s">
        <v>27</v>
      </c>
      <c r="I486">
        <v>1</v>
      </c>
      <c r="J486" s="10">
        <v>0.33333333333333331</v>
      </c>
      <c r="K486" s="10">
        <v>0.42986111111111108</v>
      </c>
      <c r="L486" s="10">
        <f t="shared" si="20"/>
        <v>9.6527777777777768E-2</v>
      </c>
      <c r="M486" s="12">
        <f t="shared" si="22"/>
        <v>2.3166666666666664</v>
      </c>
      <c r="N486" s="12">
        <f>Table35[[#This Row],[Trip Hours]]*Table35[[#This Row],['#Angler]]</f>
        <v>2.3166666666666664</v>
      </c>
      <c r="O486" t="s">
        <v>28</v>
      </c>
      <c r="P486" t="s">
        <v>29</v>
      </c>
      <c r="Q486" t="s">
        <v>224</v>
      </c>
      <c r="R486" s="11">
        <v>0</v>
      </c>
      <c r="S486">
        <v>0</v>
      </c>
      <c r="T486">
        <v>0</v>
      </c>
      <c r="U486" s="11">
        <v>0</v>
      </c>
      <c r="V486">
        <v>0</v>
      </c>
      <c r="W486">
        <v>0</v>
      </c>
      <c r="X486" s="11">
        <f t="shared" si="23"/>
        <v>0</v>
      </c>
      <c r="Y486">
        <f t="shared" si="23"/>
        <v>0</v>
      </c>
      <c r="Z486">
        <f t="shared" si="23"/>
        <v>0</v>
      </c>
      <c r="AA486" s="11"/>
    </row>
    <row r="487" spans="1:27" x14ac:dyDescent="0.3">
      <c r="A487" s="7">
        <v>45584</v>
      </c>
      <c r="B487">
        <v>9</v>
      </c>
      <c r="C487" t="s">
        <v>250</v>
      </c>
      <c r="D487" t="s">
        <v>26</v>
      </c>
      <c r="E487">
        <v>5</v>
      </c>
      <c r="F487">
        <v>2</v>
      </c>
      <c r="G487">
        <v>4</v>
      </c>
      <c r="H487" t="s">
        <v>27</v>
      </c>
      <c r="I487">
        <v>1</v>
      </c>
      <c r="J487" s="10">
        <v>0.33333333333333331</v>
      </c>
      <c r="K487" s="10">
        <v>0.43055555555555558</v>
      </c>
      <c r="L487" s="10">
        <f t="shared" si="20"/>
        <v>9.7222222222222265E-2</v>
      </c>
      <c r="M487" s="12">
        <f t="shared" si="22"/>
        <v>2.3333333333333344</v>
      </c>
      <c r="N487" s="12">
        <f>Table35[[#This Row],[Trip Hours]]*Table35[[#This Row],['#Angler]]</f>
        <v>2.3333333333333344</v>
      </c>
      <c r="O487" t="s">
        <v>28</v>
      </c>
      <c r="P487" t="s">
        <v>29</v>
      </c>
      <c r="Q487" t="s">
        <v>224</v>
      </c>
      <c r="R487" s="11">
        <v>0</v>
      </c>
      <c r="S487">
        <v>0</v>
      </c>
      <c r="T487">
        <v>0</v>
      </c>
      <c r="U487" s="11">
        <v>0</v>
      </c>
      <c r="V487">
        <v>0</v>
      </c>
      <c r="W487">
        <v>0</v>
      </c>
      <c r="X487" s="11">
        <f t="shared" si="23"/>
        <v>0</v>
      </c>
      <c r="Y487">
        <f t="shared" si="23"/>
        <v>0</v>
      </c>
      <c r="Z487">
        <f t="shared" si="23"/>
        <v>0</v>
      </c>
      <c r="AA487" s="11"/>
    </row>
    <row r="488" spans="1:27" x14ac:dyDescent="0.3">
      <c r="A488" s="7">
        <v>45584</v>
      </c>
      <c r="B488">
        <v>9</v>
      </c>
      <c r="C488" t="s">
        <v>250</v>
      </c>
      <c r="D488" t="s">
        <v>26</v>
      </c>
      <c r="E488">
        <v>6</v>
      </c>
      <c r="F488">
        <v>2</v>
      </c>
      <c r="G488">
        <v>4</v>
      </c>
      <c r="H488" t="s">
        <v>27</v>
      </c>
      <c r="I488">
        <v>1</v>
      </c>
      <c r="J488" s="10">
        <v>0.41319444444444442</v>
      </c>
      <c r="K488" s="10">
        <v>0.43055555555555558</v>
      </c>
      <c r="L488" s="10">
        <f t="shared" si="20"/>
        <v>1.736111111111116E-2</v>
      </c>
      <c r="M488" s="12">
        <f t="shared" si="22"/>
        <v>0.41666666666666785</v>
      </c>
      <c r="N488" s="12">
        <f>Table35[[#This Row],[Trip Hours]]*Table35[[#This Row],['#Angler]]</f>
        <v>0.41666666666666785</v>
      </c>
      <c r="O488" t="s">
        <v>28</v>
      </c>
      <c r="P488" t="s">
        <v>217</v>
      </c>
      <c r="Q488" t="s">
        <v>224</v>
      </c>
      <c r="R488" s="11">
        <v>0</v>
      </c>
      <c r="S488">
        <v>0</v>
      </c>
      <c r="T488">
        <v>0</v>
      </c>
      <c r="U488" s="11">
        <v>0</v>
      </c>
      <c r="V488">
        <v>0</v>
      </c>
      <c r="W488">
        <v>0</v>
      </c>
      <c r="X488" s="11">
        <f t="shared" si="23"/>
        <v>0</v>
      </c>
      <c r="Y488">
        <f t="shared" si="23"/>
        <v>0</v>
      </c>
      <c r="Z488">
        <f t="shared" si="23"/>
        <v>0</v>
      </c>
      <c r="AA488" s="11"/>
    </row>
    <row r="489" spans="1:27" x14ac:dyDescent="0.3">
      <c r="A489" s="7">
        <v>45584</v>
      </c>
      <c r="B489">
        <v>9</v>
      </c>
      <c r="C489" t="s">
        <v>250</v>
      </c>
      <c r="D489" t="s">
        <v>42</v>
      </c>
      <c r="E489">
        <v>7</v>
      </c>
      <c r="F489">
        <v>3</v>
      </c>
      <c r="G489">
        <v>8</v>
      </c>
      <c r="H489" t="s">
        <v>27</v>
      </c>
      <c r="I489">
        <v>2</v>
      </c>
      <c r="J489" s="10">
        <v>0.35416666666666669</v>
      </c>
      <c r="K489" s="10">
        <v>0.57986111111111105</v>
      </c>
      <c r="L489" s="10">
        <f t="shared" si="20"/>
        <v>0.22569444444444436</v>
      </c>
      <c r="M489" s="12">
        <f t="shared" si="22"/>
        <v>5.4166666666666643</v>
      </c>
      <c r="N489" s="12">
        <f>Table35[[#This Row],[Trip Hours]]*Table35[[#This Row],['#Angler]]</f>
        <v>10.833333333333329</v>
      </c>
      <c r="O489" t="s">
        <v>25</v>
      </c>
      <c r="P489" t="s">
        <v>329</v>
      </c>
      <c r="Q489" t="s">
        <v>247</v>
      </c>
      <c r="R489" s="11">
        <v>0</v>
      </c>
      <c r="S489">
        <v>0</v>
      </c>
      <c r="T489">
        <v>0</v>
      </c>
      <c r="U489" s="11">
        <v>0</v>
      </c>
      <c r="V489">
        <v>0</v>
      </c>
      <c r="W489">
        <v>0</v>
      </c>
      <c r="X489" s="11">
        <f t="shared" si="23"/>
        <v>0</v>
      </c>
      <c r="Y489">
        <f t="shared" si="23"/>
        <v>0</v>
      </c>
      <c r="Z489">
        <f t="shared" si="23"/>
        <v>0</v>
      </c>
      <c r="AA489" s="11"/>
    </row>
    <row r="490" spans="1:27" x14ac:dyDescent="0.3">
      <c r="A490" s="7">
        <v>45584</v>
      </c>
      <c r="B490">
        <v>9</v>
      </c>
      <c r="C490" t="s">
        <v>250</v>
      </c>
      <c r="D490" t="s">
        <v>42</v>
      </c>
      <c r="E490">
        <v>8</v>
      </c>
      <c r="F490">
        <v>3</v>
      </c>
      <c r="G490">
        <v>8</v>
      </c>
      <c r="H490" t="s">
        <v>27</v>
      </c>
      <c r="I490">
        <v>3</v>
      </c>
      <c r="J490" s="10">
        <v>0.45833333333333331</v>
      </c>
      <c r="K490" s="10">
        <v>0.58124999999999993</v>
      </c>
      <c r="L490" s="10">
        <f t="shared" si="20"/>
        <v>0.12291666666666662</v>
      </c>
      <c r="M490" s="12">
        <f t="shared" si="22"/>
        <v>2.9499999999999988</v>
      </c>
      <c r="N490" s="12">
        <f>Table35[[#This Row],[Trip Hours]]*Table35[[#This Row],['#Angler]]</f>
        <v>8.8499999999999961</v>
      </c>
      <c r="O490" t="s">
        <v>25</v>
      </c>
      <c r="P490" t="s">
        <v>330</v>
      </c>
      <c r="Q490" t="s">
        <v>311</v>
      </c>
      <c r="R490" s="11">
        <v>0</v>
      </c>
      <c r="S490">
        <v>0</v>
      </c>
      <c r="T490">
        <v>0</v>
      </c>
      <c r="U490" s="11">
        <v>0</v>
      </c>
      <c r="V490">
        <v>0</v>
      </c>
      <c r="W490">
        <v>0</v>
      </c>
      <c r="X490" s="11">
        <f t="shared" si="23"/>
        <v>0</v>
      </c>
      <c r="Y490">
        <f t="shared" si="23"/>
        <v>0</v>
      </c>
      <c r="Z490">
        <f t="shared" si="23"/>
        <v>0</v>
      </c>
      <c r="AA490" s="11"/>
    </row>
    <row r="491" spans="1:27" x14ac:dyDescent="0.3">
      <c r="A491" s="7">
        <v>45584</v>
      </c>
      <c r="B491">
        <v>9</v>
      </c>
      <c r="C491" t="s">
        <v>250</v>
      </c>
      <c r="D491" t="s">
        <v>42</v>
      </c>
      <c r="E491">
        <v>9</v>
      </c>
      <c r="F491">
        <v>3</v>
      </c>
      <c r="G491">
        <v>8</v>
      </c>
      <c r="H491" t="s">
        <v>27</v>
      </c>
      <c r="I491">
        <v>3</v>
      </c>
      <c r="J491" s="10">
        <v>0.35416666666666669</v>
      </c>
      <c r="K491" s="10">
        <v>0.5854166666666667</v>
      </c>
      <c r="L491" s="10">
        <f t="shared" si="20"/>
        <v>0.23125000000000001</v>
      </c>
      <c r="M491" s="12">
        <f t="shared" si="22"/>
        <v>5.5500000000000007</v>
      </c>
      <c r="N491" s="12">
        <f>Table35[[#This Row],[Trip Hours]]*Table35[[#This Row],['#Angler]]</f>
        <v>16.650000000000002</v>
      </c>
      <c r="O491" t="s">
        <v>25</v>
      </c>
      <c r="P491" t="s">
        <v>51</v>
      </c>
      <c r="Q491" t="s">
        <v>311</v>
      </c>
      <c r="R491" s="11">
        <v>0</v>
      </c>
      <c r="S491">
        <v>0</v>
      </c>
      <c r="T491">
        <v>0</v>
      </c>
      <c r="U491" s="11">
        <v>0</v>
      </c>
      <c r="V491">
        <v>0</v>
      </c>
      <c r="W491">
        <v>0</v>
      </c>
      <c r="X491" s="11">
        <f t="shared" si="23"/>
        <v>0</v>
      </c>
      <c r="Y491">
        <f t="shared" si="23"/>
        <v>0</v>
      </c>
      <c r="Z491">
        <f t="shared" si="23"/>
        <v>0</v>
      </c>
      <c r="AA491" s="11"/>
    </row>
    <row r="492" spans="1:27" x14ac:dyDescent="0.3">
      <c r="A492" s="7">
        <v>45584</v>
      </c>
      <c r="B492">
        <v>9</v>
      </c>
      <c r="C492" t="s">
        <v>250</v>
      </c>
      <c r="D492" t="s">
        <v>42</v>
      </c>
      <c r="E492">
        <v>10</v>
      </c>
      <c r="F492">
        <v>3</v>
      </c>
      <c r="G492">
        <v>2</v>
      </c>
      <c r="H492" t="s">
        <v>27</v>
      </c>
      <c r="I492">
        <v>2</v>
      </c>
      <c r="J492" s="10">
        <v>0.54166666666666663</v>
      </c>
      <c r="K492" s="10">
        <v>0.63055555555555554</v>
      </c>
      <c r="L492" s="10">
        <f t="shared" si="20"/>
        <v>8.8888888888888906E-2</v>
      </c>
      <c r="M492" s="12">
        <f t="shared" si="22"/>
        <v>2.1333333333333337</v>
      </c>
      <c r="N492" s="12">
        <f>Table35[[#This Row],[Trip Hours]]*Table35[[#This Row],['#Angler]]</f>
        <v>4.2666666666666675</v>
      </c>
      <c r="O492" t="s">
        <v>25</v>
      </c>
      <c r="P492" t="s">
        <v>29</v>
      </c>
      <c r="Q492" t="s">
        <v>224</v>
      </c>
      <c r="R492" s="11">
        <v>0</v>
      </c>
      <c r="S492">
        <v>0</v>
      </c>
      <c r="T492">
        <v>1</v>
      </c>
      <c r="U492" s="11">
        <v>0</v>
      </c>
      <c r="V492">
        <v>0</v>
      </c>
      <c r="W492">
        <v>0</v>
      </c>
      <c r="X492" s="11">
        <f t="shared" si="23"/>
        <v>0</v>
      </c>
      <c r="Y492">
        <f t="shared" si="23"/>
        <v>0</v>
      </c>
      <c r="Z492">
        <f t="shared" si="23"/>
        <v>1</v>
      </c>
      <c r="AA492" s="11"/>
    </row>
    <row r="493" spans="1:27" x14ac:dyDescent="0.3">
      <c r="A493" s="7">
        <v>45584</v>
      </c>
      <c r="B493">
        <v>9</v>
      </c>
      <c r="C493" t="s">
        <v>250</v>
      </c>
      <c r="D493" t="s">
        <v>42</v>
      </c>
      <c r="E493">
        <v>11</v>
      </c>
      <c r="F493">
        <v>2</v>
      </c>
      <c r="G493">
        <v>5</v>
      </c>
      <c r="H493" t="s">
        <v>27</v>
      </c>
      <c r="I493">
        <v>2</v>
      </c>
      <c r="J493" s="10">
        <v>0.64583333333333337</v>
      </c>
      <c r="K493" s="10">
        <v>0.65902777777777777</v>
      </c>
      <c r="L493" s="10">
        <f t="shared" si="20"/>
        <v>1.3194444444444398E-2</v>
      </c>
      <c r="M493" s="12">
        <f t="shared" si="22"/>
        <v>0.31666666666666554</v>
      </c>
      <c r="N493" s="12">
        <f>Table35[[#This Row],[Trip Hours]]*Table35[[#This Row],['#Angler]]</f>
        <v>0.63333333333333108</v>
      </c>
      <c r="O493" t="s">
        <v>28</v>
      </c>
      <c r="P493" t="s">
        <v>305</v>
      </c>
      <c r="Q493" t="s">
        <v>241</v>
      </c>
      <c r="R493" s="11">
        <v>0</v>
      </c>
      <c r="S493">
        <v>0</v>
      </c>
      <c r="T493">
        <v>0</v>
      </c>
      <c r="U493" s="11">
        <v>0</v>
      </c>
      <c r="V493">
        <v>0</v>
      </c>
      <c r="W493">
        <v>0</v>
      </c>
      <c r="X493" s="11">
        <f t="shared" si="23"/>
        <v>0</v>
      </c>
      <c r="Y493">
        <f t="shared" si="23"/>
        <v>0</v>
      </c>
      <c r="Z493">
        <f t="shared" si="23"/>
        <v>0</v>
      </c>
      <c r="AA493" s="11"/>
    </row>
    <row r="494" spans="1:27" x14ac:dyDescent="0.3">
      <c r="A494" s="7">
        <v>45584</v>
      </c>
      <c r="B494">
        <v>9</v>
      </c>
      <c r="C494" t="s">
        <v>250</v>
      </c>
      <c r="D494" t="s">
        <v>42</v>
      </c>
      <c r="E494">
        <v>12</v>
      </c>
      <c r="F494">
        <v>2</v>
      </c>
      <c r="G494">
        <v>4</v>
      </c>
      <c r="H494" t="s">
        <v>27</v>
      </c>
      <c r="I494">
        <v>1</v>
      </c>
      <c r="J494" s="10">
        <v>0.59027777777777779</v>
      </c>
      <c r="K494" s="10">
        <v>0.67361111111111116</v>
      </c>
      <c r="L494" s="10">
        <f t="shared" si="20"/>
        <v>8.333333333333337E-2</v>
      </c>
      <c r="M494" s="12">
        <f t="shared" si="22"/>
        <v>2.0000000000000009</v>
      </c>
      <c r="N494" s="12">
        <f>Table35[[#This Row],[Trip Hours]]*Table35[[#This Row],['#Angler]]</f>
        <v>2.0000000000000009</v>
      </c>
      <c r="O494" t="s">
        <v>28</v>
      </c>
      <c r="P494" t="s">
        <v>29</v>
      </c>
      <c r="Q494" t="s">
        <v>241</v>
      </c>
      <c r="R494" s="11">
        <v>0</v>
      </c>
      <c r="S494">
        <v>0</v>
      </c>
      <c r="T494">
        <v>1</v>
      </c>
      <c r="U494" s="11">
        <v>0</v>
      </c>
      <c r="V494">
        <v>0</v>
      </c>
      <c r="W494">
        <v>0</v>
      </c>
      <c r="X494" s="11">
        <f t="shared" si="23"/>
        <v>0</v>
      </c>
      <c r="Y494">
        <f t="shared" si="23"/>
        <v>0</v>
      </c>
      <c r="Z494">
        <f t="shared" si="23"/>
        <v>1</v>
      </c>
      <c r="AA494" s="11"/>
    </row>
    <row r="495" spans="1:27" x14ac:dyDescent="0.3">
      <c r="A495" s="7">
        <v>45584</v>
      </c>
      <c r="B495">
        <v>9</v>
      </c>
      <c r="C495" t="s">
        <v>250</v>
      </c>
      <c r="D495" t="s">
        <v>42</v>
      </c>
      <c r="E495">
        <v>13</v>
      </c>
      <c r="F495">
        <v>2</v>
      </c>
      <c r="G495">
        <v>4</v>
      </c>
      <c r="H495" t="s">
        <v>27</v>
      </c>
      <c r="I495">
        <v>2</v>
      </c>
      <c r="J495" s="10">
        <v>0.59027777777777779</v>
      </c>
      <c r="K495" s="10">
        <v>0.67361111111111116</v>
      </c>
      <c r="L495" s="10">
        <f t="shared" si="20"/>
        <v>8.333333333333337E-2</v>
      </c>
      <c r="M495" s="12">
        <f t="shared" si="22"/>
        <v>2.0000000000000009</v>
      </c>
      <c r="N495" s="12">
        <f>Table35[[#This Row],[Trip Hours]]*Table35[[#This Row],['#Angler]]</f>
        <v>4.0000000000000018</v>
      </c>
      <c r="O495" t="s">
        <v>28</v>
      </c>
      <c r="P495" t="s">
        <v>29</v>
      </c>
      <c r="Q495" t="s">
        <v>311</v>
      </c>
      <c r="R495" s="11">
        <v>0</v>
      </c>
      <c r="S495">
        <v>0</v>
      </c>
      <c r="T495">
        <v>2</v>
      </c>
      <c r="U495" s="11">
        <v>0</v>
      </c>
      <c r="V495">
        <v>0</v>
      </c>
      <c r="W495">
        <v>0</v>
      </c>
      <c r="X495" s="11">
        <f t="shared" si="23"/>
        <v>0</v>
      </c>
      <c r="Y495">
        <f t="shared" si="23"/>
        <v>0</v>
      </c>
      <c r="Z495">
        <f t="shared" si="23"/>
        <v>2</v>
      </c>
      <c r="AA495" s="11"/>
    </row>
    <row r="496" spans="1:27" x14ac:dyDescent="0.3">
      <c r="A496" s="7">
        <v>45584</v>
      </c>
      <c r="B496">
        <v>9</v>
      </c>
      <c r="C496" t="s">
        <v>250</v>
      </c>
      <c r="D496" t="s">
        <v>42</v>
      </c>
      <c r="E496">
        <v>14</v>
      </c>
      <c r="F496">
        <v>2</v>
      </c>
      <c r="G496">
        <v>4</v>
      </c>
      <c r="H496" t="s">
        <v>27</v>
      </c>
      <c r="I496">
        <v>3</v>
      </c>
      <c r="J496" s="10">
        <v>0.64583333333333337</v>
      </c>
      <c r="K496" s="10">
        <v>0.67499999999999993</v>
      </c>
      <c r="L496" s="10">
        <f t="shared" si="20"/>
        <v>2.9166666666666563E-2</v>
      </c>
      <c r="M496" s="12">
        <f t="shared" si="22"/>
        <v>0.69999999999999751</v>
      </c>
      <c r="N496" s="12">
        <f>Table35[[#This Row],[Trip Hours]]*Table35[[#This Row],['#Angler]]</f>
        <v>2.0999999999999925</v>
      </c>
      <c r="O496" t="s">
        <v>28</v>
      </c>
      <c r="P496" t="s">
        <v>51</v>
      </c>
      <c r="Q496" t="s">
        <v>247</v>
      </c>
      <c r="R496" s="11">
        <v>0</v>
      </c>
      <c r="S496">
        <v>0</v>
      </c>
      <c r="T496">
        <v>0</v>
      </c>
      <c r="U496" s="11">
        <v>0</v>
      </c>
      <c r="V496">
        <v>0</v>
      </c>
      <c r="W496">
        <v>0</v>
      </c>
      <c r="X496" s="11">
        <f t="shared" si="23"/>
        <v>0</v>
      </c>
      <c r="Y496">
        <f t="shared" si="23"/>
        <v>0</v>
      </c>
      <c r="Z496">
        <f t="shared" si="23"/>
        <v>0</v>
      </c>
      <c r="AA496" s="11"/>
    </row>
    <row r="497" spans="1:27" x14ac:dyDescent="0.3">
      <c r="A497" s="7">
        <v>45584</v>
      </c>
      <c r="B497">
        <v>9</v>
      </c>
      <c r="C497" t="s">
        <v>250</v>
      </c>
      <c r="D497" t="s">
        <v>42</v>
      </c>
      <c r="E497">
        <v>15</v>
      </c>
      <c r="F497">
        <v>2</v>
      </c>
      <c r="G497">
        <v>4</v>
      </c>
      <c r="H497" t="s">
        <v>27</v>
      </c>
      <c r="I497">
        <v>1</v>
      </c>
      <c r="J497" s="10">
        <v>0.66666666666666663</v>
      </c>
      <c r="K497" s="10">
        <v>0.6791666666666667</v>
      </c>
      <c r="L497" s="10">
        <f t="shared" si="20"/>
        <v>1.2500000000000067E-2</v>
      </c>
      <c r="M497" s="12">
        <f t="shared" si="22"/>
        <v>0.3000000000000016</v>
      </c>
      <c r="N497" s="12">
        <f>Table35[[#This Row],[Trip Hours]]*Table35[[#This Row],['#Angler]]</f>
        <v>0.3000000000000016</v>
      </c>
      <c r="O497" t="s">
        <v>28</v>
      </c>
      <c r="P497" t="s">
        <v>56</v>
      </c>
      <c r="Q497" t="s">
        <v>247</v>
      </c>
      <c r="R497" s="11">
        <v>0</v>
      </c>
      <c r="S497">
        <v>0</v>
      </c>
      <c r="T497">
        <v>0</v>
      </c>
      <c r="U497" s="11">
        <v>0</v>
      </c>
      <c r="V497">
        <v>0</v>
      </c>
      <c r="W497">
        <v>0</v>
      </c>
      <c r="X497" s="11">
        <f t="shared" si="23"/>
        <v>0</v>
      </c>
      <c r="Y497">
        <f t="shared" si="23"/>
        <v>0</v>
      </c>
      <c r="Z497">
        <f t="shared" si="23"/>
        <v>0</v>
      </c>
      <c r="AA497" s="11"/>
    </row>
    <row r="498" spans="1:27" x14ac:dyDescent="0.3">
      <c r="A498" s="7">
        <v>45584</v>
      </c>
      <c r="B498">
        <v>9</v>
      </c>
      <c r="C498" t="s">
        <v>250</v>
      </c>
      <c r="D498" t="s">
        <v>42</v>
      </c>
      <c r="E498">
        <v>16</v>
      </c>
      <c r="F498">
        <v>2</v>
      </c>
      <c r="G498">
        <v>4</v>
      </c>
      <c r="H498" t="s">
        <v>27</v>
      </c>
      <c r="I498">
        <v>1</v>
      </c>
      <c r="J498" s="10">
        <v>0.66666666666666663</v>
      </c>
      <c r="K498" s="10">
        <v>0.69791666666666663</v>
      </c>
      <c r="L498" s="10">
        <f t="shared" si="20"/>
        <v>3.125E-2</v>
      </c>
      <c r="M498" s="12">
        <f t="shared" si="22"/>
        <v>0.75</v>
      </c>
      <c r="N498" s="12">
        <f>Table35[[#This Row],[Trip Hours]]*Table35[[#This Row],['#Angler]]</f>
        <v>0.75</v>
      </c>
      <c r="O498" t="s">
        <v>28</v>
      </c>
      <c r="P498" t="s">
        <v>56</v>
      </c>
      <c r="Q498" t="s">
        <v>241</v>
      </c>
      <c r="R498" s="11">
        <v>0</v>
      </c>
      <c r="S498">
        <v>0</v>
      </c>
      <c r="T498">
        <v>0</v>
      </c>
      <c r="U498" s="11">
        <v>0</v>
      </c>
      <c r="V498">
        <v>0</v>
      </c>
      <c r="W498">
        <v>0</v>
      </c>
      <c r="X498" s="11">
        <f t="shared" si="23"/>
        <v>0</v>
      </c>
      <c r="Y498">
        <f t="shared" si="23"/>
        <v>0</v>
      </c>
      <c r="Z498">
        <f t="shared" si="23"/>
        <v>0</v>
      </c>
      <c r="AA498" s="11"/>
    </row>
    <row r="499" spans="1:27" x14ac:dyDescent="0.3">
      <c r="A499" s="7">
        <v>45584</v>
      </c>
      <c r="B499">
        <v>9</v>
      </c>
      <c r="C499" t="s">
        <v>250</v>
      </c>
      <c r="D499" t="s">
        <v>42</v>
      </c>
      <c r="E499">
        <v>17</v>
      </c>
      <c r="F499">
        <v>2</v>
      </c>
      <c r="G499">
        <v>3</v>
      </c>
      <c r="H499" t="s">
        <v>27</v>
      </c>
      <c r="I499">
        <v>1</v>
      </c>
      <c r="J499" s="10">
        <v>0.33333333333333331</v>
      </c>
      <c r="K499" s="10">
        <v>0.54166666666666663</v>
      </c>
      <c r="L499" s="10">
        <f t="shared" si="20"/>
        <v>0.20833333333333331</v>
      </c>
      <c r="M499" s="12">
        <f t="shared" si="22"/>
        <v>5</v>
      </c>
      <c r="N499" s="12">
        <f>Table35[[#This Row],[Trip Hours]]*Table35[[#This Row],['#Angler]]</f>
        <v>5</v>
      </c>
      <c r="O499" t="s">
        <v>25</v>
      </c>
      <c r="P499" t="s">
        <v>29</v>
      </c>
      <c r="Q499" t="s">
        <v>224</v>
      </c>
      <c r="R499" s="11">
        <v>0</v>
      </c>
      <c r="S499">
        <v>0</v>
      </c>
      <c r="T499">
        <v>0</v>
      </c>
      <c r="U499" s="11">
        <v>0</v>
      </c>
      <c r="V499">
        <v>0</v>
      </c>
      <c r="W499">
        <v>0</v>
      </c>
      <c r="X499" s="11">
        <f t="shared" si="23"/>
        <v>0</v>
      </c>
      <c r="Y499">
        <f t="shared" si="23"/>
        <v>0</v>
      </c>
      <c r="Z499">
        <f t="shared" si="23"/>
        <v>0</v>
      </c>
      <c r="AA499" s="11"/>
    </row>
    <row r="500" spans="1:27" x14ac:dyDescent="0.3">
      <c r="A500" s="7">
        <v>45584</v>
      </c>
      <c r="B500">
        <v>9</v>
      </c>
      <c r="C500" t="s">
        <v>250</v>
      </c>
      <c r="D500" t="s">
        <v>42</v>
      </c>
      <c r="E500">
        <v>18</v>
      </c>
      <c r="F500">
        <v>2</v>
      </c>
      <c r="G500">
        <v>2</v>
      </c>
      <c r="H500" t="s">
        <v>27</v>
      </c>
      <c r="I500">
        <v>2</v>
      </c>
      <c r="J500" s="10">
        <v>0.75</v>
      </c>
      <c r="K500" s="10">
        <v>0.76666666666666661</v>
      </c>
      <c r="L500" s="10">
        <f t="shared" si="20"/>
        <v>1.6666666666666607E-2</v>
      </c>
      <c r="M500" s="12">
        <f t="shared" si="22"/>
        <v>0.39999999999999858</v>
      </c>
      <c r="N500" s="12">
        <f>Table35[[#This Row],[Trip Hours]]*Table35[[#This Row],['#Angler]]</f>
        <v>0.79999999999999716</v>
      </c>
      <c r="O500" t="s">
        <v>28</v>
      </c>
      <c r="P500" t="s">
        <v>331</v>
      </c>
      <c r="Q500" t="s">
        <v>224</v>
      </c>
      <c r="R500" s="11">
        <v>0</v>
      </c>
      <c r="S500">
        <v>0</v>
      </c>
      <c r="T500">
        <v>0</v>
      </c>
      <c r="U500" s="11">
        <v>0</v>
      </c>
      <c r="V500">
        <v>0</v>
      </c>
      <c r="W500">
        <v>1</v>
      </c>
      <c r="X500" s="11">
        <f t="shared" si="23"/>
        <v>0</v>
      </c>
      <c r="Y500">
        <f t="shared" si="23"/>
        <v>0</v>
      </c>
      <c r="Z500">
        <f t="shared" si="23"/>
        <v>1</v>
      </c>
      <c r="AA500" s="11"/>
    </row>
    <row r="501" spans="1:27" x14ac:dyDescent="0.3">
      <c r="A501" s="7">
        <v>45588</v>
      </c>
      <c r="B501">
        <v>10</v>
      </c>
      <c r="C501" t="s">
        <v>236</v>
      </c>
      <c r="D501" t="s">
        <v>26</v>
      </c>
      <c r="E501">
        <v>1</v>
      </c>
      <c r="F501">
        <v>2</v>
      </c>
      <c r="G501">
        <v>2</v>
      </c>
      <c r="H501" t="s">
        <v>27</v>
      </c>
      <c r="I501">
        <v>2</v>
      </c>
      <c r="J501" s="10">
        <v>0.3298611111111111</v>
      </c>
      <c r="K501" s="10">
        <v>0.33749999999999997</v>
      </c>
      <c r="L501" s="10">
        <f t="shared" si="20"/>
        <v>7.6388888888888618E-3</v>
      </c>
      <c r="M501" s="12">
        <f t="shared" si="22"/>
        <v>0.18333333333333268</v>
      </c>
      <c r="N501" s="12">
        <f>Table35[[#This Row],[Trip Hours]]*Table35[[#This Row],['#Angler]]</f>
        <v>0.36666666666666536</v>
      </c>
      <c r="O501" t="s">
        <v>28</v>
      </c>
      <c r="Q501" t="s">
        <v>224</v>
      </c>
      <c r="R501" s="11">
        <v>0</v>
      </c>
      <c r="S501">
        <v>0</v>
      </c>
      <c r="T501">
        <v>0</v>
      </c>
      <c r="U501" s="11">
        <v>0</v>
      </c>
      <c r="V501">
        <v>0</v>
      </c>
      <c r="W501">
        <v>0</v>
      </c>
      <c r="X501" s="11">
        <f t="shared" si="23"/>
        <v>0</v>
      </c>
      <c r="Y501">
        <f t="shared" si="23"/>
        <v>0</v>
      </c>
      <c r="Z501">
        <f t="shared" si="23"/>
        <v>0</v>
      </c>
      <c r="AA501" s="11"/>
    </row>
    <row r="502" spans="1:27" x14ac:dyDescent="0.3">
      <c r="A502" s="7">
        <v>45588</v>
      </c>
      <c r="B502">
        <v>10</v>
      </c>
      <c r="C502" t="s">
        <v>236</v>
      </c>
      <c r="D502" t="s">
        <v>26</v>
      </c>
      <c r="E502">
        <v>2</v>
      </c>
      <c r="F502">
        <v>3</v>
      </c>
      <c r="G502">
        <v>6</v>
      </c>
      <c r="H502" t="s">
        <v>27</v>
      </c>
      <c r="I502">
        <v>1</v>
      </c>
      <c r="J502" s="10">
        <v>0.45833333333333331</v>
      </c>
      <c r="K502" s="10">
        <v>0.48125000000000001</v>
      </c>
      <c r="L502" s="10">
        <f t="shared" si="20"/>
        <v>2.2916666666666696E-2</v>
      </c>
      <c r="M502" s="12">
        <f t="shared" si="22"/>
        <v>0.55000000000000071</v>
      </c>
      <c r="N502" s="12">
        <f>Table35[[#This Row],[Trip Hours]]*Table35[[#This Row],['#Angler]]</f>
        <v>0.55000000000000071</v>
      </c>
      <c r="O502" t="s">
        <v>25</v>
      </c>
      <c r="Q502" t="s">
        <v>241</v>
      </c>
      <c r="R502" s="11">
        <v>0</v>
      </c>
      <c r="S502">
        <v>0</v>
      </c>
      <c r="T502">
        <v>0</v>
      </c>
      <c r="U502" s="11">
        <v>0</v>
      </c>
      <c r="V502">
        <v>0</v>
      </c>
      <c r="W502">
        <v>0</v>
      </c>
      <c r="X502" s="11">
        <f t="shared" si="23"/>
        <v>0</v>
      </c>
      <c r="Y502">
        <f t="shared" si="23"/>
        <v>0</v>
      </c>
      <c r="Z502">
        <f t="shared" si="23"/>
        <v>0</v>
      </c>
      <c r="AA502" s="11"/>
    </row>
    <row r="503" spans="1:27" x14ac:dyDescent="0.3">
      <c r="A503" s="7">
        <v>45588</v>
      </c>
      <c r="B503">
        <v>10</v>
      </c>
      <c r="C503" t="s">
        <v>236</v>
      </c>
      <c r="D503" t="s">
        <v>26</v>
      </c>
      <c r="E503">
        <v>3</v>
      </c>
      <c r="F503">
        <v>3</v>
      </c>
      <c r="G503">
        <v>8</v>
      </c>
      <c r="H503" t="s">
        <v>27</v>
      </c>
      <c r="I503">
        <v>1</v>
      </c>
      <c r="J503" s="10">
        <v>0.33333333333333331</v>
      </c>
      <c r="K503" s="10">
        <v>0.48958333333333331</v>
      </c>
      <c r="L503" s="10">
        <f t="shared" si="20"/>
        <v>0.15625</v>
      </c>
      <c r="M503" s="12">
        <f t="shared" si="22"/>
        <v>3.75</v>
      </c>
      <c r="N503" s="12">
        <f>Table35[[#This Row],[Trip Hours]]*Table35[[#This Row],['#Angler]]</f>
        <v>3.75</v>
      </c>
      <c r="O503" t="s">
        <v>25</v>
      </c>
      <c r="P503" t="s">
        <v>148</v>
      </c>
      <c r="Q503" t="s">
        <v>241</v>
      </c>
      <c r="R503" s="11">
        <v>0</v>
      </c>
      <c r="S503">
        <v>0</v>
      </c>
      <c r="T503">
        <v>0</v>
      </c>
      <c r="U503" s="11">
        <v>0</v>
      </c>
      <c r="V503">
        <v>0</v>
      </c>
      <c r="W503">
        <v>0</v>
      </c>
      <c r="X503" s="11">
        <f t="shared" si="23"/>
        <v>0</v>
      </c>
      <c r="Y503">
        <f t="shared" si="23"/>
        <v>0</v>
      </c>
      <c r="Z503">
        <f t="shared" si="23"/>
        <v>0</v>
      </c>
      <c r="AA503" s="11"/>
    </row>
    <row r="504" spans="1:27" x14ac:dyDescent="0.3">
      <c r="A504" s="7">
        <v>45588</v>
      </c>
      <c r="B504">
        <v>10</v>
      </c>
      <c r="C504" t="s">
        <v>236</v>
      </c>
      <c r="D504" t="s">
        <v>26</v>
      </c>
      <c r="E504">
        <v>4</v>
      </c>
      <c r="F504">
        <v>3</v>
      </c>
      <c r="G504">
        <v>8</v>
      </c>
      <c r="H504" t="s">
        <v>27</v>
      </c>
      <c r="I504">
        <v>1</v>
      </c>
      <c r="J504" s="10">
        <v>0.44791666666666669</v>
      </c>
      <c r="K504" s="10">
        <v>0.49513888888888885</v>
      </c>
      <c r="L504" s="10">
        <f t="shared" si="20"/>
        <v>4.7222222222222165E-2</v>
      </c>
      <c r="M504" s="12">
        <f t="shared" si="22"/>
        <v>1.133333333333332</v>
      </c>
      <c r="N504" s="12">
        <f>Table35[[#This Row],[Trip Hours]]*Table35[[#This Row],['#Angler]]</f>
        <v>1.133333333333332</v>
      </c>
      <c r="O504" t="s">
        <v>25</v>
      </c>
      <c r="P504" t="s">
        <v>258</v>
      </c>
      <c r="Q504" t="s">
        <v>224</v>
      </c>
      <c r="R504" s="11">
        <v>0</v>
      </c>
      <c r="S504">
        <v>0</v>
      </c>
      <c r="T504">
        <v>0</v>
      </c>
      <c r="U504" s="11">
        <v>0</v>
      </c>
      <c r="V504">
        <v>0</v>
      </c>
      <c r="W504">
        <v>0</v>
      </c>
      <c r="X504" s="11">
        <f t="shared" si="23"/>
        <v>0</v>
      </c>
      <c r="Y504">
        <f t="shared" si="23"/>
        <v>0</v>
      </c>
      <c r="Z504">
        <f t="shared" si="23"/>
        <v>0</v>
      </c>
      <c r="AA504" s="11"/>
    </row>
    <row r="505" spans="1:27" x14ac:dyDescent="0.3">
      <c r="A505" s="7">
        <v>45588</v>
      </c>
      <c r="B505">
        <v>10</v>
      </c>
      <c r="C505" t="s">
        <v>236</v>
      </c>
      <c r="D505" t="s">
        <v>42</v>
      </c>
      <c r="E505">
        <v>5</v>
      </c>
      <c r="F505">
        <v>2</v>
      </c>
      <c r="G505">
        <v>1</v>
      </c>
      <c r="H505" t="s">
        <v>27</v>
      </c>
      <c r="I505">
        <v>1</v>
      </c>
      <c r="J505" s="10">
        <v>0.61805555555555558</v>
      </c>
      <c r="K505" s="10">
        <v>0.62777777777777777</v>
      </c>
      <c r="L505" s="10">
        <f t="shared" si="20"/>
        <v>9.7222222222221877E-3</v>
      </c>
      <c r="M505" s="12">
        <f t="shared" si="22"/>
        <v>0.2333333333333325</v>
      </c>
      <c r="N505" s="12">
        <f>Table35[[#This Row],[Trip Hours]]*Table35[[#This Row],['#Angler]]</f>
        <v>0.2333333333333325</v>
      </c>
      <c r="O505" t="s">
        <v>28</v>
      </c>
      <c r="P505" t="s">
        <v>332</v>
      </c>
      <c r="Q505" t="s">
        <v>224</v>
      </c>
      <c r="R505" s="11">
        <v>0</v>
      </c>
      <c r="S505">
        <v>0</v>
      </c>
      <c r="T505">
        <v>0</v>
      </c>
      <c r="U505" s="11">
        <v>0</v>
      </c>
      <c r="V505">
        <v>0</v>
      </c>
      <c r="W505">
        <v>0</v>
      </c>
      <c r="X505" s="11">
        <f t="shared" si="23"/>
        <v>0</v>
      </c>
      <c r="Y505">
        <f t="shared" si="23"/>
        <v>0</v>
      </c>
      <c r="Z505">
        <f t="shared" si="23"/>
        <v>0</v>
      </c>
      <c r="AA505" s="11"/>
    </row>
    <row r="506" spans="1:27" x14ac:dyDescent="0.3">
      <c r="A506" s="7">
        <v>45588</v>
      </c>
      <c r="B506">
        <v>10</v>
      </c>
      <c r="C506" t="s">
        <v>236</v>
      </c>
      <c r="D506" t="s">
        <v>42</v>
      </c>
      <c r="E506">
        <v>6</v>
      </c>
      <c r="F506">
        <v>2</v>
      </c>
      <c r="G506">
        <v>2</v>
      </c>
      <c r="H506" t="s">
        <v>27</v>
      </c>
      <c r="I506">
        <v>1</v>
      </c>
      <c r="J506" s="10">
        <v>0.54166666666666663</v>
      </c>
      <c r="K506" s="10">
        <v>0.63472222222222219</v>
      </c>
      <c r="L506" s="10">
        <f t="shared" si="20"/>
        <v>9.3055555555555558E-2</v>
      </c>
      <c r="M506" s="12">
        <f t="shared" si="22"/>
        <v>2.2333333333333334</v>
      </c>
      <c r="N506" s="12">
        <f>Table35[[#This Row],[Trip Hours]]*Table35[[#This Row],['#Angler]]</f>
        <v>2.2333333333333334</v>
      </c>
      <c r="O506" t="s">
        <v>28</v>
      </c>
      <c r="P506" t="s">
        <v>49</v>
      </c>
      <c r="Q506" t="s">
        <v>241</v>
      </c>
      <c r="R506" s="11">
        <v>0</v>
      </c>
      <c r="S506">
        <v>0</v>
      </c>
      <c r="T506">
        <v>0</v>
      </c>
      <c r="U506" s="11">
        <v>0</v>
      </c>
      <c r="V506">
        <v>0</v>
      </c>
      <c r="W506">
        <v>0</v>
      </c>
      <c r="X506" s="11">
        <f t="shared" si="23"/>
        <v>0</v>
      </c>
      <c r="Y506">
        <f t="shared" si="23"/>
        <v>0</v>
      </c>
      <c r="Z506">
        <f t="shared" si="23"/>
        <v>0</v>
      </c>
      <c r="AA506" s="11"/>
    </row>
    <row r="507" spans="1:27" x14ac:dyDescent="0.3">
      <c r="A507" s="7">
        <v>45588</v>
      </c>
      <c r="B507">
        <v>10</v>
      </c>
      <c r="C507" t="s">
        <v>236</v>
      </c>
      <c r="D507" t="s">
        <v>42</v>
      </c>
      <c r="E507">
        <v>7</v>
      </c>
      <c r="F507">
        <v>2</v>
      </c>
      <c r="G507">
        <v>2</v>
      </c>
      <c r="H507" t="s">
        <v>27</v>
      </c>
      <c r="I507">
        <v>1</v>
      </c>
      <c r="J507" s="10">
        <v>0.55208333333333337</v>
      </c>
      <c r="K507" s="10">
        <v>0.64027777777777783</v>
      </c>
      <c r="L507" s="10">
        <f t="shared" si="20"/>
        <v>8.8194444444444464E-2</v>
      </c>
      <c r="M507" s="12">
        <f t="shared" si="22"/>
        <v>2.1166666666666671</v>
      </c>
      <c r="N507" s="12">
        <f>Table35[[#This Row],[Trip Hours]]*Table35[[#This Row],['#Angler]]</f>
        <v>2.1166666666666671</v>
      </c>
      <c r="O507" t="s">
        <v>28</v>
      </c>
      <c r="P507" t="s">
        <v>29</v>
      </c>
      <c r="Q507" t="s">
        <v>224</v>
      </c>
      <c r="R507" s="11">
        <v>0</v>
      </c>
      <c r="S507">
        <v>0</v>
      </c>
      <c r="T507">
        <v>0</v>
      </c>
      <c r="U507" s="11">
        <v>0</v>
      </c>
      <c r="V507">
        <v>0</v>
      </c>
      <c r="W507">
        <v>0</v>
      </c>
      <c r="X507" s="11">
        <f t="shared" si="23"/>
        <v>0</v>
      </c>
      <c r="Y507">
        <f t="shared" si="23"/>
        <v>0</v>
      </c>
      <c r="Z507">
        <f t="shared" si="23"/>
        <v>0</v>
      </c>
      <c r="AA507" s="11"/>
    </row>
    <row r="508" spans="1:27" x14ac:dyDescent="0.3">
      <c r="A508" s="7">
        <v>45588</v>
      </c>
      <c r="B508">
        <v>10</v>
      </c>
      <c r="C508" t="s">
        <v>236</v>
      </c>
      <c r="D508" t="s">
        <v>42</v>
      </c>
      <c r="E508">
        <v>8</v>
      </c>
      <c r="F508">
        <v>2</v>
      </c>
      <c r="G508">
        <v>2</v>
      </c>
      <c r="H508" t="s">
        <v>27</v>
      </c>
      <c r="I508">
        <v>1</v>
      </c>
      <c r="J508" s="10">
        <v>0.625</v>
      </c>
      <c r="K508" s="10">
        <v>0.65625</v>
      </c>
      <c r="L508" s="10">
        <f t="shared" si="20"/>
        <v>3.125E-2</v>
      </c>
      <c r="M508" s="12">
        <f t="shared" si="22"/>
        <v>0.75</v>
      </c>
      <c r="N508" s="12">
        <f>Table35[[#This Row],[Trip Hours]]*Table35[[#This Row],['#Angler]]</f>
        <v>0.75</v>
      </c>
      <c r="O508" t="s">
        <v>28</v>
      </c>
      <c r="P508" t="s">
        <v>49</v>
      </c>
      <c r="Q508" t="s">
        <v>241</v>
      </c>
      <c r="R508" s="11">
        <v>0</v>
      </c>
      <c r="S508">
        <v>0</v>
      </c>
      <c r="T508">
        <v>0</v>
      </c>
      <c r="U508" s="11">
        <v>0</v>
      </c>
      <c r="V508">
        <v>0</v>
      </c>
      <c r="W508">
        <v>0</v>
      </c>
      <c r="X508" s="11">
        <f t="shared" si="23"/>
        <v>0</v>
      </c>
      <c r="Y508">
        <f t="shared" si="23"/>
        <v>0</v>
      </c>
      <c r="Z508">
        <f t="shared" si="23"/>
        <v>0</v>
      </c>
      <c r="AA508" s="11"/>
    </row>
    <row r="509" spans="1:27" x14ac:dyDescent="0.3">
      <c r="A509" s="7">
        <v>45588</v>
      </c>
      <c r="B509">
        <v>10</v>
      </c>
      <c r="C509" t="s">
        <v>236</v>
      </c>
      <c r="D509" t="s">
        <v>42</v>
      </c>
      <c r="E509">
        <v>9</v>
      </c>
      <c r="F509">
        <v>2</v>
      </c>
      <c r="G509">
        <v>2</v>
      </c>
      <c r="H509" t="s">
        <v>27</v>
      </c>
      <c r="I509">
        <v>1</v>
      </c>
      <c r="J509" s="10">
        <v>0.33333333333333331</v>
      </c>
      <c r="K509" s="10">
        <v>0.6645833333333333</v>
      </c>
      <c r="L509" s="10">
        <f t="shared" si="20"/>
        <v>0.33124999999999999</v>
      </c>
      <c r="M509" s="12">
        <f t="shared" si="22"/>
        <v>7.9499999999999993</v>
      </c>
      <c r="N509" s="12">
        <f>Table35[[#This Row],[Trip Hours]]*Table35[[#This Row],['#Angler]]</f>
        <v>7.9499999999999993</v>
      </c>
      <c r="O509" t="s">
        <v>28</v>
      </c>
      <c r="P509" t="s">
        <v>217</v>
      </c>
      <c r="Q509" t="s">
        <v>224</v>
      </c>
      <c r="R509" s="11">
        <v>0</v>
      </c>
      <c r="S509">
        <v>0</v>
      </c>
      <c r="T509">
        <v>1</v>
      </c>
      <c r="U509" s="11">
        <v>0</v>
      </c>
      <c r="V509">
        <v>0</v>
      </c>
      <c r="W509">
        <v>6</v>
      </c>
      <c r="X509" s="11">
        <f t="shared" si="23"/>
        <v>0</v>
      </c>
      <c r="Y509">
        <f t="shared" si="23"/>
        <v>0</v>
      </c>
      <c r="Z509">
        <f t="shared" si="23"/>
        <v>7</v>
      </c>
      <c r="AA509" s="11"/>
    </row>
    <row r="510" spans="1:27" x14ac:dyDescent="0.3">
      <c r="A510" s="7">
        <v>45588</v>
      </c>
      <c r="B510">
        <v>10</v>
      </c>
      <c r="C510" t="s">
        <v>236</v>
      </c>
      <c r="D510" t="s">
        <v>42</v>
      </c>
      <c r="E510">
        <v>10</v>
      </c>
      <c r="F510">
        <v>2</v>
      </c>
      <c r="G510">
        <v>2</v>
      </c>
      <c r="H510" t="s">
        <v>27</v>
      </c>
      <c r="I510">
        <v>1</v>
      </c>
      <c r="J510" s="10">
        <v>0.65277777777777779</v>
      </c>
      <c r="K510" s="10">
        <v>0.6645833333333333</v>
      </c>
      <c r="L510" s="10">
        <f t="shared" si="20"/>
        <v>1.1805555555555514E-2</v>
      </c>
      <c r="M510" s="12">
        <f t="shared" si="22"/>
        <v>0.28333333333333233</v>
      </c>
      <c r="N510" s="12">
        <f>Table35[[#This Row],[Trip Hours]]*Table35[[#This Row],['#Angler]]</f>
        <v>0.28333333333333233</v>
      </c>
      <c r="O510" t="s">
        <v>28</v>
      </c>
      <c r="P510" t="s">
        <v>217</v>
      </c>
      <c r="Q510" t="s">
        <v>224</v>
      </c>
      <c r="R510" s="11">
        <v>0</v>
      </c>
      <c r="S510">
        <v>0</v>
      </c>
      <c r="T510">
        <v>0</v>
      </c>
      <c r="U510" s="11">
        <v>0</v>
      </c>
      <c r="V510">
        <v>0</v>
      </c>
      <c r="W510">
        <v>0</v>
      </c>
      <c r="X510" s="11">
        <f t="shared" si="23"/>
        <v>0</v>
      </c>
      <c r="Y510">
        <f t="shared" si="23"/>
        <v>0</v>
      </c>
      <c r="Z510">
        <f t="shared" si="23"/>
        <v>0</v>
      </c>
      <c r="AA510" s="11"/>
    </row>
    <row r="511" spans="1:27" x14ac:dyDescent="0.3">
      <c r="A511" s="7">
        <v>45588</v>
      </c>
      <c r="B511">
        <v>10</v>
      </c>
      <c r="C511" t="s">
        <v>236</v>
      </c>
      <c r="D511" t="s">
        <v>42</v>
      </c>
      <c r="E511">
        <v>11</v>
      </c>
      <c r="F511">
        <v>2</v>
      </c>
      <c r="G511">
        <v>2</v>
      </c>
      <c r="H511" t="s">
        <v>27</v>
      </c>
      <c r="I511">
        <v>1</v>
      </c>
      <c r="J511" s="10">
        <v>0.3125</v>
      </c>
      <c r="K511" s="10">
        <v>0.66666666666666663</v>
      </c>
      <c r="L511" s="10">
        <f t="shared" si="20"/>
        <v>0.35416666666666663</v>
      </c>
      <c r="M511" s="12">
        <f t="shared" si="22"/>
        <v>8.5</v>
      </c>
      <c r="N511" s="12">
        <f>Table35[[#This Row],[Trip Hours]]*Table35[[#This Row],['#Angler]]</f>
        <v>8.5</v>
      </c>
      <c r="O511" t="s">
        <v>28</v>
      </c>
      <c r="P511" t="s">
        <v>29</v>
      </c>
      <c r="Q511" t="s">
        <v>224</v>
      </c>
      <c r="R511" s="11">
        <v>0</v>
      </c>
      <c r="S511">
        <v>0</v>
      </c>
      <c r="T511">
        <v>1</v>
      </c>
      <c r="U511" s="11">
        <v>0</v>
      </c>
      <c r="V511">
        <v>0</v>
      </c>
      <c r="W511">
        <v>0</v>
      </c>
      <c r="X511" s="11">
        <f t="shared" si="23"/>
        <v>0</v>
      </c>
      <c r="Y511">
        <f t="shared" si="23"/>
        <v>0</v>
      </c>
      <c r="Z511">
        <f t="shared" si="23"/>
        <v>1</v>
      </c>
      <c r="AA511" s="11"/>
    </row>
    <row r="512" spans="1:27" x14ac:dyDescent="0.3">
      <c r="A512" s="7">
        <v>45588</v>
      </c>
      <c r="B512">
        <v>10</v>
      </c>
      <c r="C512" t="s">
        <v>236</v>
      </c>
      <c r="D512" t="s">
        <v>42</v>
      </c>
      <c r="E512">
        <v>12</v>
      </c>
      <c r="F512">
        <v>2</v>
      </c>
      <c r="G512">
        <v>2</v>
      </c>
      <c r="H512" t="s">
        <v>27</v>
      </c>
      <c r="I512">
        <v>1</v>
      </c>
      <c r="J512" s="10">
        <v>0.58333333333333337</v>
      </c>
      <c r="K512" s="10">
        <v>0.66666666666666663</v>
      </c>
      <c r="L512" s="10">
        <f t="shared" si="20"/>
        <v>8.3333333333333259E-2</v>
      </c>
      <c r="M512" s="12">
        <f t="shared" si="22"/>
        <v>1.9999999999999982</v>
      </c>
      <c r="N512" s="12">
        <f>Table35[[#This Row],[Trip Hours]]*Table35[[#This Row],['#Angler]]</f>
        <v>1.9999999999999982</v>
      </c>
      <c r="O512" t="s">
        <v>28</v>
      </c>
      <c r="P512" t="s">
        <v>29</v>
      </c>
      <c r="Q512" t="s">
        <v>224</v>
      </c>
      <c r="R512" s="11">
        <v>0</v>
      </c>
      <c r="S512">
        <v>0</v>
      </c>
      <c r="T512">
        <v>0</v>
      </c>
      <c r="U512" s="11">
        <v>0</v>
      </c>
      <c r="V512">
        <v>0</v>
      </c>
      <c r="W512">
        <v>3</v>
      </c>
      <c r="X512" s="11">
        <f t="shared" si="23"/>
        <v>0</v>
      </c>
      <c r="Y512">
        <f t="shared" si="23"/>
        <v>0</v>
      </c>
      <c r="Z512">
        <f t="shared" si="23"/>
        <v>3</v>
      </c>
      <c r="AA512" s="11"/>
    </row>
    <row r="513" spans="1:27" x14ac:dyDescent="0.3">
      <c r="A513" s="7">
        <v>45588</v>
      </c>
      <c r="B513">
        <v>10</v>
      </c>
      <c r="C513" t="s">
        <v>236</v>
      </c>
      <c r="D513" t="s">
        <v>42</v>
      </c>
      <c r="E513">
        <v>13</v>
      </c>
      <c r="F513">
        <v>2</v>
      </c>
      <c r="G513">
        <v>2</v>
      </c>
      <c r="H513" t="s">
        <v>27</v>
      </c>
      <c r="I513">
        <v>2</v>
      </c>
      <c r="J513" s="10">
        <v>0.63541666666666663</v>
      </c>
      <c r="K513" s="10">
        <v>0.6791666666666667</v>
      </c>
      <c r="L513" s="10">
        <f t="shared" si="20"/>
        <v>4.3750000000000067E-2</v>
      </c>
      <c r="M513" s="12">
        <f t="shared" si="22"/>
        <v>1.0500000000000016</v>
      </c>
      <c r="N513" s="12">
        <f>Table35[[#This Row],[Trip Hours]]*Table35[[#This Row],['#Angler]]</f>
        <v>2.1000000000000032</v>
      </c>
      <c r="O513" t="s">
        <v>25</v>
      </c>
      <c r="P513" t="s">
        <v>258</v>
      </c>
      <c r="Q513" t="s">
        <v>224</v>
      </c>
      <c r="R513" s="11">
        <v>0</v>
      </c>
      <c r="S513">
        <v>0</v>
      </c>
      <c r="T513">
        <v>2</v>
      </c>
      <c r="U513" s="11">
        <v>0</v>
      </c>
      <c r="V513">
        <v>0</v>
      </c>
      <c r="W513">
        <v>0</v>
      </c>
      <c r="X513" s="11">
        <f t="shared" si="23"/>
        <v>0</v>
      </c>
      <c r="Y513">
        <f t="shared" si="23"/>
        <v>0</v>
      </c>
      <c r="Z513">
        <f t="shared" si="23"/>
        <v>2</v>
      </c>
      <c r="AA513" s="11"/>
    </row>
    <row r="514" spans="1:27" x14ac:dyDescent="0.3">
      <c r="A514" s="7">
        <v>45588</v>
      </c>
      <c r="B514">
        <v>10</v>
      </c>
      <c r="C514" t="s">
        <v>236</v>
      </c>
      <c r="D514" t="s">
        <v>42</v>
      </c>
      <c r="E514">
        <v>14</v>
      </c>
      <c r="F514">
        <v>2</v>
      </c>
      <c r="G514">
        <v>2</v>
      </c>
      <c r="H514" t="s">
        <v>27</v>
      </c>
      <c r="I514">
        <v>1</v>
      </c>
      <c r="J514" s="10">
        <v>0.54166666666666663</v>
      </c>
      <c r="K514" s="10">
        <v>0.68680555555555556</v>
      </c>
      <c r="L514" s="10">
        <f t="shared" si="20"/>
        <v>0.14513888888888893</v>
      </c>
      <c r="M514" s="12">
        <f t="shared" ref="M514:M577" si="24">L514*24</f>
        <v>3.4833333333333343</v>
      </c>
      <c r="N514" s="12">
        <f>Table35[[#This Row],[Trip Hours]]*Table35[[#This Row],['#Angler]]</f>
        <v>3.4833333333333343</v>
      </c>
      <c r="O514" t="s">
        <v>25</v>
      </c>
      <c r="P514" t="s">
        <v>29</v>
      </c>
      <c r="Q514" t="s">
        <v>224</v>
      </c>
      <c r="R514" s="11">
        <v>0</v>
      </c>
      <c r="S514">
        <v>0</v>
      </c>
      <c r="T514">
        <v>2</v>
      </c>
      <c r="U514" s="11">
        <v>0</v>
      </c>
      <c r="V514">
        <v>0</v>
      </c>
      <c r="W514">
        <v>3</v>
      </c>
      <c r="X514" s="11">
        <f t="shared" si="23"/>
        <v>0</v>
      </c>
      <c r="Y514">
        <f t="shared" si="23"/>
        <v>0</v>
      </c>
      <c r="Z514">
        <f t="shared" si="23"/>
        <v>5</v>
      </c>
      <c r="AA514" s="11"/>
    </row>
    <row r="515" spans="1:27" x14ac:dyDescent="0.3">
      <c r="A515" s="7">
        <v>45588</v>
      </c>
      <c r="B515">
        <v>10</v>
      </c>
      <c r="C515" t="s">
        <v>236</v>
      </c>
      <c r="D515" t="s">
        <v>42</v>
      </c>
      <c r="E515">
        <v>15</v>
      </c>
      <c r="F515">
        <v>2</v>
      </c>
      <c r="G515">
        <v>2</v>
      </c>
      <c r="H515" t="s">
        <v>27</v>
      </c>
      <c r="I515">
        <v>2</v>
      </c>
      <c r="J515" s="10">
        <v>0.5625</v>
      </c>
      <c r="K515" s="10">
        <v>0.68333333333333324</v>
      </c>
      <c r="L515" s="10">
        <f t="shared" si="20"/>
        <v>0.12083333333333324</v>
      </c>
      <c r="M515" s="12">
        <f t="shared" si="24"/>
        <v>2.8999999999999977</v>
      </c>
      <c r="N515" s="12">
        <f>Table35[[#This Row],[Trip Hours]]*Table35[[#This Row],['#Angler]]</f>
        <v>5.7999999999999954</v>
      </c>
      <c r="O515" t="s">
        <v>28</v>
      </c>
      <c r="P515" t="s">
        <v>49</v>
      </c>
      <c r="Q515" t="s">
        <v>241</v>
      </c>
      <c r="R515" s="11">
        <v>0</v>
      </c>
      <c r="S515">
        <v>0</v>
      </c>
      <c r="T515">
        <v>0</v>
      </c>
      <c r="U515" s="11">
        <v>0</v>
      </c>
      <c r="V515">
        <v>0</v>
      </c>
      <c r="W515">
        <v>0</v>
      </c>
      <c r="X515" s="11">
        <f t="shared" si="23"/>
        <v>0</v>
      </c>
      <c r="Y515">
        <f t="shared" si="23"/>
        <v>0</v>
      </c>
      <c r="Z515">
        <f t="shared" si="23"/>
        <v>0</v>
      </c>
      <c r="AA515" s="11"/>
    </row>
    <row r="516" spans="1:27" x14ac:dyDescent="0.3">
      <c r="A516" s="7">
        <v>45588</v>
      </c>
      <c r="B516">
        <v>10</v>
      </c>
      <c r="C516" t="s">
        <v>236</v>
      </c>
      <c r="D516" t="s">
        <v>42</v>
      </c>
      <c r="E516">
        <v>16</v>
      </c>
      <c r="F516">
        <v>2</v>
      </c>
      <c r="G516">
        <v>3</v>
      </c>
      <c r="H516" t="s">
        <v>27</v>
      </c>
      <c r="I516">
        <v>2</v>
      </c>
      <c r="J516" s="10">
        <v>0.65625</v>
      </c>
      <c r="K516" s="10">
        <v>0.69305555555555554</v>
      </c>
      <c r="L516" s="10">
        <f t="shared" si="20"/>
        <v>3.6805555555555536E-2</v>
      </c>
      <c r="M516" s="12">
        <f t="shared" si="24"/>
        <v>0.88333333333333286</v>
      </c>
      <c r="N516" s="12">
        <f>Table35[[#This Row],[Trip Hours]]*Table35[[#This Row],['#Angler]]</f>
        <v>1.7666666666666657</v>
      </c>
      <c r="O516" t="s">
        <v>28</v>
      </c>
      <c r="P516" t="s">
        <v>73</v>
      </c>
      <c r="Q516" t="s">
        <v>224</v>
      </c>
      <c r="R516" s="11">
        <v>0</v>
      </c>
      <c r="S516">
        <v>0</v>
      </c>
      <c r="T516">
        <v>2</v>
      </c>
      <c r="U516" s="11">
        <v>0</v>
      </c>
      <c r="V516">
        <v>0</v>
      </c>
      <c r="W516">
        <v>0</v>
      </c>
      <c r="X516" s="11">
        <f t="shared" si="23"/>
        <v>0</v>
      </c>
      <c r="Y516">
        <f t="shared" si="23"/>
        <v>0</v>
      </c>
      <c r="Z516">
        <f t="shared" si="23"/>
        <v>2</v>
      </c>
      <c r="AA516" s="11"/>
    </row>
    <row r="517" spans="1:27" x14ac:dyDescent="0.3">
      <c r="A517" s="7">
        <v>45588</v>
      </c>
      <c r="B517">
        <v>10</v>
      </c>
      <c r="C517" t="s">
        <v>236</v>
      </c>
      <c r="D517" t="s">
        <v>42</v>
      </c>
      <c r="E517">
        <v>17</v>
      </c>
      <c r="F517">
        <v>2</v>
      </c>
      <c r="G517">
        <v>3</v>
      </c>
      <c r="H517" t="s">
        <v>27</v>
      </c>
      <c r="I517">
        <v>1</v>
      </c>
      <c r="J517" s="10">
        <v>0.66666666666666663</v>
      </c>
      <c r="K517" s="10">
        <v>0.70000000000000007</v>
      </c>
      <c r="L517" s="10">
        <f t="shared" si="20"/>
        <v>3.3333333333333437E-2</v>
      </c>
      <c r="M517" s="12">
        <f t="shared" si="24"/>
        <v>0.80000000000000249</v>
      </c>
      <c r="N517" s="12">
        <f>Table35[[#This Row],[Trip Hours]]*Table35[[#This Row],['#Angler]]</f>
        <v>0.80000000000000249</v>
      </c>
      <c r="O517" t="s">
        <v>28</v>
      </c>
      <c r="P517" t="s">
        <v>324</v>
      </c>
      <c r="Q517" t="s">
        <v>311</v>
      </c>
      <c r="R517" s="11">
        <v>0</v>
      </c>
      <c r="S517">
        <v>0</v>
      </c>
      <c r="T517">
        <v>0</v>
      </c>
      <c r="U517" s="11">
        <v>0</v>
      </c>
      <c r="V517">
        <v>0</v>
      </c>
      <c r="W517">
        <v>0</v>
      </c>
      <c r="X517" s="11">
        <f t="shared" si="23"/>
        <v>0</v>
      </c>
      <c r="Y517">
        <f t="shared" si="23"/>
        <v>0</v>
      </c>
      <c r="Z517">
        <f t="shared" si="23"/>
        <v>0</v>
      </c>
      <c r="AA517" s="11"/>
    </row>
    <row r="518" spans="1:27" x14ac:dyDescent="0.3">
      <c r="A518" s="7">
        <v>45588</v>
      </c>
      <c r="B518">
        <v>10</v>
      </c>
      <c r="C518" t="s">
        <v>236</v>
      </c>
      <c r="D518" t="s">
        <v>42</v>
      </c>
      <c r="E518">
        <v>18</v>
      </c>
      <c r="F518">
        <v>2</v>
      </c>
      <c r="G518">
        <v>4</v>
      </c>
      <c r="H518" t="s">
        <v>27</v>
      </c>
      <c r="I518">
        <v>3</v>
      </c>
      <c r="J518" s="10">
        <v>0.63541666666666663</v>
      </c>
      <c r="K518" s="10">
        <v>0.72152777777777777</v>
      </c>
      <c r="L518" s="10">
        <f t="shared" si="20"/>
        <v>8.6111111111111138E-2</v>
      </c>
      <c r="M518" s="12">
        <f t="shared" si="24"/>
        <v>2.0666666666666673</v>
      </c>
      <c r="N518" s="12">
        <f>Table35[[#This Row],[Trip Hours]]*Table35[[#This Row],['#Angler]]</f>
        <v>6.200000000000002</v>
      </c>
      <c r="O518" t="s">
        <v>28</v>
      </c>
      <c r="P518" t="s">
        <v>217</v>
      </c>
      <c r="Q518" t="s">
        <v>224</v>
      </c>
      <c r="R518" s="11">
        <v>0</v>
      </c>
      <c r="S518">
        <v>0</v>
      </c>
      <c r="T518">
        <v>1</v>
      </c>
      <c r="U518" s="11">
        <v>0</v>
      </c>
      <c r="V518">
        <v>0</v>
      </c>
      <c r="W518">
        <v>2</v>
      </c>
      <c r="X518" s="11">
        <f t="shared" si="23"/>
        <v>0</v>
      </c>
      <c r="Y518">
        <f t="shared" si="23"/>
        <v>0</v>
      </c>
      <c r="Z518">
        <f t="shared" si="23"/>
        <v>3</v>
      </c>
      <c r="AA518" s="11"/>
    </row>
    <row r="519" spans="1:27" x14ac:dyDescent="0.3">
      <c r="A519" s="7">
        <v>45588</v>
      </c>
      <c r="B519">
        <v>10</v>
      </c>
      <c r="C519" t="s">
        <v>236</v>
      </c>
      <c r="D519" t="s">
        <v>42</v>
      </c>
      <c r="E519">
        <v>19</v>
      </c>
      <c r="F519">
        <v>2</v>
      </c>
      <c r="G519">
        <v>4</v>
      </c>
      <c r="H519" t="s">
        <v>27</v>
      </c>
      <c r="I519">
        <v>2</v>
      </c>
      <c r="J519" s="10">
        <v>0.72569444444444453</v>
      </c>
      <c r="K519" s="10">
        <v>0.7368055555555556</v>
      </c>
      <c r="L519" s="10">
        <f t="shared" si="20"/>
        <v>1.1111111111111072E-2</v>
      </c>
      <c r="M519" s="12">
        <f t="shared" si="24"/>
        <v>0.26666666666666572</v>
      </c>
      <c r="N519" s="12">
        <f>Table35[[#This Row],[Trip Hours]]*Table35[[#This Row],['#Angler]]</f>
        <v>0.53333333333333144</v>
      </c>
      <c r="O519" t="s">
        <v>28</v>
      </c>
      <c r="P519" t="s">
        <v>56</v>
      </c>
      <c r="Q519" t="s">
        <v>224</v>
      </c>
      <c r="R519" s="11">
        <v>0</v>
      </c>
      <c r="S519">
        <v>0</v>
      </c>
      <c r="T519">
        <v>0</v>
      </c>
      <c r="U519" s="11">
        <v>0</v>
      </c>
      <c r="V519">
        <v>0</v>
      </c>
      <c r="W519">
        <v>0</v>
      </c>
      <c r="X519" s="11">
        <f t="shared" si="23"/>
        <v>0</v>
      </c>
      <c r="Y519">
        <f t="shared" si="23"/>
        <v>0</v>
      </c>
      <c r="Z519">
        <f t="shared" si="23"/>
        <v>0</v>
      </c>
      <c r="AA519" s="11"/>
    </row>
    <row r="520" spans="1:27" x14ac:dyDescent="0.3">
      <c r="A520" s="7">
        <v>45588</v>
      </c>
      <c r="B520">
        <v>10</v>
      </c>
      <c r="C520" t="s">
        <v>236</v>
      </c>
      <c r="D520" t="s">
        <v>42</v>
      </c>
      <c r="E520">
        <v>20</v>
      </c>
      <c r="F520">
        <v>2</v>
      </c>
      <c r="G520">
        <v>4</v>
      </c>
      <c r="H520" t="s">
        <v>27</v>
      </c>
      <c r="I520">
        <v>1</v>
      </c>
      <c r="J520" s="10">
        <v>0.66666666666666663</v>
      </c>
      <c r="K520" s="10">
        <v>0.73749999999999993</v>
      </c>
      <c r="L520" s="10">
        <f t="shared" si="20"/>
        <v>7.0833333333333304E-2</v>
      </c>
      <c r="M520" s="12">
        <f t="shared" si="24"/>
        <v>1.6999999999999993</v>
      </c>
      <c r="N520" s="12">
        <f>Table35[[#This Row],[Trip Hours]]*Table35[[#This Row],['#Angler]]</f>
        <v>1.6999999999999993</v>
      </c>
      <c r="O520" t="s">
        <v>28</v>
      </c>
      <c r="P520" t="s">
        <v>186</v>
      </c>
      <c r="Q520" t="s">
        <v>224</v>
      </c>
      <c r="R520" s="11">
        <v>0</v>
      </c>
      <c r="S520">
        <v>0</v>
      </c>
      <c r="T520">
        <v>0</v>
      </c>
      <c r="U520" s="11">
        <v>0</v>
      </c>
      <c r="V520">
        <v>0</v>
      </c>
      <c r="W520">
        <v>0</v>
      </c>
      <c r="X520" s="11">
        <f t="shared" si="23"/>
        <v>0</v>
      </c>
      <c r="Y520">
        <f t="shared" si="23"/>
        <v>0</v>
      </c>
      <c r="Z520">
        <f t="shared" si="23"/>
        <v>0</v>
      </c>
      <c r="AA520" s="11"/>
    </row>
    <row r="521" spans="1:27" x14ac:dyDescent="0.3">
      <c r="A521" s="7">
        <v>45588</v>
      </c>
      <c r="B521">
        <v>10</v>
      </c>
      <c r="C521" t="s">
        <v>236</v>
      </c>
      <c r="D521" t="s">
        <v>42</v>
      </c>
      <c r="E521">
        <v>21</v>
      </c>
      <c r="F521">
        <v>2</v>
      </c>
      <c r="G521">
        <v>4</v>
      </c>
      <c r="H521" t="s">
        <v>27</v>
      </c>
      <c r="I521">
        <v>3</v>
      </c>
      <c r="J521" s="10">
        <v>0.58333333333333337</v>
      </c>
      <c r="K521" s="10">
        <v>0.75277777777777777</v>
      </c>
      <c r="L521" s="10">
        <f t="shared" si="20"/>
        <v>0.1694444444444444</v>
      </c>
      <c r="M521" s="12">
        <f t="shared" si="24"/>
        <v>4.0666666666666655</v>
      </c>
      <c r="N521" s="12">
        <f>Table35[[#This Row],[Trip Hours]]*Table35[[#This Row],['#Angler]]</f>
        <v>12.199999999999996</v>
      </c>
      <c r="O521" t="s">
        <v>25</v>
      </c>
      <c r="P521" t="s">
        <v>259</v>
      </c>
      <c r="Q521" t="s">
        <v>311</v>
      </c>
      <c r="R521" s="11">
        <v>0</v>
      </c>
      <c r="S521">
        <v>0</v>
      </c>
      <c r="T521">
        <v>0</v>
      </c>
      <c r="U521" s="11">
        <v>0</v>
      </c>
      <c r="V521">
        <v>0</v>
      </c>
      <c r="W521">
        <v>0</v>
      </c>
      <c r="X521" s="11">
        <f t="shared" si="23"/>
        <v>0</v>
      </c>
      <c r="Y521">
        <f t="shared" si="23"/>
        <v>0</v>
      </c>
      <c r="Z521">
        <f t="shared" si="23"/>
        <v>0</v>
      </c>
      <c r="AA521" s="11"/>
    </row>
    <row r="522" spans="1:27" x14ac:dyDescent="0.3">
      <c r="A522" s="7">
        <v>45589</v>
      </c>
      <c r="B522">
        <v>10</v>
      </c>
      <c r="C522" t="s">
        <v>236</v>
      </c>
      <c r="D522" t="s">
        <v>42</v>
      </c>
      <c r="E522">
        <v>1</v>
      </c>
      <c r="F522">
        <v>2</v>
      </c>
      <c r="G522">
        <v>5</v>
      </c>
      <c r="H522" t="s">
        <v>27</v>
      </c>
      <c r="I522">
        <v>3</v>
      </c>
      <c r="J522" s="10">
        <v>0.54166666666666663</v>
      </c>
      <c r="K522" s="10">
        <v>0.59652777777777777</v>
      </c>
      <c r="L522" s="10">
        <f t="shared" si="20"/>
        <v>5.4861111111111138E-2</v>
      </c>
      <c r="M522" s="12">
        <f t="shared" si="24"/>
        <v>1.3166666666666673</v>
      </c>
      <c r="N522" s="12">
        <f>Table35[[#This Row],[Trip Hours]]*Table35[[#This Row],['#Angler]]</f>
        <v>3.950000000000002</v>
      </c>
      <c r="O522" t="s">
        <v>25</v>
      </c>
      <c r="P522" t="s">
        <v>51</v>
      </c>
      <c r="Q522" t="s">
        <v>241</v>
      </c>
      <c r="R522" s="11">
        <v>0</v>
      </c>
      <c r="S522">
        <v>0</v>
      </c>
      <c r="T522">
        <v>1</v>
      </c>
      <c r="U522" s="11">
        <v>0</v>
      </c>
      <c r="V522">
        <v>0</v>
      </c>
      <c r="W522">
        <v>0</v>
      </c>
      <c r="X522" s="11">
        <f t="shared" si="23"/>
        <v>0</v>
      </c>
      <c r="Y522">
        <f t="shared" si="23"/>
        <v>0</v>
      </c>
      <c r="Z522">
        <f t="shared" si="23"/>
        <v>1</v>
      </c>
      <c r="AA522" s="11"/>
    </row>
    <row r="523" spans="1:27" x14ac:dyDescent="0.3">
      <c r="A523" s="7">
        <v>45589</v>
      </c>
      <c r="B523">
        <v>10</v>
      </c>
      <c r="C523" t="s">
        <v>236</v>
      </c>
      <c r="D523" t="s">
        <v>42</v>
      </c>
      <c r="E523">
        <v>2</v>
      </c>
      <c r="F523">
        <v>2</v>
      </c>
      <c r="G523">
        <v>4</v>
      </c>
      <c r="H523" t="s">
        <v>27</v>
      </c>
      <c r="I523">
        <v>2</v>
      </c>
      <c r="J523" s="10">
        <v>0.5625</v>
      </c>
      <c r="K523" s="10">
        <v>0.61944444444444446</v>
      </c>
      <c r="L523" s="10">
        <f t="shared" si="20"/>
        <v>5.6944444444444464E-2</v>
      </c>
      <c r="M523" s="12">
        <f t="shared" si="24"/>
        <v>1.3666666666666671</v>
      </c>
      <c r="N523" s="12">
        <f>Table35[[#This Row],[Trip Hours]]*Table35[[#This Row],['#Angler]]</f>
        <v>2.7333333333333343</v>
      </c>
      <c r="O523" t="s">
        <v>28</v>
      </c>
      <c r="P523" t="s">
        <v>217</v>
      </c>
      <c r="Q523" t="s">
        <v>224</v>
      </c>
      <c r="R523" s="11">
        <v>0</v>
      </c>
      <c r="S523">
        <v>0</v>
      </c>
      <c r="T523">
        <v>0</v>
      </c>
      <c r="U523" s="11">
        <v>0</v>
      </c>
      <c r="V523">
        <v>0</v>
      </c>
      <c r="W523">
        <v>0</v>
      </c>
      <c r="X523" s="11">
        <f t="shared" si="23"/>
        <v>0</v>
      </c>
      <c r="Y523">
        <f t="shared" si="23"/>
        <v>0</v>
      </c>
      <c r="Z523">
        <f t="shared" si="23"/>
        <v>0</v>
      </c>
      <c r="AA523" s="11"/>
    </row>
    <row r="524" spans="1:27" x14ac:dyDescent="0.3">
      <c r="A524" s="7">
        <v>45589</v>
      </c>
      <c r="B524">
        <v>10</v>
      </c>
      <c r="C524" t="s">
        <v>236</v>
      </c>
      <c r="D524" t="s">
        <v>42</v>
      </c>
      <c r="E524">
        <v>3</v>
      </c>
      <c r="F524">
        <v>2</v>
      </c>
      <c r="G524">
        <v>4</v>
      </c>
      <c r="H524" t="s">
        <v>27</v>
      </c>
      <c r="I524">
        <v>2</v>
      </c>
      <c r="J524" s="10">
        <v>0.59375</v>
      </c>
      <c r="K524" s="10">
        <v>0.61944444444444446</v>
      </c>
      <c r="L524" s="10">
        <f t="shared" si="20"/>
        <v>2.5694444444444464E-2</v>
      </c>
      <c r="M524" s="12">
        <f t="shared" si="24"/>
        <v>0.61666666666666714</v>
      </c>
      <c r="N524" s="12">
        <f>Table35[[#This Row],[Trip Hours]]*Table35[[#This Row],['#Angler]]</f>
        <v>1.2333333333333343</v>
      </c>
      <c r="O524" t="s">
        <v>28</v>
      </c>
      <c r="P524" t="s">
        <v>217</v>
      </c>
      <c r="Q524" t="s">
        <v>224</v>
      </c>
      <c r="R524" s="11">
        <v>0</v>
      </c>
      <c r="S524">
        <v>0</v>
      </c>
      <c r="T524">
        <v>0</v>
      </c>
      <c r="U524" s="11">
        <v>0</v>
      </c>
      <c r="V524">
        <v>0</v>
      </c>
      <c r="W524">
        <v>0</v>
      </c>
      <c r="X524" s="11">
        <f t="shared" si="23"/>
        <v>0</v>
      </c>
      <c r="Y524">
        <f t="shared" si="23"/>
        <v>0</v>
      </c>
      <c r="Z524">
        <f t="shared" si="23"/>
        <v>0</v>
      </c>
      <c r="AA524" s="11"/>
    </row>
    <row r="525" spans="1:27" x14ac:dyDescent="0.3">
      <c r="A525" s="7">
        <v>45589</v>
      </c>
      <c r="B525">
        <v>10</v>
      </c>
      <c r="C525" t="s">
        <v>236</v>
      </c>
      <c r="D525" t="s">
        <v>42</v>
      </c>
      <c r="E525">
        <v>4</v>
      </c>
      <c r="F525">
        <v>2</v>
      </c>
      <c r="G525">
        <v>4</v>
      </c>
      <c r="H525" t="s">
        <v>27</v>
      </c>
      <c r="I525">
        <v>2</v>
      </c>
      <c r="J525" s="10">
        <v>0.33333333333333331</v>
      </c>
      <c r="K525" s="10">
        <v>0.4375</v>
      </c>
      <c r="L525" s="10">
        <f t="shared" si="20"/>
        <v>0.10416666666666669</v>
      </c>
      <c r="M525" s="12">
        <f t="shared" si="24"/>
        <v>2.5000000000000004</v>
      </c>
      <c r="N525" s="12">
        <f>Table35[[#This Row],[Trip Hours]]*Table35[[#This Row],['#Angler]]</f>
        <v>5.0000000000000009</v>
      </c>
      <c r="O525" t="s">
        <v>25</v>
      </c>
      <c r="P525" t="s">
        <v>217</v>
      </c>
      <c r="Q525" t="s">
        <v>224</v>
      </c>
      <c r="R525" s="11">
        <v>0</v>
      </c>
      <c r="S525">
        <v>0</v>
      </c>
      <c r="T525">
        <v>1</v>
      </c>
      <c r="U525" s="11">
        <v>0</v>
      </c>
      <c r="V525">
        <v>0</v>
      </c>
      <c r="W525">
        <v>0</v>
      </c>
      <c r="X525" s="11">
        <f t="shared" si="23"/>
        <v>0</v>
      </c>
      <c r="Y525">
        <f t="shared" si="23"/>
        <v>0</v>
      </c>
      <c r="Z525">
        <f t="shared" si="23"/>
        <v>1</v>
      </c>
      <c r="AA525" s="11"/>
    </row>
    <row r="526" spans="1:27" x14ac:dyDescent="0.3">
      <c r="A526" s="7">
        <v>45589</v>
      </c>
      <c r="B526">
        <v>10</v>
      </c>
      <c r="C526" t="s">
        <v>236</v>
      </c>
      <c r="D526" t="s">
        <v>42</v>
      </c>
      <c r="E526">
        <v>5</v>
      </c>
      <c r="F526">
        <v>2</v>
      </c>
      <c r="G526">
        <v>4</v>
      </c>
      <c r="H526" t="s">
        <v>27</v>
      </c>
      <c r="I526">
        <v>1</v>
      </c>
      <c r="J526" s="10">
        <v>0.5625</v>
      </c>
      <c r="K526" s="10">
        <v>0.62847222222222221</v>
      </c>
      <c r="L526" s="10">
        <f t="shared" si="20"/>
        <v>6.597222222222221E-2</v>
      </c>
      <c r="M526" s="12">
        <f t="shared" si="24"/>
        <v>1.583333333333333</v>
      </c>
      <c r="N526" s="12">
        <f>Table35[[#This Row],[Trip Hours]]*Table35[[#This Row],['#Angler]]</f>
        <v>1.583333333333333</v>
      </c>
      <c r="O526" t="s">
        <v>28</v>
      </c>
      <c r="P526" t="s">
        <v>217</v>
      </c>
      <c r="Q526" t="s">
        <v>224</v>
      </c>
      <c r="R526" s="11">
        <v>0</v>
      </c>
      <c r="S526">
        <v>0</v>
      </c>
      <c r="T526">
        <v>0</v>
      </c>
      <c r="U526" s="11">
        <v>0</v>
      </c>
      <c r="V526">
        <v>0</v>
      </c>
      <c r="W526">
        <v>0</v>
      </c>
      <c r="X526" s="11">
        <f t="shared" si="23"/>
        <v>0</v>
      </c>
      <c r="Y526">
        <f t="shared" si="23"/>
        <v>0</v>
      </c>
      <c r="Z526">
        <f t="shared" si="23"/>
        <v>0</v>
      </c>
      <c r="AA526" s="11"/>
    </row>
    <row r="527" spans="1:27" x14ac:dyDescent="0.3">
      <c r="A527" s="7">
        <v>45589</v>
      </c>
      <c r="B527">
        <v>10</v>
      </c>
      <c r="C527" t="s">
        <v>236</v>
      </c>
      <c r="D527" t="s">
        <v>42</v>
      </c>
      <c r="E527">
        <v>6</v>
      </c>
      <c r="F527">
        <v>2</v>
      </c>
      <c r="G527">
        <v>4</v>
      </c>
      <c r="H527" t="s">
        <v>27</v>
      </c>
      <c r="I527">
        <v>1</v>
      </c>
      <c r="J527" s="10">
        <v>0.62152777777777779</v>
      </c>
      <c r="K527" s="10">
        <v>0.63611111111111118</v>
      </c>
      <c r="L527" s="10">
        <f t="shared" si="20"/>
        <v>1.4583333333333393E-2</v>
      </c>
      <c r="M527" s="12">
        <f t="shared" si="24"/>
        <v>0.35000000000000142</v>
      </c>
      <c r="N527" s="12">
        <f>Table35[[#This Row],[Trip Hours]]*Table35[[#This Row],['#Angler]]</f>
        <v>0.35000000000000142</v>
      </c>
      <c r="O527" t="s">
        <v>28</v>
      </c>
      <c r="P527" t="s">
        <v>333</v>
      </c>
      <c r="Q527" t="s">
        <v>241</v>
      </c>
      <c r="R527" s="11">
        <v>0</v>
      </c>
      <c r="S527">
        <v>0</v>
      </c>
      <c r="T527">
        <v>0</v>
      </c>
      <c r="U527" s="11">
        <v>0</v>
      </c>
      <c r="V527">
        <v>0</v>
      </c>
      <c r="W527">
        <v>1</v>
      </c>
      <c r="X527" s="11">
        <f t="shared" si="23"/>
        <v>0</v>
      </c>
      <c r="Y527">
        <f t="shared" si="23"/>
        <v>0</v>
      </c>
      <c r="Z527">
        <f t="shared" si="23"/>
        <v>1</v>
      </c>
      <c r="AA527" s="11"/>
    </row>
    <row r="528" spans="1:27" x14ac:dyDescent="0.3">
      <c r="A528" s="7">
        <v>45589</v>
      </c>
      <c r="B528">
        <v>10</v>
      </c>
      <c r="C528" t="s">
        <v>236</v>
      </c>
      <c r="D528" t="s">
        <v>42</v>
      </c>
      <c r="E528">
        <v>7</v>
      </c>
      <c r="F528">
        <v>2</v>
      </c>
      <c r="G528">
        <v>3</v>
      </c>
      <c r="H528" t="s">
        <v>27</v>
      </c>
      <c r="I528">
        <v>1</v>
      </c>
      <c r="J528" s="10">
        <v>0.58333333333333337</v>
      </c>
      <c r="K528" s="10">
        <v>0.65694444444444444</v>
      </c>
      <c r="L528" s="10">
        <f t="shared" si="20"/>
        <v>7.3611111111111072E-2</v>
      </c>
      <c r="M528" s="12">
        <f t="shared" si="24"/>
        <v>1.7666666666666657</v>
      </c>
      <c r="N528" s="12">
        <f>Table35[[#This Row],[Trip Hours]]*Table35[[#This Row],['#Angler]]</f>
        <v>1.7666666666666657</v>
      </c>
      <c r="O528" t="s">
        <v>28</v>
      </c>
      <c r="P528" t="s">
        <v>217</v>
      </c>
      <c r="Q528" t="s">
        <v>224</v>
      </c>
      <c r="R528" s="11">
        <v>0</v>
      </c>
      <c r="S528">
        <v>0</v>
      </c>
      <c r="T528">
        <v>0</v>
      </c>
      <c r="U528" s="11">
        <v>0</v>
      </c>
      <c r="V528">
        <v>0</v>
      </c>
      <c r="W528">
        <v>3</v>
      </c>
      <c r="X528" s="11">
        <f t="shared" ref="X528:Z591" si="25">R528+U528</f>
        <v>0</v>
      </c>
      <c r="Y528">
        <f t="shared" si="25"/>
        <v>0</v>
      </c>
      <c r="Z528">
        <f t="shared" si="25"/>
        <v>3</v>
      </c>
      <c r="AA528" s="11"/>
    </row>
    <row r="529" spans="1:27" x14ac:dyDescent="0.3">
      <c r="A529" s="7">
        <v>45589</v>
      </c>
      <c r="B529">
        <v>10</v>
      </c>
      <c r="C529" t="s">
        <v>236</v>
      </c>
      <c r="D529" t="s">
        <v>42</v>
      </c>
      <c r="E529">
        <v>8</v>
      </c>
      <c r="F529">
        <v>2</v>
      </c>
      <c r="G529">
        <v>2</v>
      </c>
      <c r="H529" t="s">
        <v>27</v>
      </c>
      <c r="I529">
        <v>2</v>
      </c>
      <c r="J529" s="10">
        <v>0.58333333333333337</v>
      </c>
      <c r="K529" s="10">
        <v>0.6645833333333333</v>
      </c>
      <c r="L529" s="10">
        <f t="shared" si="20"/>
        <v>8.1249999999999933E-2</v>
      </c>
      <c r="M529" s="12">
        <f t="shared" si="24"/>
        <v>1.9499999999999984</v>
      </c>
      <c r="N529" s="12">
        <f>Table35[[#This Row],[Trip Hours]]*Table35[[#This Row],['#Angler]]</f>
        <v>3.8999999999999968</v>
      </c>
      <c r="O529" t="s">
        <v>28</v>
      </c>
      <c r="P529" t="s">
        <v>29</v>
      </c>
      <c r="Q529" t="s">
        <v>224</v>
      </c>
      <c r="R529" s="11">
        <v>0</v>
      </c>
      <c r="S529">
        <v>0</v>
      </c>
      <c r="T529">
        <v>3</v>
      </c>
      <c r="U529" s="11">
        <v>0</v>
      </c>
      <c r="V529">
        <v>0</v>
      </c>
      <c r="W529">
        <v>1</v>
      </c>
      <c r="X529" s="11">
        <f t="shared" si="25"/>
        <v>0</v>
      </c>
      <c r="Y529">
        <f t="shared" si="25"/>
        <v>0</v>
      </c>
      <c r="Z529">
        <f t="shared" si="25"/>
        <v>4</v>
      </c>
      <c r="AA529" s="11"/>
    </row>
    <row r="530" spans="1:27" x14ac:dyDescent="0.3">
      <c r="A530" s="7">
        <v>45589</v>
      </c>
      <c r="B530">
        <v>10</v>
      </c>
      <c r="C530" t="s">
        <v>236</v>
      </c>
      <c r="D530" t="s">
        <v>42</v>
      </c>
      <c r="E530">
        <v>9</v>
      </c>
      <c r="F530">
        <v>2</v>
      </c>
      <c r="G530">
        <v>2</v>
      </c>
      <c r="H530" t="s">
        <v>27</v>
      </c>
      <c r="I530">
        <v>1</v>
      </c>
      <c r="J530" s="10">
        <v>0.65625</v>
      </c>
      <c r="K530" s="10">
        <v>0.66527777777777775</v>
      </c>
      <c r="L530" s="10">
        <f t="shared" si="20"/>
        <v>9.0277777777777457E-3</v>
      </c>
      <c r="M530" s="12">
        <f t="shared" si="24"/>
        <v>0.2166666666666659</v>
      </c>
      <c r="N530" s="12">
        <f>Table35[[#This Row],[Trip Hours]]*Table35[[#This Row],['#Angler]]</f>
        <v>0.2166666666666659</v>
      </c>
      <c r="O530" t="s">
        <v>28</v>
      </c>
      <c r="P530" t="s">
        <v>56</v>
      </c>
      <c r="Q530" t="s">
        <v>241</v>
      </c>
      <c r="R530" s="11">
        <v>0</v>
      </c>
      <c r="S530">
        <v>0</v>
      </c>
      <c r="T530">
        <v>0</v>
      </c>
      <c r="U530" s="11">
        <v>0</v>
      </c>
      <c r="V530">
        <v>0</v>
      </c>
      <c r="W530">
        <v>0</v>
      </c>
      <c r="X530" s="11">
        <f t="shared" si="25"/>
        <v>0</v>
      </c>
      <c r="Y530">
        <f t="shared" si="25"/>
        <v>0</v>
      </c>
      <c r="Z530">
        <f t="shared" si="25"/>
        <v>0</v>
      </c>
      <c r="AA530" s="11"/>
    </row>
    <row r="531" spans="1:27" x14ac:dyDescent="0.3">
      <c r="A531" s="7">
        <v>45589</v>
      </c>
      <c r="B531">
        <v>10</v>
      </c>
      <c r="C531" t="s">
        <v>236</v>
      </c>
      <c r="D531" t="s">
        <v>42</v>
      </c>
      <c r="E531">
        <v>10</v>
      </c>
      <c r="F531">
        <v>2</v>
      </c>
      <c r="G531">
        <v>2</v>
      </c>
      <c r="H531" t="s">
        <v>27</v>
      </c>
      <c r="I531">
        <v>2</v>
      </c>
      <c r="J531" s="10">
        <v>0.64583333333333337</v>
      </c>
      <c r="K531" s="10">
        <v>0.66875000000000007</v>
      </c>
      <c r="L531" s="10">
        <f t="shared" si="20"/>
        <v>2.2916666666666696E-2</v>
      </c>
      <c r="M531" s="12">
        <f t="shared" si="24"/>
        <v>0.55000000000000071</v>
      </c>
      <c r="N531" s="12">
        <f>Table35[[#This Row],[Trip Hours]]*Table35[[#This Row],['#Angler]]</f>
        <v>1.1000000000000014</v>
      </c>
      <c r="O531" t="s">
        <v>28</v>
      </c>
      <c r="P531" t="s">
        <v>49</v>
      </c>
      <c r="Q531" t="s">
        <v>241</v>
      </c>
      <c r="R531" s="11">
        <v>0</v>
      </c>
      <c r="S531">
        <v>0</v>
      </c>
      <c r="T531">
        <v>0</v>
      </c>
      <c r="U531" s="11">
        <v>0</v>
      </c>
      <c r="V531">
        <v>0</v>
      </c>
      <c r="W531">
        <v>0</v>
      </c>
      <c r="X531" s="11">
        <f t="shared" si="25"/>
        <v>0</v>
      </c>
      <c r="Y531">
        <f t="shared" si="25"/>
        <v>0</v>
      </c>
      <c r="Z531">
        <f t="shared" si="25"/>
        <v>0</v>
      </c>
      <c r="AA531" s="11"/>
    </row>
    <row r="532" spans="1:27" x14ac:dyDescent="0.3">
      <c r="A532" s="7">
        <v>45589</v>
      </c>
      <c r="B532">
        <v>10</v>
      </c>
      <c r="C532" t="s">
        <v>236</v>
      </c>
      <c r="D532" t="s">
        <v>42</v>
      </c>
      <c r="E532">
        <v>11</v>
      </c>
      <c r="F532">
        <v>2</v>
      </c>
      <c r="G532">
        <v>2</v>
      </c>
      <c r="H532" t="s">
        <v>27</v>
      </c>
      <c r="I532">
        <v>1</v>
      </c>
      <c r="J532" s="10">
        <v>0.65277777777777779</v>
      </c>
      <c r="K532" s="10">
        <v>0.68958333333333333</v>
      </c>
      <c r="L532" s="10">
        <f t="shared" si="20"/>
        <v>3.6805555555555536E-2</v>
      </c>
      <c r="M532" s="12">
        <f t="shared" si="24"/>
        <v>0.88333333333333286</v>
      </c>
      <c r="N532" s="12">
        <f>Table35[[#This Row],[Trip Hours]]*Table35[[#This Row],['#Angler]]</f>
        <v>0.88333333333333286</v>
      </c>
      <c r="O532" t="s">
        <v>25</v>
      </c>
      <c r="P532" t="s">
        <v>334</v>
      </c>
      <c r="Q532" t="s">
        <v>241</v>
      </c>
      <c r="R532" s="11">
        <v>0</v>
      </c>
      <c r="S532">
        <v>0</v>
      </c>
      <c r="T532">
        <v>0</v>
      </c>
      <c r="U532" s="11">
        <v>0</v>
      </c>
      <c r="V532">
        <v>0</v>
      </c>
      <c r="W532">
        <v>0</v>
      </c>
      <c r="X532" s="11">
        <f t="shared" si="25"/>
        <v>0</v>
      </c>
      <c r="Y532">
        <f t="shared" si="25"/>
        <v>0</v>
      </c>
      <c r="Z532">
        <f t="shared" si="25"/>
        <v>0</v>
      </c>
      <c r="AA532" s="11"/>
    </row>
    <row r="533" spans="1:27" x14ac:dyDescent="0.3">
      <c r="A533" s="7">
        <v>45589</v>
      </c>
      <c r="B533">
        <v>10</v>
      </c>
      <c r="C533" t="s">
        <v>236</v>
      </c>
      <c r="D533" t="s">
        <v>42</v>
      </c>
      <c r="E533">
        <v>12</v>
      </c>
      <c r="F533">
        <v>2</v>
      </c>
      <c r="G533">
        <v>4</v>
      </c>
      <c r="H533" t="s">
        <v>27</v>
      </c>
      <c r="I533">
        <v>2</v>
      </c>
      <c r="J533" s="10">
        <v>0.72222222222222221</v>
      </c>
      <c r="K533" s="10">
        <v>0.73541666666666661</v>
      </c>
      <c r="L533" s="10">
        <f t="shared" si="20"/>
        <v>1.3194444444444398E-2</v>
      </c>
      <c r="M533" s="12">
        <f t="shared" si="24"/>
        <v>0.31666666666666554</v>
      </c>
      <c r="N533" s="12">
        <f>Table35[[#This Row],[Trip Hours]]*Table35[[#This Row],['#Angler]]</f>
        <v>0.63333333333333108</v>
      </c>
      <c r="O533" t="s">
        <v>28</v>
      </c>
      <c r="P533" t="s">
        <v>217</v>
      </c>
      <c r="Q533" t="s">
        <v>224</v>
      </c>
      <c r="R533" s="11">
        <v>0</v>
      </c>
      <c r="S533">
        <v>0</v>
      </c>
      <c r="T533">
        <v>0</v>
      </c>
      <c r="U533" s="11">
        <v>0</v>
      </c>
      <c r="V533">
        <v>0</v>
      </c>
      <c r="W533">
        <v>0</v>
      </c>
      <c r="X533" s="11">
        <f t="shared" si="25"/>
        <v>0</v>
      </c>
      <c r="Y533">
        <f t="shared" si="25"/>
        <v>0</v>
      </c>
      <c r="Z533">
        <f t="shared" si="25"/>
        <v>0</v>
      </c>
      <c r="AA533" s="11"/>
    </row>
    <row r="534" spans="1:27" x14ac:dyDescent="0.3">
      <c r="A534" s="7">
        <v>45589</v>
      </c>
      <c r="B534">
        <v>10</v>
      </c>
      <c r="C534" t="s">
        <v>236</v>
      </c>
      <c r="D534" t="s">
        <v>42</v>
      </c>
      <c r="E534">
        <v>13</v>
      </c>
      <c r="F534">
        <v>2</v>
      </c>
      <c r="G534">
        <v>4</v>
      </c>
      <c r="H534" t="s">
        <v>27</v>
      </c>
      <c r="I534">
        <v>1</v>
      </c>
      <c r="J534" s="10">
        <v>0.6875</v>
      </c>
      <c r="K534" s="10">
        <v>0.74513888888888891</v>
      </c>
      <c r="L534" s="10">
        <f t="shared" si="20"/>
        <v>5.7638888888888906E-2</v>
      </c>
      <c r="M534" s="12">
        <f t="shared" si="24"/>
        <v>1.3833333333333337</v>
      </c>
      <c r="N534" s="12">
        <f>Table35[[#This Row],[Trip Hours]]*Table35[[#This Row],['#Angler]]</f>
        <v>1.3833333333333337</v>
      </c>
      <c r="O534" t="s">
        <v>25</v>
      </c>
      <c r="P534" t="s">
        <v>29</v>
      </c>
      <c r="Q534" t="s">
        <v>311</v>
      </c>
      <c r="R534" s="11">
        <v>0</v>
      </c>
      <c r="S534">
        <v>0</v>
      </c>
      <c r="T534">
        <v>0</v>
      </c>
      <c r="U534" s="11">
        <v>0</v>
      </c>
      <c r="V534">
        <v>0</v>
      </c>
      <c r="W534">
        <v>0</v>
      </c>
      <c r="X534" s="11">
        <f t="shared" si="25"/>
        <v>0</v>
      </c>
      <c r="Y534">
        <f t="shared" si="25"/>
        <v>0</v>
      </c>
      <c r="Z534">
        <f t="shared" si="25"/>
        <v>0</v>
      </c>
      <c r="AA534" s="11"/>
    </row>
    <row r="535" spans="1:27" x14ac:dyDescent="0.3">
      <c r="A535" s="7">
        <v>45589</v>
      </c>
      <c r="B535">
        <v>10</v>
      </c>
      <c r="C535" t="s">
        <v>236</v>
      </c>
      <c r="D535" t="s">
        <v>42</v>
      </c>
      <c r="E535">
        <v>14</v>
      </c>
      <c r="F535">
        <v>2</v>
      </c>
      <c r="G535">
        <v>4</v>
      </c>
      <c r="H535" t="s">
        <v>27</v>
      </c>
      <c r="I535">
        <v>1</v>
      </c>
      <c r="J535" s="10">
        <v>0.6875</v>
      </c>
      <c r="K535" s="10">
        <v>0.74583333333333324</v>
      </c>
      <c r="L535" s="10">
        <f t="shared" si="20"/>
        <v>5.8333333333333237E-2</v>
      </c>
      <c r="M535" s="12">
        <f t="shared" si="24"/>
        <v>1.3999999999999977</v>
      </c>
      <c r="N535" s="12">
        <f>Table35[[#This Row],[Trip Hours]]*Table35[[#This Row],['#Angler]]</f>
        <v>1.3999999999999977</v>
      </c>
      <c r="O535" t="s">
        <v>25</v>
      </c>
      <c r="P535" t="s">
        <v>29</v>
      </c>
      <c r="Q535" t="s">
        <v>238</v>
      </c>
      <c r="R535" s="11">
        <v>0</v>
      </c>
      <c r="S535">
        <v>0</v>
      </c>
      <c r="T535">
        <v>0</v>
      </c>
      <c r="U535" s="11">
        <v>0</v>
      </c>
      <c r="V535">
        <v>0</v>
      </c>
      <c r="W535">
        <v>1</v>
      </c>
      <c r="X535" s="11">
        <f t="shared" si="25"/>
        <v>0</v>
      </c>
      <c r="Y535">
        <f t="shared" si="25"/>
        <v>0</v>
      </c>
      <c r="Z535">
        <f t="shared" si="25"/>
        <v>1</v>
      </c>
      <c r="AA535" s="11"/>
    </row>
    <row r="536" spans="1:27" x14ac:dyDescent="0.3">
      <c r="A536" s="7">
        <v>45590</v>
      </c>
      <c r="B536">
        <v>10</v>
      </c>
      <c r="C536" t="s">
        <v>236</v>
      </c>
      <c r="D536" t="s">
        <v>26</v>
      </c>
      <c r="E536">
        <v>1</v>
      </c>
      <c r="F536">
        <v>2</v>
      </c>
      <c r="G536">
        <v>2</v>
      </c>
      <c r="H536" t="s">
        <v>27</v>
      </c>
      <c r="I536">
        <v>1</v>
      </c>
      <c r="J536" s="10">
        <v>0.33333333333333331</v>
      </c>
      <c r="K536" s="10">
        <v>0.37916666666666665</v>
      </c>
      <c r="L536" s="10">
        <f t="shared" si="20"/>
        <v>4.5833333333333337E-2</v>
      </c>
      <c r="M536" s="12">
        <f t="shared" si="24"/>
        <v>1.1000000000000001</v>
      </c>
      <c r="N536" s="12">
        <f>Table35[[#This Row],[Trip Hours]]*Table35[[#This Row],['#Angler]]</f>
        <v>1.1000000000000001</v>
      </c>
      <c r="O536" t="s">
        <v>25</v>
      </c>
      <c r="P536" t="s">
        <v>217</v>
      </c>
      <c r="Q536" t="s">
        <v>224</v>
      </c>
      <c r="R536" s="11">
        <v>0</v>
      </c>
      <c r="S536">
        <v>0</v>
      </c>
      <c r="T536">
        <v>0</v>
      </c>
      <c r="U536" s="11">
        <v>0</v>
      </c>
      <c r="V536">
        <v>0</v>
      </c>
      <c r="W536">
        <v>8</v>
      </c>
      <c r="X536" s="11">
        <f t="shared" si="25"/>
        <v>0</v>
      </c>
      <c r="Y536">
        <f t="shared" si="25"/>
        <v>0</v>
      </c>
      <c r="Z536">
        <f t="shared" si="25"/>
        <v>8</v>
      </c>
      <c r="AA536" s="11"/>
    </row>
    <row r="537" spans="1:27" x14ac:dyDescent="0.3">
      <c r="A537" s="7">
        <v>45590</v>
      </c>
      <c r="B537">
        <v>10</v>
      </c>
      <c r="C537" t="s">
        <v>236</v>
      </c>
      <c r="D537" t="s">
        <v>26</v>
      </c>
      <c r="E537">
        <v>2</v>
      </c>
      <c r="F537">
        <v>2</v>
      </c>
      <c r="G537">
        <v>2</v>
      </c>
      <c r="H537" t="s">
        <v>27</v>
      </c>
      <c r="I537">
        <v>1</v>
      </c>
      <c r="J537" s="10">
        <v>0.32291666666666669</v>
      </c>
      <c r="K537" s="10">
        <v>0.38750000000000001</v>
      </c>
      <c r="L537" s="10">
        <f t="shared" si="20"/>
        <v>6.4583333333333326E-2</v>
      </c>
      <c r="M537" s="12">
        <f t="shared" si="24"/>
        <v>1.5499999999999998</v>
      </c>
      <c r="N537" s="12">
        <f>Table35[[#This Row],[Trip Hours]]*Table35[[#This Row],['#Angler]]</f>
        <v>1.5499999999999998</v>
      </c>
      <c r="O537" t="s">
        <v>25</v>
      </c>
      <c r="P537" t="s">
        <v>217</v>
      </c>
      <c r="Q537" t="s">
        <v>224</v>
      </c>
      <c r="R537" s="11">
        <v>0</v>
      </c>
      <c r="S537">
        <v>0</v>
      </c>
      <c r="T537">
        <v>0</v>
      </c>
      <c r="U537" s="11">
        <v>0</v>
      </c>
      <c r="V537">
        <v>0</v>
      </c>
      <c r="W537">
        <v>0</v>
      </c>
      <c r="X537" s="11">
        <f t="shared" si="25"/>
        <v>0</v>
      </c>
      <c r="Y537">
        <f t="shared" si="25"/>
        <v>0</v>
      </c>
      <c r="Z537">
        <f t="shared" si="25"/>
        <v>0</v>
      </c>
      <c r="AA537" s="11"/>
    </row>
    <row r="538" spans="1:27" x14ac:dyDescent="0.3">
      <c r="A538" s="7">
        <v>45590</v>
      </c>
      <c r="B538">
        <v>10</v>
      </c>
      <c r="C538" t="s">
        <v>236</v>
      </c>
      <c r="D538" t="s">
        <v>26</v>
      </c>
      <c r="E538">
        <v>3</v>
      </c>
      <c r="F538">
        <v>2</v>
      </c>
      <c r="G538">
        <v>2</v>
      </c>
      <c r="H538" t="s">
        <v>27</v>
      </c>
      <c r="I538">
        <v>1</v>
      </c>
      <c r="J538" s="10">
        <v>0.33333333333333331</v>
      </c>
      <c r="K538" s="10">
        <v>0.39583333333333331</v>
      </c>
      <c r="L538" s="10">
        <f t="shared" si="20"/>
        <v>6.25E-2</v>
      </c>
      <c r="M538" s="12">
        <f t="shared" si="24"/>
        <v>1.5</v>
      </c>
      <c r="N538" s="12">
        <f>Table35[[#This Row],[Trip Hours]]*Table35[[#This Row],['#Angler]]</f>
        <v>1.5</v>
      </c>
      <c r="O538" t="s">
        <v>25</v>
      </c>
      <c r="P538" t="s">
        <v>335</v>
      </c>
      <c r="Q538" t="s">
        <v>224</v>
      </c>
      <c r="R538" s="11">
        <v>0</v>
      </c>
      <c r="S538">
        <v>0</v>
      </c>
      <c r="T538">
        <v>0</v>
      </c>
      <c r="U538" s="11">
        <v>0</v>
      </c>
      <c r="V538">
        <v>0</v>
      </c>
      <c r="W538">
        <v>0</v>
      </c>
      <c r="X538" s="11">
        <f t="shared" si="25"/>
        <v>0</v>
      </c>
      <c r="Y538">
        <f t="shared" si="25"/>
        <v>0</v>
      </c>
      <c r="Z538">
        <f t="shared" si="25"/>
        <v>0</v>
      </c>
      <c r="AA538" s="11"/>
    </row>
    <row r="539" spans="1:27" x14ac:dyDescent="0.3">
      <c r="A539" s="7">
        <v>45590</v>
      </c>
      <c r="B539">
        <v>10</v>
      </c>
      <c r="C539" t="s">
        <v>236</v>
      </c>
      <c r="D539" t="s">
        <v>26</v>
      </c>
      <c r="E539">
        <v>4</v>
      </c>
      <c r="F539">
        <v>2</v>
      </c>
      <c r="G539">
        <v>2</v>
      </c>
      <c r="H539" t="s">
        <v>27</v>
      </c>
      <c r="I539">
        <v>1</v>
      </c>
      <c r="J539" s="10">
        <v>0.39583333333333331</v>
      </c>
      <c r="K539" s="10">
        <v>0.41666666666666669</v>
      </c>
      <c r="L539" s="10">
        <f t="shared" si="20"/>
        <v>2.083333333333337E-2</v>
      </c>
      <c r="M539" s="12">
        <f t="shared" si="24"/>
        <v>0.50000000000000089</v>
      </c>
      <c r="N539" s="12">
        <f>Table35[[#This Row],[Trip Hours]]*Table35[[#This Row],['#Angler]]</f>
        <v>0.50000000000000089</v>
      </c>
      <c r="O539" t="s">
        <v>25</v>
      </c>
      <c r="P539" t="s">
        <v>29</v>
      </c>
      <c r="Q539" t="s">
        <v>224</v>
      </c>
      <c r="R539" s="11">
        <v>0</v>
      </c>
      <c r="S539">
        <v>0</v>
      </c>
      <c r="T539">
        <v>0</v>
      </c>
      <c r="U539" s="11">
        <v>0</v>
      </c>
      <c r="V539">
        <v>0</v>
      </c>
      <c r="W539">
        <v>0</v>
      </c>
      <c r="X539" s="11">
        <f t="shared" si="25"/>
        <v>0</v>
      </c>
      <c r="Y539">
        <f t="shared" si="25"/>
        <v>0</v>
      </c>
      <c r="Z539">
        <f t="shared" si="25"/>
        <v>0</v>
      </c>
      <c r="AA539" s="11"/>
    </row>
    <row r="540" spans="1:27" x14ac:dyDescent="0.3">
      <c r="A540" s="7">
        <v>45590</v>
      </c>
      <c r="B540">
        <v>10</v>
      </c>
      <c r="C540" t="s">
        <v>236</v>
      </c>
      <c r="D540" t="s">
        <v>26</v>
      </c>
      <c r="E540">
        <v>5</v>
      </c>
      <c r="F540">
        <v>2</v>
      </c>
      <c r="G540">
        <v>2</v>
      </c>
      <c r="H540" t="s">
        <v>27</v>
      </c>
      <c r="I540">
        <v>1</v>
      </c>
      <c r="J540" s="10">
        <v>0.375</v>
      </c>
      <c r="K540" s="10">
        <v>0.4375</v>
      </c>
      <c r="L540" s="10">
        <f t="shared" si="20"/>
        <v>6.25E-2</v>
      </c>
      <c r="M540" s="12">
        <f t="shared" si="24"/>
        <v>1.5</v>
      </c>
      <c r="N540" s="12">
        <f>Table35[[#This Row],[Trip Hours]]*Table35[[#This Row],['#Angler]]</f>
        <v>1.5</v>
      </c>
      <c r="O540" t="s">
        <v>28</v>
      </c>
      <c r="P540" t="s">
        <v>29</v>
      </c>
      <c r="Q540" t="s">
        <v>224</v>
      </c>
      <c r="R540" s="11">
        <v>0</v>
      </c>
      <c r="S540">
        <v>0</v>
      </c>
      <c r="T540">
        <v>1</v>
      </c>
      <c r="U540" s="11">
        <v>0</v>
      </c>
      <c r="V540">
        <v>0</v>
      </c>
      <c r="W540">
        <v>0</v>
      </c>
      <c r="X540" s="11">
        <f t="shared" si="25"/>
        <v>0</v>
      </c>
      <c r="Y540">
        <f t="shared" si="25"/>
        <v>0</v>
      </c>
      <c r="Z540">
        <f t="shared" si="25"/>
        <v>1</v>
      </c>
      <c r="AA540" s="11"/>
    </row>
    <row r="541" spans="1:27" x14ac:dyDescent="0.3">
      <c r="A541" s="7">
        <v>45590</v>
      </c>
      <c r="B541">
        <v>10</v>
      </c>
      <c r="C541" t="s">
        <v>236</v>
      </c>
      <c r="D541" t="s">
        <v>26</v>
      </c>
      <c r="E541">
        <v>6</v>
      </c>
      <c r="F541">
        <v>2</v>
      </c>
      <c r="G541">
        <v>2</v>
      </c>
      <c r="H541" t="s">
        <v>27</v>
      </c>
      <c r="I541">
        <v>2</v>
      </c>
      <c r="J541" s="10">
        <v>0.375</v>
      </c>
      <c r="K541" s="10">
        <v>0.45</v>
      </c>
      <c r="L541" s="10">
        <f t="shared" si="20"/>
        <v>7.5000000000000011E-2</v>
      </c>
      <c r="M541" s="12">
        <f t="shared" si="24"/>
        <v>1.8000000000000003</v>
      </c>
      <c r="N541" s="12">
        <f>Table35[[#This Row],[Trip Hours]]*Table35[[#This Row],['#Angler]]</f>
        <v>3.6000000000000005</v>
      </c>
      <c r="O541" t="s">
        <v>25</v>
      </c>
      <c r="P541" t="s">
        <v>29</v>
      </c>
      <c r="Q541" t="s">
        <v>224</v>
      </c>
      <c r="R541" s="11">
        <v>0</v>
      </c>
      <c r="S541">
        <v>0</v>
      </c>
      <c r="T541">
        <v>0</v>
      </c>
      <c r="U541" s="11">
        <v>0</v>
      </c>
      <c r="V541">
        <v>0</v>
      </c>
      <c r="W541">
        <v>0</v>
      </c>
      <c r="X541" s="11">
        <f t="shared" si="25"/>
        <v>0</v>
      </c>
      <c r="Y541">
        <f t="shared" si="25"/>
        <v>0</v>
      </c>
      <c r="Z541">
        <f t="shared" si="25"/>
        <v>0</v>
      </c>
      <c r="AA541" s="11"/>
    </row>
    <row r="542" spans="1:27" x14ac:dyDescent="0.3">
      <c r="A542" s="7">
        <v>45590</v>
      </c>
      <c r="B542">
        <v>10</v>
      </c>
      <c r="C542" t="s">
        <v>236</v>
      </c>
      <c r="D542" t="s">
        <v>26</v>
      </c>
      <c r="E542">
        <v>7</v>
      </c>
      <c r="F542">
        <v>2</v>
      </c>
      <c r="G542">
        <v>2</v>
      </c>
      <c r="H542" t="s">
        <v>27</v>
      </c>
      <c r="I542">
        <v>1</v>
      </c>
      <c r="J542" s="10">
        <v>0.375</v>
      </c>
      <c r="K542" s="10">
        <v>0.45902777777777781</v>
      </c>
      <c r="L542" s="10">
        <f t="shared" si="20"/>
        <v>8.4027777777777812E-2</v>
      </c>
      <c r="M542" s="12">
        <f t="shared" si="24"/>
        <v>2.0166666666666675</v>
      </c>
      <c r="N542" s="12">
        <f>Table35[[#This Row],[Trip Hours]]*Table35[[#This Row],['#Angler]]</f>
        <v>2.0166666666666675</v>
      </c>
      <c r="O542" t="s">
        <v>25</v>
      </c>
      <c r="P542" t="s">
        <v>217</v>
      </c>
      <c r="Q542" t="s">
        <v>224</v>
      </c>
      <c r="R542" s="11">
        <v>0</v>
      </c>
      <c r="S542">
        <v>0</v>
      </c>
      <c r="T542">
        <v>0</v>
      </c>
      <c r="U542" s="11">
        <v>0</v>
      </c>
      <c r="V542">
        <v>0</v>
      </c>
      <c r="W542">
        <v>1</v>
      </c>
      <c r="X542" s="11">
        <f t="shared" si="25"/>
        <v>0</v>
      </c>
      <c r="Y542">
        <f t="shared" si="25"/>
        <v>0</v>
      </c>
      <c r="Z542">
        <f t="shared" si="25"/>
        <v>1</v>
      </c>
      <c r="AA542" s="11"/>
    </row>
    <row r="543" spans="1:27" x14ac:dyDescent="0.3">
      <c r="A543" s="7">
        <v>45590</v>
      </c>
      <c r="B543">
        <v>10</v>
      </c>
      <c r="C543" t="s">
        <v>236</v>
      </c>
      <c r="D543" t="s">
        <v>26</v>
      </c>
      <c r="E543">
        <v>8</v>
      </c>
      <c r="F543">
        <v>2</v>
      </c>
      <c r="G543">
        <v>2</v>
      </c>
      <c r="H543" t="s">
        <v>27</v>
      </c>
      <c r="I543">
        <v>2</v>
      </c>
      <c r="J543" s="10">
        <v>0.33333333333333331</v>
      </c>
      <c r="K543" s="10">
        <v>0.45902777777777781</v>
      </c>
      <c r="L543" s="10">
        <f t="shared" si="20"/>
        <v>0.1256944444444445</v>
      </c>
      <c r="M543" s="12">
        <f t="shared" si="24"/>
        <v>3.0166666666666679</v>
      </c>
      <c r="N543" s="12">
        <f>Table35[[#This Row],[Trip Hours]]*Table35[[#This Row],['#Angler]]</f>
        <v>6.0333333333333359</v>
      </c>
      <c r="O543" t="s">
        <v>25</v>
      </c>
      <c r="P543" t="s">
        <v>29</v>
      </c>
      <c r="Q543" t="s">
        <v>224</v>
      </c>
      <c r="R543" s="11">
        <v>0</v>
      </c>
      <c r="S543">
        <v>0</v>
      </c>
      <c r="T543">
        <v>0</v>
      </c>
      <c r="U543" s="11">
        <v>0</v>
      </c>
      <c r="V543">
        <v>0</v>
      </c>
      <c r="W543">
        <v>0</v>
      </c>
      <c r="X543" s="11">
        <f t="shared" si="25"/>
        <v>0</v>
      </c>
      <c r="Y543">
        <f t="shared" si="25"/>
        <v>0</v>
      </c>
      <c r="Z543">
        <f t="shared" si="25"/>
        <v>0</v>
      </c>
      <c r="AA543" s="11"/>
    </row>
    <row r="544" spans="1:27" x14ac:dyDescent="0.3">
      <c r="A544" s="7">
        <v>45590</v>
      </c>
      <c r="B544">
        <v>10</v>
      </c>
      <c r="C544" t="s">
        <v>236</v>
      </c>
      <c r="D544" t="s">
        <v>26</v>
      </c>
      <c r="E544">
        <v>9</v>
      </c>
      <c r="F544">
        <v>2</v>
      </c>
      <c r="G544">
        <v>2</v>
      </c>
      <c r="H544" t="s">
        <v>27</v>
      </c>
      <c r="I544">
        <v>1</v>
      </c>
      <c r="J544" s="10">
        <v>0.29166666666666669</v>
      </c>
      <c r="K544" s="10">
        <v>0.45902777777777781</v>
      </c>
      <c r="L544" s="10">
        <f t="shared" si="20"/>
        <v>0.16736111111111113</v>
      </c>
      <c r="M544" s="12">
        <f t="shared" si="24"/>
        <v>4.0166666666666675</v>
      </c>
      <c r="N544" s="12">
        <f>Table35[[#This Row],[Trip Hours]]*Table35[[#This Row],['#Angler]]</f>
        <v>4.0166666666666675</v>
      </c>
      <c r="O544" t="s">
        <v>25</v>
      </c>
      <c r="P544" t="s">
        <v>29</v>
      </c>
      <c r="Q544" t="s">
        <v>224</v>
      </c>
      <c r="R544" s="11">
        <v>0</v>
      </c>
      <c r="S544">
        <v>0</v>
      </c>
      <c r="T544">
        <v>0</v>
      </c>
      <c r="U544" s="11">
        <v>0</v>
      </c>
      <c r="V544">
        <v>0</v>
      </c>
      <c r="W544">
        <v>14</v>
      </c>
      <c r="X544" s="11">
        <f t="shared" si="25"/>
        <v>0</v>
      </c>
      <c r="Y544">
        <f t="shared" si="25"/>
        <v>0</v>
      </c>
      <c r="Z544">
        <f t="shared" si="25"/>
        <v>14</v>
      </c>
      <c r="AA544" s="11"/>
    </row>
    <row r="545" spans="1:27" x14ac:dyDescent="0.3">
      <c r="A545" s="7">
        <v>45590</v>
      </c>
      <c r="B545">
        <v>10</v>
      </c>
      <c r="C545" t="s">
        <v>236</v>
      </c>
      <c r="D545" t="s">
        <v>42</v>
      </c>
      <c r="E545">
        <v>10</v>
      </c>
      <c r="F545">
        <v>2</v>
      </c>
      <c r="G545">
        <v>1</v>
      </c>
      <c r="H545" t="s">
        <v>27</v>
      </c>
      <c r="I545">
        <v>1</v>
      </c>
      <c r="J545" s="10">
        <v>0.33333333333333331</v>
      </c>
      <c r="K545" s="10">
        <v>0.3611111111111111</v>
      </c>
      <c r="L545" s="10">
        <f t="shared" si="20"/>
        <v>2.777777777777779E-2</v>
      </c>
      <c r="M545" s="12">
        <f t="shared" si="24"/>
        <v>0.66666666666666696</v>
      </c>
      <c r="N545" s="12">
        <f>Table35[[#This Row],[Trip Hours]]*Table35[[#This Row],['#Angler]]</f>
        <v>0.66666666666666696</v>
      </c>
      <c r="O545" t="s">
        <v>25</v>
      </c>
      <c r="P545" t="s">
        <v>217</v>
      </c>
      <c r="Q545" t="s">
        <v>224</v>
      </c>
      <c r="R545" s="11">
        <v>0</v>
      </c>
      <c r="S545">
        <v>0</v>
      </c>
      <c r="T545">
        <v>0</v>
      </c>
      <c r="U545" s="11">
        <v>0</v>
      </c>
      <c r="V545">
        <v>0</v>
      </c>
      <c r="W545">
        <v>2</v>
      </c>
      <c r="X545" s="11">
        <f t="shared" si="25"/>
        <v>0</v>
      </c>
      <c r="Y545">
        <f t="shared" si="25"/>
        <v>0</v>
      </c>
      <c r="Z545">
        <f t="shared" si="25"/>
        <v>2</v>
      </c>
      <c r="AA545" s="11"/>
    </row>
    <row r="546" spans="1:27" x14ac:dyDescent="0.3">
      <c r="A546" s="7">
        <v>45590</v>
      </c>
      <c r="B546">
        <v>10</v>
      </c>
      <c r="C546" t="s">
        <v>236</v>
      </c>
      <c r="D546" t="s">
        <v>42</v>
      </c>
      <c r="E546">
        <v>11</v>
      </c>
      <c r="F546">
        <v>2</v>
      </c>
      <c r="G546">
        <v>4</v>
      </c>
      <c r="H546" t="s">
        <v>27</v>
      </c>
      <c r="I546">
        <v>3</v>
      </c>
      <c r="J546" s="10">
        <v>0.5625</v>
      </c>
      <c r="K546" s="10">
        <v>0.65694444444444444</v>
      </c>
      <c r="L546" s="10">
        <f t="shared" si="20"/>
        <v>9.4444444444444442E-2</v>
      </c>
      <c r="M546" s="12">
        <f t="shared" si="24"/>
        <v>2.2666666666666666</v>
      </c>
      <c r="N546" s="12">
        <f>Table35[[#This Row],[Trip Hours]]*Table35[[#This Row],['#Angler]]</f>
        <v>6.8</v>
      </c>
      <c r="O546" t="s">
        <v>25</v>
      </c>
      <c r="P546" t="s">
        <v>29</v>
      </c>
      <c r="Q546" t="s">
        <v>224</v>
      </c>
      <c r="R546" s="11">
        <v>0</v>
      </c>
      <c r="S546">
        <v>0</v>
      </c>
      <c r="T546">
        <v>0</v>
      </c>
      <c r="U546" s="11">
        <v>0</v>
      </c>
      <c r="V546">
        <v>0</v>
      </c>
      <c r="W546">
        <v>0</v>
      </c>
      <c r="X546" s="11">
        <f t="shared" si="25"/>
        <v>0</v>
      </c>
      <c r="Y546">
        <f t="shared" si="25"/>
        <v>0</v>
      </c>
      <c r="Z546">
        <f t="shared" si="25"/>
        <v>0</v>
      </c>
      <c r="AA546" s="11"/>
    </row>
    <row r="547" spans="1:27" x14ac:dyDescent="0.3">
      <c r="A547" s="7">
        <v>45590</v>
      </c>
      <c r="B547">
        <v>10</v>
      </c>
      <c r="C547" t="s">
        <v>236</v>
      </c>
      <c r="D547" t="s">
        <v>42</v>
      </c>
      <c r="E547">
        <v>12</v>
      </c>
      <c r="F547">
        <v>2</v>
      </c>
      <c r="G547">
        <v>4</v>
      </c>
      <c r="H547" t="s">
        <v>27</v>
      </c>
      <c r="I547">
        <v>1</v>
      </c>
      <c r="J547" s="10">
        <v>0.3125</v>
      </c>
      <c r="K547" s="10">
        <v>0.65763888888888888</v>
      </c>
      <c r="L547" s="10">
        <f t="shared" si="20"/>
        <v>0.34513888888888888</v>
      </c>
      <c r="M547" s="12">
        <f t="shared" si="24"/>
        <v>8.2833333333333332</v>
      </c>
      <c r="N547" s="12">
        <f>Table35[[#This Row],[Trip Hours]]*Table35[[#This Row],['#Angler]]</f>
        <v>8.2833333333333332</v>
      </c>
      <c r="O547" t="s">
        <v>25</v>
      </c>
      <c r="P547" t="s">
        <v>29</v>
      </c>
      <c r="Q547" t="s">
        <v>247</v>
      </c>
      <c r="R547" s="11">
        <v>0</v>
      </c>
      <c r="S547">
        <v>0</v>
      </c>
      <c r="T547">
        <v>0</v>
      </c>
      <c r="U547" s="11">
        <v>0</v>
      </c>
      <c r="V547">
        <v>2</v>
      </c>
      <c r="W547">
        <v>0</v>
      </c>
      <c r="X547" s="11">
        <f t="shared" si="25"/>
        <v>0</v>
      </c>
      <c r="Y547">
        <f t="shared" si="25"/>
        <v>2</v>
      </c>
      <c r="Z547">
        <f t="shared" si="25"/>
        <v>0</v>
      </c>
      <c r="AA547" s="11"/>
    </row>
    <row r="548" spans="1:27" x14ac:dyDescent="0.3">
      <c r="A548" s="7">
        <v>45590</v>
      </c>
      <c r="B548">
        <v>10</v>
      </c>
      <c r="C548" t="s">
        <v>236</v>
      </c>
      <c r="D548" t="s">
        <v>42</v>
      </c>
      <c r="E548">
        <v>13</v>
      </c>
      <c r="F548">
        <v>3</v>
      </c>
      <c r="G548">
        <v>8</v>
      </c>
      <c r="H548" t="s">
        <v>27</v>
      </c>
      <c r="I548">
        <v>3</v>
      </c>
      <c r="J548" s="10">
        <v>0.66666666666666663</v>
      </c>
      <c r="K548" s="10">
        <v>0.73958333333333337</v>
      </c>
      <c r="L548" s="10">
        <f t="shared" si="20"/>
        <v>7.2916666666666741E-2</v>
      </c>
      <c r="M548" s="12">
        <f t="shared" si="24"/>
        <v>1.7500000000000018</v>
      </c>
      <c r="N548" s="12">
        <f>Table35[[#This Row],[Trip Hours]]*Table35[[#This Row],['#Angler]]</f>
        <v>5.2500000000000053</v>
      </c>
      <c r="O548" t="s">
        <v>25</v>
      </c>
      <c r="P548" t="s">
        <v>29</v>
      </c>
      <c r="Q548" t="s">
        <v>224</v>
      </c>
      <c r="R548" s="11">
        <v>0</v>
      </c>
      <c r="S548">
        <v>0</v>
      </c>
      <c r="T548">
        <v>0</v>
      </c>
      <c r="U548" s="11">
        <v>0</v>
      </c>
      <c r="V548">
        <v>0</v>
      </c>
      <c r="W548">
        <v>0</v>
      </c>
      <c r="X548" s="11">
        <f t="shared" si="25"/>
        <v>0</v>
      </c>
      <c r="Y548">
        <f t="shared" si="25"/>
        <v>0</v>
      </c>
      <c r="Z548">
        <f t="shared" si="25"/>
        <v>0</v>
      </c>
      <c r="AA548" s="11"/>
    </row>
    <row r="549" spans="1:27" x14ac:dyDescent="0.3">
      <c r="A549" s="7">
        <v>45591</v>
      </c>
      <c r="B549">
        <v>10</v>
      </c>
      <c r="C549" t="s">
        <v>250</v>
      </c>
      <c r="D549" t="s">
        <v>26</v>
      </c>
      <c r="E549">
        <v>1</v>
      </c>
      <c r="F549">
        <v>2</v>
      </c>
      <c r="G549">
        <v>1</v>
      </c>
      <c r="H549" t="s">
        <v>27</v>
      </c>
      <c r="I549">
        <v>1</v>
      </c>
      <c r="J549" s="10">
        <v>0.3263888888888889</v>
      </c>
      <c r="K549" s="10">
        <v>0.33263888888888887</v>
      </c>
      <c r="L549" s="10">
        <f t="shared" si="20"/>
        <v>6.2499999999999778E-3</v>
      </c>
      <c r="M549" s="12">
        <f t="shared" si="24"/>
        <v>0.14999999999999947</v>
      </c>
      <c r="N549" s="12">
        <f>Table35[[#This Row],[Trip Hours]]*Table35[[#This Row],['#Angler]]</f>
        <v>0.14999999999999947</v>
      </c>
      <c r="O549" t="s">
        <v>28</v>
      </c>
      <c r="P549" t="s">
        <v>29</v>
      </c>
      <c r="Q549" t="s">
        <v>224</v>
      </c>
      <c r="R549" s="11">
        <v>0</v>
      </c>
      <c r="S549">
        <v>0</v>
      </c>
      <c r="T549">
        <v>0</v>
      </c>
      <c r="U549" s="11">
        <v>0</v>
      </c>
      <c r="V549">
        <v>0</v>
      </c>
      <c r="W549">
        <v>0</v>
      </c>
      <c r="X549" s="11">
        <f t="shared" si="25"/>
        <v>0</v>
      </c>
      <c r="Y549">
        <f t="shared" si="25"/>
        <v>0</v>
      </c>
      <c r="Z549">
        <f t="shared" si="25"/>
        <v>0</v>
      </c>
      <c r="AA549" s="11"/>
    </row>
    <row r="550" spans="1:27" x14ac:dyDescent="0.3">
      <c r="A550" s="7">
        <v>45591</v>
      </c>
      <c r="B550">
        <v>10</v>
      </c>
      <c r="C550" t="s">
        <v>250</v>
      </c>
      <c r="D550" t="s">
        <v>26</v>
      </c>
      <c r="E550">
        <v>2</v>
      </c>
      <c r="F550">
        <v>2</v>
      </c>
      <c r="G550">
        <v>1</v>
      </c>
      <c r="H550" t="s">
        <v>27</v>
      </c>
      <c r="I550">
        <v>1</v>
      </c>
      <c r="J550" s="10">
        <v>0.29166666666666669</v>
      </c>
      <c r="K550" s="10">
        <v>0.33611111111111108</v>
      </c>
      <c r="L550" s="10">
        <f t="shared" si="20"/>
        <v>4.4444444444444398E-2</v>
      </c>
      <c r="M550" s="12">
        <f t="shared" si="24"/>
        <v>1.0666666666666655</v>
      </c>
      <c r="N550" s="12">
        <f>Table35[[#This Row],[Trip Hours]]*Table35[[#This Row],['#Angler]]</f>
        <v>1.0666666666666655</v>
      </c>
      <c r="O550" t="s">
        <v>28</v>
      </c>
      <c r="P550" t="s">
        <v>217</v>
      </c>
      <c r="Q550" t="s">
        <v>224</v>
      </c>
      <c r="R550" s="11">
        <v>0</v>
      </c>
      <c r="S550">
        <v>0</v>
      </c>
      <c r="T550">
        <v>0</v>
      </c>
      <c r="U550" s="11">
        <v>0</v>
      </c>
      <c r="V550">
        <v>0</v>
      </c>
      <c r="W550">
        <v>0</v>
      </c>
      <c r="X550" s="11">
        <f t="shared" si="25"/>
        <v>0</v>
      </c>
      <c r="Y550">
        <f t="shared" si="25"/>
        <v>0</v>
      </c>
      <c r="Z550">
        <f t="shared" si="25"/>
        <v>0</v>
      </c>
      <c r="AA550" s="11"/>
    </row>
    <row r="551" spans="1:27" x14ac:dyDescent="0.3">
      <c r="A551" s="7">
        <v>45591</v>
      </c>
      <c r="B551">
        <v>10</v>
      </c>
      <c r="C551" t="s">
        <v>250</v>
      </c>
      <c r="D551" t="s">
        <v>26</v>
      </c>
      <c r="E551">
        <v>3</v>
      </c>
      <c r="F551">
        <v>2</v>
      </c>
      <c r="G551">
        <v>1</v>
      </c>
      <c r="H551" t="s">
        <v>27</v>
      </c>
      <c r="I551">
        <v>2</v>
      </c>
      <c r="J551" s="10">
        <v>0.29166666666666669</v>
      </c>
      <c r="K551" s="10">
        <v>0.33749999999999997</v>
      </c>
      <c r="L551" s="10">
        <f t="shared" si="20"/>
        <v>4.5833333333333282E-2</v>
      </c>
      <c r="M551" s="12">
        <f t="shared" si="24"/>
        <v>1.0999999999999988</v>
      </c>
      <c r="N551" s="12">
        <f>Table35[[#This Row],[Trip Hours]]*Table35[[#This Row],['#Angler]]</f>
        <v>2.1999999999999975</v>
      </c>
      <c r="O551" t="s">
        <v>28</v>
      </c>
      <c r="P551" t="s">
        <v>56</v>
      </c>
      <c r="Q551" t="s">
        <v>247</v>
      </c>
      <c r="R551" s="11">
        <v>0</v>
      </c>
      <c r="S551">
        <v>0</v>
      </c>
      <c r="T551">
        <v>0</v>
      </c>
      <c r="U551" s="11">
        <v>0</v>
      </c>
      <c r="V551">
        <v>0</v>
      </c>
      <c r="W551">
        <v>0</v>
      </c>
      <c r="X551" s="11">
        <f t="shared" si="25"/>
        <v>0</v>
      </c>
      <c r="Y551">
        <f t="shared" si="25"/>
        <v>0</v>
      </c>
      <c r="Z551">
        <f t="shared" si="25"/>
        <v>0</v>
      </c>
      <c r="AA551" s="11"/>
    </row>
    <row r="552" spans="1:27" x14ac:dyDescent="0.3">
      <c r="A552" s="7">
        <v>45591</v>
      </c>
      <c r="B552">
        <v>10</v>
      </c>
      <c r="C552" t="s">
        <v>250</v>
      </c>
      <c r="D552" t="s">
        <v>26</v>
      </c>
      <c r="E552">
        <v>4</v>
      </c>
      <c r="F552">
        <v>2</v>
      </c>
      <c r="G552">
        <v>2</v>
      </c>
      <c r="H552" t="s">
        <v>27</v>
      </c>
      <c r="I552">
        <v>3</v>
      </c>
      <c r="J552" s="10">
        <v>0.28263888888888888</v>
      </c>
      <c r="K552" s="10">
        <v>0.34166666666666662</v>
      </c>
      <c r="L552" s="10">
        <f t="shared" si="20"/>
        <v>5.9027777777777735E-2</v>
      </c>
      <c r="M552" s="12">
        <f t="shared" si="24"/>
        <v>1.4166666666666656</v>
      </c>
      <c r="N552" s="12">
        <f>Table35[[#This Row],[Trip Hours]]*Table35[[#This Row],['#Angler]]</f>
        <v>4.2499999999999964</v>
      </c>
      <c r="O552" t="s">
        <v>28</v>
      </c>
      <c r="P552" t="s">
        <v>51</v>
      </c>
      <c r="Q552" t="s">
        <v>224</v>
      </c>
      <c r="R552" s="11">
        <v>0</v>
      </c>
      <c r="S552">
        <v>0</v>
      </c>
      <c r="T552">
        <v>1</v>
      </c>
      <c r="U552" s="11">
        <v>0</v>
      </c>
      <c r="V552">
        <v>0</v>
      </c>
      <c r="W552">
        <v>0</v>
      </c>
      <c r="X552" s="11">
        <f t="shared" si="25"/>
        <v>0</v>
      </c>
      <c r="Y552">
        <f t="shared" si="25"/>
        <v>0</v>
      </c>
      <c r="Z552">
        <f t="shared" si="25"/>
        <v>1</v>
      </c>
      <c r="AA552" s="11"/>
    </row>
    <row r="553" spans="1:27" x14ac:dyDescent="0.3">
      <c r="A553" s="7">
        <v>45591</v>
      </c>
      <c r="B553">
        <v>10</v>
      </c>
      <c r="C553" t="s">
        <v>250</v>
      </c>
      <c r="D553" t="s">
        <v>26</v>
      </c>
      <c r="E553">
        <v>5</v>
      </c>
      <c r="F553">
        <v>2</v>
      </c>
      <c r="G553">
        <v>1</v>
      </c>
      <c r="H553" t="s">
        <v>27</v>
      </c>
      <c r="I553">
        <v>1</v>
      </c>
      <c r="J553" s="10">
        <v>0.31944444444444448</v>
      </c>
      <c r="K553" s="10">
        <v>0.34583333333333338</v>
      </c>
      <c r="L553" s="10">
        <f t="shared" si="20"/>
        <v>2.6388888888888906E-2</v>
      </c>
      <c r="M553" s="12">
        <f t="shared" si="24"/>
        <v>0.63333333333333375</v>
      </c>
      <c r="N553" s="12">
        <f>Table35[[#This Row],[Trip Hours]]*Table35[[#This Row],['#Angler]]</f>
        <v>0.63333333333333375</v>
      </c>
      <c r="O553" t="s">
        <v>28</v>
      </c>
      <c r="P553" t="s">
        <v>217</v>
      </c>
      <c r="Q553" t="s">
        <v>311</v>
      </c>
      <c r="R553" s="11">
        <v>0</v>
      </c>
      <c r="S553">
        <v>0</v>
      </c>
      <c r="T553">
        <v>0</v>
      </c>
      <c r="U553" s="11">
        <v>0</v>
      </c>
      <c r="V553">
        <v>0</v>
      </c>
      <c r="W553">
        <v>0</v>
      </c>
      <c r="X553" s="11">
        <f t="shared" si="25"/>
        <v>0</v>
      </c>
      <c r="Y553">
        <f t="shared" si="25"/>
        <v>0</v>
      </c>
      <c r="Z553">
        <f t="shared" si="25"/>
        <v>0</v>
      </c>
      <c r="AA553" s="11"/>
    </row>
    <row r="554" spans="1:27" x14ac:dyDescent="0.3">
      <c r="A554" s="7">
        <v>45591</v>
      </c>
      <c r="B554">
        <v>10</v>
      </c>
      <c r="C554" t="s">
        <v>250</v>
      </c>
      <c r="D554" t="s">
        <v>26</v>
      </c>
      <c r="E554">
        <v>6</v>
      </c>
      <c r="F554">
        <v>2</v>
      </c>
      <c r="G554">
        <v>2</v>
      </c>
      <c r="H554" t="s">
        <v>27</v>
      </c>
      <c r="I554">
        <v>1</v>
      </c>
      <c r="J554" s="10">
        <v>0.3125</v>
      </c>
      <c r="K554" s="10">
        <v>0.36041666666666666</v>
      </c>
      <c r="L554" s="10">
        <f t="shared" si="20"/>
        <v>4.7916666666666663E-2</v>
      </c>
      <c r="M554" s="12">
        <f t="shared" si="24"/>
        <v>1.1499999999999999</v>
      </c>
      <c r="N554" s="12">
        <f>Table35[[#This Row],[Trip Hours]]*Table35[[#This Row],['#Angler]]</f>
        <v>1.1499999999999999</v>
      </c>
      <c r="O554" t="s">
        <v>28</v>
      </c>
      <c r="P554" t="s">
        <v>336</v>
      </c>
      <c r="Q554" t="s">
        <v>241</v>
      </c>
      <c r="R554" s="11">
        <v>0</v>
      </c>
      <c r="S554">
        <v>0</v>
      </c>
      <c r="T554">
        <v>0</v>
      </c>
      <c r="U554" s="11">
        <v>0</v>
      </c>
      <c r="V554">
        <v>0</v>
      </c>
      <c r="W554">
        <v>0</v>
      </c>
      <c r="X554" s="11">
        <f t="shared" si="25"/>
        <v>0</v>
      </c>
      <c r="Y554">
        <f t="shared" si="25"/>
        <v>0</v>
      </c>
      <c r="Z554">
        <f t="shared" si="25"/>
        <v>0</v>
      </c>
      <c r="AA554" s="11"/>
    </row>
    <row r="555" spans="1:27" x14ac:dyDescent="0.3">
      <c r="A555" s="7">
        <v>45591</v>
      </c>
      <c r="B555">
        <v>10</v>
      </c>
      <c r="C555" t="s">
        <v>250</v>
      </c>
      <c r="D555" t="s">
        <v>26</v>
      </c>
      <c r="E555">
        <v>7</v>
      </c>
      <c r="F555">
        <v>2</v>
      </c>
      <c r="G555">
        <v>2</v>
      </c>
      <c r="H555" t="s">
        <v>27</v>
      </c>
      <c r="I555">
        <v>1</v>
      </c>
      <c r="J555" s="10">
        <v>0.33333333333333331</v>
      </c>
      <c r="K555" s="10">
        <v>0.36180555555555555</v>
      </c>
      <c r="L555" s="10">
        <f t="shared" si="20"/>
        <v>2.8472222222222232E-2</v>
      </c>
      <c r="M555" s="12">
        <f t="shared" si="24"/>
        <v>0.68333333333333357</v>
      </c>
      <c r="N555" s="12">
        <f>Table35[[#This Row],[Trip Hours]]*Table35[[#This Row],['#Angler]]</f>
        <v>0.68333333333333357</v>
      </c>
      <c r="O555" t="s">
        <v>28</v>
      </c>
      <c r="P555" t="s">
        <v>29</v>
      </c>
      <c r="Q555" t="s">
        <v>224</v>
      </c>
      <c r="R555" s="11">
        <v>0</v>
      </c>
      <c r="S555">
        <v>0</v>
      </c>
      <c r="T555">
        <v>2</v>
      </c>
      <c r="U555" s="11">
        <v>0</v>
      </c>
      <c r="V555">
        <v>0</v>
      </c>
      <c r="W555">
        <v>3</v>
      </c>
      <c r="X555" s="11">
        <f t="shared" si="25"/>
        <v>0</v>
      </c>
      <c r="Y555">
        <f t="shared" si="25"/>
        <v>0</v>
      </c>
      <c r="Z555">
        <f t="shared" si="25"/>
        <v>5</v>
      </c>
      <c r="AA555" s="11"/>
    </row>
    <row r="556" spans="1:27" x14ac:dyDescent="0.3">
      <c r="A556" s="7">
        <v>45591</v>
      </c>
      <c r="B556">
        <v>10</v>
      </c>
      <c r="C556" t="s">
        <v>250</v>
      </c>
      <c r="D556" t="s">
        <v>26</v>
      </c>
      <c r="E556">
        <v>8</v>
      </c>
      <c r="F556">
        <v>2</v>
      </c>
      <c r="G556">
        <v>2</v>
      </c>
      <c r="H556" t="s">
        <v>27</v>
      </c>
      <c r="I556">
        <v>3</v>
      </c>
      <c r="J556" s="10">
        <v>0.28125</v>
      </c>
      <c r="K556" s="10">
        <v>0.36388888888888887</v>
      </c>
      <c r="L556" s="10">
        <f t="shared" si="20"/>
        <v>8.2638888888888873E-2</v>
      </c>
      <c r="M556" s="12">
        <f t="shared" si="24"/>
        <v>1.9833333333333329</v>
      </c>
      <c r="N556" s="12">
        <f>Table35[[#This Row],[Trip Hours]]*Table35[[#This Row],['#Angler]]</f>
        <v>5.9499999999999993</v>
      </c>
      <c r="O556" t="s">
        <v>28</v>
      </c>
      <c r="P556" t="s">
        <v>56</v>
      </c>
      <c r="Q556" t="s">
        <v>311</v>
      </c>
      <c r="R556" s="11">
        <v>0</v>
      </c>
      <c r="S556">
        <v>0</v>
      </c>
      <c r="T556">
        <v>1</v>
      </c>
      <c r="U556" s="11">
        <v>0</v>
      </c>
      <c r="V556">
        <v>0</v>
      </c>
      <c r="W556">
        <v>0</v>
      </c>
      <c r="X556" s="11">
        <f t="shared" si="25"/>
        <v>0</v>
      </c>
      <c r="Y556">
        <f t="shared" si="25"/>
        <v>0</v>
      </c>
      <c r="Z556">
        <f t="shared" si="25"/>
        <v>1</v>
      </c>
      <c r="AA556" s="11"/>
    </row>
    <row r="557" spans="1:27" x14ac:dyDescent="0.3">
      <c r="A557" s="7">
        <v>45591</v>
      </c>
      <c r="B557">
        <v>10</v>
      </c>
      <c r="C557" t="s">
        <v>250</v>
      </c>
      <c r="D557" t="s">
        <v>26</v>
      </c>
      <c r="E557">
        <v>9</v>
      </c>
      <c r="F557">
        <v>2</v>
      </c>
      <c r="G557">
        <v>2</v>
      </c>
      <c r="H557" t="s">
        <v>27</v>
      </c>
      <c r="I557">
        <v>1</v>
      </c>
      <c r="J557" s="10">
        <v>0.33333333333333331</v>
      </c>
      <c r="K557" s="10">
        <v>0.36388888888888887</v>
      </c>
      <c r="L557" s="10">
        <f t="shared" si="20"/>
        <v>3.0555555555555558E-2</v>
      </c>
      <c r="M557" s="12">
        <f t="shared" si="24"/>
        <v>0.73333333333333339</v>
      </c>
      <c r="N557" s="12">
        <f>Table35[[#This Row],[Trip Hours]]*Table35[[#This Row],['#Angler]]</f>
        <v>0.73333333333333339</v>
      </c>
      <c r="O557" t="s">
        <v>28</v>
      </c>
      <c r="P557" t="s">
        <v>217</v>
      </c>
      <c r="Q557" t="s">
        <v>224</v>
      </c>
      <c r="R557" s="11">
        <v>0</v>
      </c>
      <c r="S557">
        <v>0</v>
      </c>
      <c r="T557">
        <v>0</v>
      </c>
      <c r="U557" s="11">
        <v>0</v>
      </c>
      <c r="V557">
        <v>0</v>
      </c>
      <c r="W557">
        <v>0</v>
      </c>
      <c r="X557" s="11">
        <f t="shared" si="25"/>
        <v>0</v>
      </c>
      <c r="Y557">
        <f t="shared" si="25"/>
        <v>0</v>
      </c>
      <c r="Z557">
        <f t="shared" si="25"/>
        <v>0</v>
      </c>
      <c r="AA557" s="11"/>
    </row>
    <row r="558" spans="1:27" x14ac:dyDescent="0.3">
      <c r="A558" s="7">
        <v>45591</v>
      </c>
      <c r="B558">
        <v>10</v>
      </c>
      <c r="C558" t="s">
        <v>250</v>
      </c>
      <c r="D558" t="s">
        <v>26</v>
      </c>
      <c r="E558">
        <v>10</v>
      </c>
      <c r="F558">
        <v>2</v>
      </c>
      <c r="G558">
        <v>2</v>
      </c>
      <c r="H558" t="s">
        <v>27</v>
      </c>
      <c r="I558">
        <v>1</v>
      </c>
      <c r="J558" s="10">
        <v>0.32291666666666669</v>
      </c>
      <c r="K558" s="10">
        <v>0.36458333333333331</v>
      </c>
      <c r="L558" s="10">
        <f t="shared" si="20"/>
        <v>4.166666666666663E-2</v>
      </c>
      <c r="M558" s="12">
        <f t="shared" si="24"/>
        <v>0.99999999999999911</v>
      </c>
      <c r="N558" s="12">
        <f>Table35[[#This Row],[Trip Hours]]*Table35[[#This Row],['#Angler]]</f>
        <v>0.99999999999999911</v>
      </c>
      <c r="O558" t="s">
        <v>28</v>
      </c>
      <c r="P558" t="s">
        <v>217</v>
      </c>
      <c r="Q558" t="s">
        <v>224</v>
      </c>
      <c r="R558" s="11">
        <v>0</v>
      </c>
      <c r="S558">
        <v>0</v>
      </c>
      <c r="T558">
        <v>0</v>
      </c>
      <c r="U558" s="11">
        <v>0</v>
      </c>
      <c r="V558">
        <v>0</v>
      </c>
      <c r="W558">
        <v>0</v>
      </c>
      <c r="X558" s="11">
        <f t="shared" si="25"/>
        <v>0</v>
      </c>
      <c r="Y558">
        <f t="shared" si="25"/>
        <v>0</v>
      </c>
      <c r="Z558">
        <f t="shared" si="25"/>
        <v>0</v>
      </c>
      <c r="AA558" s="11"/>
    </row>
    <row r="559" spans="1:27" x14ac:dyDescent="0.3">
      <c r="A559" s="7">
        <v>45591</v>
      </c>
      <c r="B559">
        <v>10</v>
      </c>
      <c r="C559" t="s">
        <v>250</v>
      </c>
      <c r="D559" t="s">
        <v>26</v>
      </c>
      <c r="E559">
        <v>11</v>
      </c>
      <c r="F559">
        <v>2</v>
      </c>
      <c r="G559">
        <v>2</v>
      </c>
      <c r="H559" t="s">
        <v>27</v>
      </c>
      <c r="I559">
        <v>1</v>
      </c>
      <c r="J559" s="10">
        <v>0.29166666666666669</v>
      </c>
      <c r="K559" s="10">
        <v>0.36527777777777781</v>
      </c>
      <c r="L559" s="10">
        <f t="shared" si="20"/>
        <v>7.3611111111111127E-2</v>
      </c>
      <c r="M559" s="12">
        <f t="shared" si="24"/>
        <v>1.7666666666666671</v>
      </c>
      <c r="N559" s="12">
        <f>Table35[[#This Row],[Trip Hours]]*Table35[[#This Row],['#Angler]]</f>
        <v>1.7666666666666671</v>
      </c>
      <c r="O559" t="s">
        <v>28</v>
      </c>
      <c r="P559" t="s">
        <v>217</v>
      </c>
      <c r="Q559" t="s">
        <v>224</v>
      </c>
      <c r="R559" s="11">
        <v>0</v>
      </c>
      <c r="S559">
        <v>0</v>
      </c>
      <c r="T559">
        <v>2</v>
      </c>
      <c r="U559" s="11">
        <v>0</v>
      </c>
      <c r="V559">
        <v>0</v>
      </c>
      <c r="W559">
        <v>2</v>
      </c>
      <c r="X559" s="11">
        <f t="shared" si="25"/>
        <v>0</v>
      </c>
      <c r="Y559">
        <f t="shared" si="25"/>
        <v>0</v>
      </c>
      <c r="Z559">
        <f t="shared" si="25"/>
        <v>4</v>
      </c>
      <c r="AA559" s="11"/>
    </row>
    <row r="560" spans="1:27" x14ac:dyDescent="0.3">
      <c r="A560" s="7">
        <v>45591</v>
      </c>
      <c r="B560">
        <v>10</v>
      </c>
      <c r="C560" t="s">
        <v>250</v>
      </c>
      <c r="D560" t="s">
        <v>26</v>
      </c>
      <c r="E560">
        <v>12</v>
      </c>
      <c r="F560">
        <v>2</v>
      </c>
      <c r="G560">
        <v>2</v>
      </c>
      <c r="H560" t="s">
        <v>27</v>
      </c>
      <c r="I560">
        <v>2</v>
      </c>
      <c r="J560" s="10">
        <v>0.3125</v>
      </c>
      <c r="K560" s="10">
        <v>0.3659722222222222</v>
      </c>
      <c r="L560" s="10">
        <f t="shared" si="20"/>
        <v>5.3472222222222199E-2</v>
      </c>
      <c r="M560" s="12">
        <f t="shared" si="24"/>
        <v>1.2833333333333328</v>
      </c>
      <c r="N560" s="12">
        <f>Table35[[#This Row],[Trip Hours]]*Table35[[#This Row],['#Angler]]</f>
        <v>2.5666666666666655</v>
      </c>
      <c r="O560" t="s">
        <v>28</v>
      </c>
      <c r="P560" t="s">
        <v>217</v>
      </c>
      <c r="Q560" t="s">
        <v>224</v>
      </c>
      <c r="R560" s="11">
        <v>0</v>
      </c>
      <c r="S560">
        <v>0</v>
      </c>
      <c r="T560">
        <v>2</v>
      </c>
      <c r="U560" s="11">
        <v>0</v>
      </c>
      <c r="V560">
        <v>0</v>
      </c>
      <c r="W560">
        <v>0</v>
      </c>
      <c r="X560" s="11">
        <f t="shared" si="25"/>
        <v>0</v>
      </c>
      <c r="Y560">
        <f t="shared" si="25"/>
        <v>0</v>
      </c>
      <c r="Z560">
        <f t="shared" si="25"/>
        <v>2</v>
      </c>
      <c r="AA560" s="11"/>
    </row>
    <row r="561" spans="1:27" x14ac:dyDescent="0.3">
      <c r="A561" s="7">
        <v>45591</v>
      </c>
      <c r="B561">
        <v>10</v>
      </c>
      <c r="C561" t="s">
        <v>250</v>
      </c>
      <c r="D561" t="s">
        <v>26</v>
      </c>
      <c r="E561">
        <v>13</v>
      </c>
      <c r="F561">
        <v>2</v>
      </c>
      <c r="G561">
        <v>2</v>
      </c>
      <c r="H561" t="s">
        <v>27</v>
      </c>
      <c r="I561">
        <v>2</v>
      </c>
      <c r="J561" s="10">
        <v>0.3125</v>
      </c>
      <c r="K561" s="10">
        <v>0.3666666666666667</v>
      </c>
      <c r="L561" s="10">
        <f t="shared" si="20"/>
        <v>5.4166666666666696E-2</v>
      </c>
      <c r="M561" s="12">
        <f t="shared" si="24"/>
        <v>1.3000000000000007</v>
      </c>
      <c r="N561" s="12">
        <f>Table35[[#This Row],[Trip Hours]]*Table35[[#This Row],['#Angler]]</f>
        <v>2.6000000000000014</v>
      </c>
      <c r="O561" t="s">
        <v>28</v>
      </c>
      <c r="P561" t="s">
        <v>335</v>
      </c>
      <c r="Q561" t="s">
        <v>224</v>
      </c>
      <c r="R561" s="11">
        <v>0</v>
      </c>
      <c r="S561">
        <v>0</v>
      </c>
      <c r="T561">
        <v>0</v>
      </c>
      <c r="U561" s="11">
        <v>0</v>
      </c>
      <c r="V561">
        <v>0</v>
      </c>
      <c r="W561">
        <v>0</v>
      </c>
      <c r="X561" s="11">
        <f t="shared" si="25"/>
        <v>0</v>
      </c>
      <c r="Y561">
        <f t="shared" si="25"/>
        <v>0</v>
      </c>
      <c r="Z561">
        <f t="shared" si="25"/>
        <v>0</v>
      </c>
      <c r="AA561" s="11"/>
    </row>
    <row r="562" spans="1:27" x14ac:dyDescent="0.3">
      <c r="A562" s="7">
        <v>45591</v>
      </c>
      <c r="B562">
        <v>10</v>
      </c>
      <c r="C562" t="s">
        <v>250</v>
      </c>
      <c r="D562" t="s">
        <v>26</v>
      </c>
      <c r="E562">
        <v>14</v>
      </c>
      <c r="F562">
        <v>2</v>
      </c>
      <c r="G562">
        <v>2</v>
      </c>
      <c r="H562" t="s">
        <v>27</v>
      </c>
      <c r="I562">
        <v>2</v>
      </c>
      <c r="J562" s="10">
        <v>0.3125</v>
      </c>
      <c r="K562" s="10">
        <v>0.36736111111111108</v>
      </c>
      <c r="L562" s="10">
        <f t="shared" si="20"/>
        <v>5.4861111111111083E-2</v>
      </c>
      <c r="M562" s="12">
        <f t="shared" si="24"/>
        <v>1.316666666666666</v>
      </c>
      <c r="N562" s="12">
        <f>Table35[[#This Row],[Trip Hours]]*Table35[[#This Row],['#Angler]]</f>
        <v>2.633333333333332</v>
      </c>
      <c r="O562" t="s">
        <v>28</v>
      </c>
      <c r="P562" t="s">
        <v>29</v>
      </c>
      <c r="Q562" t="s">
        <v>238</v>
      </c>
      <c r="R562" s="11">
        <v>0</v>
      </c>
      <c r="S562">
        <v>1</v>
      </c>
      <c r="T562">
        <v>1</v>
      </c>
      <c r="U562" s="11">
        <v>0</v>
      </c>
      <c r="V562">
        <v>0</v>
      </c>
      <c r="W562">
        <v>0</v>
      </c>
      <c r="X562" s="11">
        <f t="shared" si="25"/>
        <v>0</v>
      </c>
      <c r="Y562">
        <f t="shared" si="25"/>
        <v>1</v>
      </c>
      <c r="Z562">
        <f t="shared" si="25"/>
        <v>1</v>
      </c>
      <c r="AA562" s="11"/>
    </row>
    <row r="563" spans="1:27" x14ac:dyDescent="0.3">
      <c r="A563" s="7">
        <v>45591</v>
      </c>
      <c r="B563">
        <v>10</v>
      </c>
      <c r="C563" t="s">
        <v>250</v>
      </c>
      <c r="D563" t="s">
        <v>26</v>
      </c>
      <c r="E563">
        <v>15</v>
      </c>
      <c r="F563">
        <v>2</v>
      </c>
      <c r="G563">
        <v>2</v>
      </c>
      <c r="H563" t="s">
        <v>27</v>
      </c>
      <c r="I563">
        <v>1</v>
      </c>
      <c r="J563" s="10">
        <v>0.31944444444444448</v>
      </c>
      <c r="K563" s="10">
        <v>0.36805555555555558</v>
      </c>
      <c r="L563" s="10">
        <f t="shared" si="20"/>
        <v>4.8611111111111105E-2</v>
      </c>
      <c r="M563" s="12">
        <f t="shared" si="24"/>
        <v>1.1666666666666665</v>
      </c>
      <c r="N563" s="12">
        <f>Table35[[#This Row],[Trip Hours]]*Table35[[#This Row],['#Angler]]</f>
        <v>1.1666666666666665</v>
      </c>
      <c r="O563" t="s">
        <v>28</v>
      </c>
      <c r="P563" t="s">
        <v>29</v>
      </c>
      <c r="Q563" t="s">
        <v>224</v>
      </c>
      <c r="R563" s="11">
        <v>0</v>
      </c>
      <c r="S563">
        <v>0</v>
      </c>
      <c r="T563">
        <v>0</v>
      </c>
      <c r="U563" s="11">
        <v>0</v>
      </c>
      <c r="V563">
        <v>0</v>
      </c>
      <c r="W563">
        <v>0</v>
      </c>
      <c r="X563" s="11">
        <f t="shared" si="25"/>
        <v>0</v>
      </c>
      <c r="Y563">
        <f t="shared" si="25"/>
        <v>0</v>
      </c>
      <c r="Z563">
        <f t="shared" si="25"/>
        <v>0</v>
      </c>
      <c r="AA563" s="11"/>
    </row>
    <row r="564" spans="1:27" x14ac:dyDescent="0.3">
      <c r="A564" s="7">
        <v>45591</v>
      </c>
      <c r="B564">
        <v>10</v>
      </c>
      <c r="C564" t="s">
        <v>250</v>
      </c>
      <c r="D564" t="s">
        <v>26</v>
      </c>
      <c r="E564">
        <v>16</v>
      </c>
      <c r="F564">
        <v>2</v>
      </c>
      <c r="G564">
        <v>2</v>
      </c>
      <c r="H564" t="s">
        <v>27</v>
      </c>
      <c r="I564">
        <v>3</v>
      </c>
      <c r="J564" s="10">
        <v>0.3125</v>
      </c>
      <c r="K564" s="10">
        <v>0.36944444444444446</v>
      </c>
      <c r="L564" s="10">
        <f t="shared" si="20"/>
        <v>5.6944444444444464E-2</v>
      </c>
      <c r="M564" s="12">
        <f t="shared" si="24"/>
        <v>1.3666666666666671</v>
      </c>
      <c r="N564" s="12">
        <f>Table35[[#This Row],[Trip Hours]]*Table35[[#This Row],['#Angler]]</f>
        <v>4.1000000000000014</v>
      </c>
      <c r="O564" t="s">
        <v>25</v>
      </c>
      <c r="P564" t="s">
        <v>217</v>
      </c>
      <c r="Q564" t="s">
        <v>224</v>
      </c>
      <c r="R564" s="11">
        <v>0</v>
      </c>
      <c r="S564">
        <v>0</v>
      </c>
      <c r="T564">
        <v>0</v>
      </c>
      <c r="U564" s="11">
        <v>0</v>
      </c>
      <c r="V564">
        <v>0</v>
      </c>
      <c r="W564">
        <v>0</v>
      </c>
      <c r="X564" s="11">
        <f t="shared" si="25"/>
        <v>0</v>
      </c>
      <c r="Y564">
        <f t="shared" si="25"/>
        <v>0</v>
      </c>
      <c r="Z564">
        <f t="shared" si="25"/>
        <v>0</v>
      </c>
      <c r="AA564" s="11"/>
    </row>
    <row r="565" spans="1:27" x14ac:dyDescent="0.3">
      <c r="A565" s="7">
        <v>45591</v>
      </c>
      <c r="B565">
        <v>10</v>
      </c>
      <c r="C565" t="s">
        <v>250</v>
      </c>
      <c r="D565" t="s">
        <v>26</v>
      </c>
      <c r="E565">
        <v>17</v>
      </c>
      <c r="F565">
        <v>2</v>
      </c>
      <c r="G565">
        <v>2</v>
      </c>
      <c r="H565" t="s">
        <v>27</v>
      </c>
      <c r="I565">
        <v>1</v>
      </c>
      <c r="J565" s="10">
        <v>0.27083333333333331</v>
      </c>
      <c r="K565" s="10">
        <v>0.37777777777777777</v>
      </c>
      <c r="L565" s="10">
        <f t="shared" si="20"/>
        <v>0.10694444444444445</v>
      </c>
      <c r="M565" s="12">
        <f t="shared" si="24"/>
        <v>2.5666666666666669</v>
      </c>
      <c r="N565" s="12">
        <f>Table35[[#This Row],[Trip Hours]]*Table35[[#This Row],['#Angler]]</f>
        <v>2.5666666666666669</v>
      </c>
      <c r="O565" t="s">
        <v>28</v>
      </c>
      <c r="P565" t="s">
        <v>337</v>
      </c>
      <c r="Q565" t="s">
        <v>224</v>
      </c>
      <c r="R565" s="11">
        <v>0</v>
      </c>
      <c r="S565">
        <v>0</v>
      </c>
      <c r="T565">
        <v>3</v>
      </c>
      <c r="U565" s="11">
        <v>0</v>
      </c>
      <c r="V565">
        <v>0</v>
      </c>
      <c r="W565">
        <v>0</v>
      </c>
      <c r="X565" s="11">
        <f t="shared" si="25"/>
        <v>0</v>
      </c>
      <c r="Y565">
        <f t="shared" si="25"/>
        <v>0</v>
      </c>
      <c r="Z565">
        <f t="shared" si="25"/>
        <v>3</v>
      </c>
      <c r="AA565" s="11"/>
    </row>
    <row r="566" spans="1:27" x14ac:dyDescent="0.3">
      <c r="A566" s="7">
        <v>45591</v>
      </c>
      <c r="B566">
        <v>10</v>
      </c>
      <c r="C566" t="s">
        <v>250</v>
      </c>
      <c r="D566" t="s">
        <v>26</v>
      </c>
      <c r="E566">
        <v>18</v>
      </c>
      <c r="F566">
        <v>2</v>
      </c>
      <c r="G566">
        <v>2</v>
      </c>
      <c r="H566" t="s">
        <v>27</v>
      </c>
      <c r="I566">
        <v>1</v>
      </c>
      <c r="J566" s="10">
        <v>0.35416666666666669</v>
      </c>
      <c r="K566" s="10">
        <v>0.39513888888888887</v>
      </c>
      <c r="L566" s="10">
        <f t="shared" si="20"/>
        <v>4.0972222222222188E-2</v>
      </c>
      <c r="M566" s="12">
        <f t="shared" si="24"/>
        <v>0.9833333333333325</v>
      </c>
      <c r="N566" s="12">
        <f>Table35[[#This Row],[Trip Hours]]*Table35[[#This Row],['#Angler]]</f>
        <v>0.9833333333333325</v>
      </c>
      <c r="O566" t="s">
        <v>28</v>
      </c>
      <c r="P566" t="s">
        <v>217</v>
      </c>
      <c r="Q566" t="s">
        <v>311</v>
      </c>
      <c r="R566" s="11">
        <v>0</v>
      </c>
      <c r="S566">
        <v>0</v>
      </c>
      <c r="T566">
        <v>0</v>
      </c>
      <c r="U566" s="11">
        <v>0</v>
      </c>
      <c r="V566">
        <v>0</v>
      </c>
      <c r="W566">
        <v>0</v>
      </c>
      <c r="X566" s="11">
        <f t="shared" si="25"/>
        <v>0</v>
      </c>
      <c r="Y566">
        <f t="shared" si="25"/>
        <v>0</v>
      </c>
      <c r="Z566">
        <f t="shared" si="25"/>
        <v>0</v>
      </c>
      <c r="AA566" s="11"/>
    </row>
    <row r="567" spans="1:27" x14ac:dyDescent="0.3">
      <c r="A567" s="7">
        <v>45591</v>
      </c>
      <c r="B567">
        <v>10</v>
      </c>
      <c r="C567" t="s">
        <v>250</v>
      </c>
      <c r="D567" t="s">
        <v>26</v>
      </c>
      <c r="E567">
        <v>19</v>
      </c>
      <c r="F567">
        <v>2</v>
      </c>
      <c r="G567">
        <v>2</v>
      </c>
      <c r="H567" t="s">
        <v>27</v>
      </c>
      <c r="I567">
        <v>1</v>
      </c>
      <c r="J567" s="10">
        <v>0.36805555555555558</v>
      </c>
      <c r="K567" s="10">
        <v>0.39583333333333331</v>
      </c>
      <c r="L567" s="10">
        <f t="shared" si="20"/>
        <v>2.7777777777777735E-2</v>
      </c>
      <c r="M567" s="12">
        <f t="shared" si="24"/>
        <v>0.66666666666666563</v>
      </c>
      <c r="N567" s="12">
        <f>Table35[[#This Row],[Trip Hours]]*Table35[[#This Row],['#Angler]]</f>
        <v>0.66666666666666563</v>
      </c>
      <c r="O567" t="s">
        <v>28</v>
      </c>
      <c r="P567" t="s">
        <v>29</v>
      </c>
      <c r="Q567" t="s">
        <v>241</v>
      </c>
      <c r="R567" s="11">
        <v>0</v>
      </c>
      <c r="S567">
        <v>0</v>
      </c>
      <c r="T567">
        <v>0</v>
      </c>
      <c r="U567" s="11">
        <v>0</v>
      </c>
      <c r="V567">
        <v>0</v>
      </c>
      <c r="W567">
        <v>0</v>
      </c>
      <c r="X567" s="11">
        <f t="shared" si="25"/>
        <v>0</v>
      </c>
      <c r="Y567">
        <f t="shared" si="25"/>
        <v>0</v>
      </c>
      <c r="Z567">
        <f t="shared" si="25"/>
        <v>0</v>
      </c>
      <c r="AA567" s="11"/>
    </row>
    <row r="568" spans="1:27" x14ac:dyDescent="0.3">
      <c r="A568" s="7">
        <v>45591</v>
      </c>
      <c r="B568">
        <v>10</v>
      </c>
      <c r="C568" t="s">
        <v>250</v>
      </c>
      <c r="D568" t="s">
        <v>26</v>
      </c>
      <c r="E568">
        <v>20</v>
      </c>
      <c r="F568">
        <v>2</v>
      </c>
      <c r="G568">
        <v>2</v>
      </c>
      <c r="H568" t="s">
        <v>27</v>
      </c>
      <c r="I568">
        <v>1</v>
      </c>
      <c r="J568" s="10">
        <v>0.33333333333333331</v>
      </c>
      <c r="K568" s="10">
        <v>0.39583333333333331</v>
      </c>
      <c r="L568" s="10">
        <f t="shared" si="20"/>
        <v>6.25E-2</v>
      </c>
      <c r="M568" s="12">
        <f t="shared" si="24"/>
        <v>1.5</v>
      </c>
      <c r="N568" s="12">
        <f>Table35[[#This Row],[Trip Hours]]*Table35[[#This Row],['#Angler]]</f>
        <v>1.5</v>
      </c>
      <c r="O568" t="s">
        <v>28</v>
      </c>
      <c r="P568" t="s">
        <v>186</v>
      </c>
      <c r="Q568" t="s">
        <v>224</v>
      </c>
      <c r="R568" s="11">
        <v>0</v>
      </c>
      <c r="S568">
        <v>0</v>
      </c>
      <c r="T568">
        <v>1</v>
      </c>
      <c r="U568" s="11">
        <v>0</v>
      </c>
      <c r="V568">
        <v>0</v>
      </c>
      <c r="W568">
        <v>0</v>
      </c>
      <c r="X568" s="11">
        <f t="shared" si="25"/>
        <v>0</v>
      </c>
      <c r="Y568">
        <f t="shared" si="25"/>
        <v>0</v>
      </c>
      <c r="Z568">
        <f t="shared" si="25"/>
        <v>1</v>
      </c>
      <c r="AA568" s="11"/>
    </row>
    <row r="569" spans="1:27" x14ac:dyDescent="0.3">
      <c r="A569" s="7">
        <v>45591</v>
      </c>
      <c r="B569">
        <v>10</v>
      </c>
      <c r="C569" t="s">
        <v>250</v>
      </c>
      <c r="D569" t="s">
        <v>26</v>
      </c>
      <c r="E569">
        <v>21</v>
      </c>
      <c r="F569">
        <v>2</v>
      </c>
      <c r="G569">
        <v>2</v>
      </c>
      <c r="H569" t="s">
        <v>27</v>
      </c>
      <c r="I569">
        <v>1</v>
      </c>
      <c r="J569" s="10">
        <v>0.33333333333333331</v>
      </c>
      <c r="K569" s="10">
        <v>0.3979166666666667</v>
      </c>
      <c r="L569" s="10">
        <f t="shared" si="20"/>
        <v>6.4583333333333381E-2</v>
      </c>
      <c r="M569" s="12">
        <f t="shared" si="24"/>
        <v>1.5500000000000012</v>
      </c>
      <c r="N569" s="12">
        <f>Table35[[#This Row],[Trip Hours]]*Table35[[#This Row],['#Angler]]</f>
        <v>1.5500000000000012</v>
      </c>
      <c r="O569" t="s">
        <v>28</v>
      </c>
      <c r="P569" t="s">
        <v>217</v>
      </c>
      <c r="Q569" t="s">
        <v>224</v>
      </c>
      <c r="R569" s="11">
        <v>0</v>
      </c>
      <c r="S569">
        <v>0</v>
      </c>
      <c r="T569">
        <v>0</v>
      </c>
      <c r="U569" s="11">
        <v>0</v>
      </c>
      <c r="V569">
        <v>0</v>
      </c>
      <c r="W569">
        <v>0</v>
      </c>
      <c r="X569" s="11">
        <f t="shared" si="25"/>
        <v>0</v>
      </c>
      <c r="Y569">
        <f t="shared" si="25"/>
        <v>0</v>
      </c>
      <c r="Z569">
        <f t="shared" si="25"/>
        <v>0</v>
      </c>
      <c r="AA569" s="11"/>
    </row>
    <row r="570" spans="1:27" x14ac:dyDescent="0.3">
      <c r="A570" s="7">
        <v>45591</v>
      </c>
      <c r="B570">
        <v>10</v>
      </c>
      <c r="C570" t="s">
        <v>250</v>
      </c>
      <c r="D570" t="s">
        <v>26</v>
      </c>
      <c r="E570">
        <v>22</v>
      </c>
      <c r="F570">
        <v>2</v>
      </c>
      <c r="G570">
        <v>2</v>
      </c>
      <c r="H570" t="s">
        <v>27</v>
      </c>
      <c r="I570">
        <v>6</v>
      </c>
      <c r="J570" s="10">
        <v>0.33333333333333331</v>
      </c>
      <c r="K570" s="10">
        <v>0.39861111111111108</v>
      </c>
      <c r="L570" s="10">
        <f t="shared" si="20"/>
        <v>6.5277777777777768E-2</v>
      </c>
      <c r="M570" s="12">
        <f t="shared" si="24"/>
        <v>1.5666666666666664</v>
      </c>
      <c r="N570" s="12">
        <f>Table35[[#This Row],[Trip Hours]]*Table35[[#This Row],['#Angler]]</f>
        <v>9.3999999999999986</v>
      </c>
      <c r="O570" t="s">
        <v>28</v>
      </c>
      <c r="P570" t="s">
        <v>186</v>
      </c>
      <c r="Q570" t="s">
        <v>224</v>
      </c>
      <c r="R570" s="11">
        <v>0</v>
      </c>
      <c r="S570">
        <v>0</v>
      </c>
      <c r="T570">
        <v>0</v>
      </c>
      <c r="U570" s="11">
        <v>0</v>
      </c>
      <c r="V570">
        <v>0</v>
      </c>
      <c r="W570">
        <v>0</v>
      </c>
      <c r="X570" s="11">
        <f t="shared" si="25"/>
        <v>0</v>
      </c>
      <c r="Y570">
        <f t="shared" si="25"/>
        <v>0</v>
      </c>
      <c r="Z570">
        <f t="shared" si="25"/>
        <v>0</v>
      </c>
      <c r="AA570" s="11"/>
    </row>
    <row r="571" spans="1:27" x14ac:dyDescent="0.3">
      <c r="A571" s="7">
        <v>45591</v>
      </c>
      <c r="B571">
        <v>10</v>
      </c>
      <c r="C571" t="s">
        <v>250</v>
      </c>
      <c r="D571" t="s">
        <v>26</v>
      </c>
      <c r="E571">
        <v>23</v>
      </c>
      <c r="F571">
        <v>2</v>
      </c>
      <c r="G571">
        <v>2</v>
      </c>
      <c r="H571" t="s">
        <v>27</v>
      </c>
      <c r="I571">
        <v>2</v>
      </c>
      <c r="J571" s="10">
        <v>0.36805555555555558</v>
      </c>
      <c r="K571" s="10">
        <v>0.41041666666666665</v>
      </c>
      <c r="L571" s="10">
        <f t="shared" si="20"/>
        <v>4.2361111111111072E-2</v>
      </c>
      <c r="M571" s="12">
        <f t="shared" si="24"/>
        <v>1.0166666666666657</v>
      </c>
      <c r="N571" s="12">
        <f>Table35[[#This Row],[Trip Hours]]*Table35[[#This Row],['#Angler]]</f>
        <v>2.0333333333333314</v>
      </c>
      <c r="O571" t="s">
        <v>28</v>
      </c>
      <c r="P571" t="s">
        <v>217</v>
      </c>
      <c r="Q571" t="s">
        <v>224</v>
      </c>
      <c r="R571" s="11">
        <v>0</v>
      </c>
      <c r="S571">
        <v>0</v>
      </c>
      <c r="T571">
        <v>0</v>
      </c>
      <c r="U571" s="11">
        <v>0</v>
      </c>
      <c r="V571">
        <v>0</v>
      </c>
      <c r="W571">
        <v>0</v>
      </c>
      <c r="X571" s="11">
        <f t="shared" si="25"/>
        <v>0</v>
      </c>
      <c r="Y571">
        <f t="shared" si="25"/>
        <v>0</v>
      </c>
      <c r="Z571">
        <f t="shared" si="25"/>
        <v>0</v>
      </c>
      <c r="AA571" s="11"/>
    </row>
    <row r="572" spans="1:27" x14ac:dyDescent="0.3">
      <c r="A572" s="7">
        <v>45591</v>
      </c>
      <c r="B572">
        <v>10</v>
      </c>
      <c r="C572" t="s">
        <v>250</v>
      </c>
      <c r="D572" t="s">
        <v>26</v>
      </c>
      <c r="E572">
        <v>24</v>
      </c>
      <c r="F572">
        <v>2</v>
      </c>
      <c r="G572">
        <v>2</v>
      </c>
      <c r="H572" t="s">
        <v>27</v>
      </c>
      <c r="I572">
        <v>1</v>
      </c>
      <c r="J572" s="10">
        <v>0.33333333333333331</v>
      </c>
      <c r="K572" s="10">
        <v>0.41180555555555554</v>
      </c>
      <c r="L572" s="10">
        <f t="shared" si="20"/>
        <v>7.8472222222222221E-2</v>
      </c>
      <c r="M572" s="12">
        <f t="shared" si="24"/>
        <v>1.8833333333333333</v>
      </c>
      <c r="N572" s="12">
        <f>Table35[[#This Row],[Trip Hours]]*Table35[[#This Row],['#Angler]]</f>
        <v>1.8833333333333333</v>
      </c>
      <c r="O572" t="s">
        <v>28</v>
      </c>
      <c r="P572" t="s">
        <v>217</v>
      </c>
      <c r="Q572" t="s">
        <v>238</v>
      </c>
      <c r="R572" s="11">
        <v>0</v>
      </c>
      <c r="S572">
        <v>0</v>
      </c>
      <c r="T572">
        <v>0</v>
      </c>
      <c r="U572" s="11">
        <v>0</v>
      </c>
      <c r="V572">
        <v>0</v>
      </c>
      <c r="W572">
        <v>0</v>
      </c>
      <c r="X572" s="11">
        <f t="shared" si="25"/>
        <v>0</v>
      </c>
      <c r="Y572">
        <f t="shared" si="25"/>
        <v>0</v>
      </c>
      <c r="Z572">
        <f t="shared" si="25"/>
        <v>0</v>
      </c>
      <c r="AA572" s="11"/>
    </row>
    <row r="573" spans="1:27" x14ac:dyDescent="0.3">
      <c r="A573" s="7">
        <v>45591</v>
      </c>
      <c r="B573">
        <v>10</v>
      </c>
      <c r="C573" t="s">
        <v>250</v>
      </c>
      <c r="D573" t="s">
        <v>26</v>
      </c>
      <c r="E573">
        <v>25</v>
      </c>
      <c r="F573">
        <v>2</v>
      </c>
      <c r="G573">
        <v>2</v>
      </c>
      <c r="H573" t="s">
        <v>27</v>
      </c>
      <c r="I573">
        <v>1</v>
      </c>
      <c r="J573" s="10">
        <v>0.3125</v>
      </c>
      <c r="K573" s="10">
        <v>0.41250000000000003</v>
      </c>
      <c r="L573" s="10">
        <f t="shared" si="20"/>
        <v>0.10000000000000003</v>
      </c>
      <c r="M573" s="12">
        <f t="shared" si="24"/>
        <v>2.4000000000000008</v>
      </c>
      <c r="N573" s="12">
        <f>Table35[[#This Row],[Trip Hours]]*Table35[[#This Row],['#Angler]]</f>
        <v>2.4000000000000008</v>
      </c>
      <c r="O573" t="s">
        <v>28</v>
      </c>
      <c r="P573" t="s">
        <v>29</v>
      </c>
      <c r="Q573" t="s">
        <v>224</v>
      </c>
      <c r="R573" s="11">
        <v>0</v>
      </c>
      <c r="S573">
        <v>0</v>
      </c>
      <c r="T573">
        <v>2</v>
      </c>
      <c r="U573" s="11">
        <v>0</v>
      </c>
      <c r="V573">
        <v>0</v>
      </c>
      <c r="W573">
        <v>0</v>
      </c>
      <c r="X573" s="11">
        <f t="shared" si="25"/>
        <v>0</v>
      </c>
      <c r="Y573">
        <f t="shared" si="25"/>
        <v>0</v>
      </c>
      <c r="Z573">
        <f t="shared" si="25"/>
        <v>2</v>
      </c>
      <c r="AA573" s="11"/>
    </row>
    <row r="574" spans="1:27" x14ac:dyDescent="0.3">
      <c r="A574" s="7">
        <v>45591</v>
      </c>
      <c r="B574">
        <v>10</v>
      </c>
      <c r="C574" t="s">
        <v>250</v>
      </c>
      <c r="D574" t="s">
        <v>26</v>
      </c>
      <c r="E574">
        <v>26</v>
      </c>
      <c r="F574">
        <v>2</v>
      </c>
      <c r="G574">
        <v>2</v>
      </c>
      <c r="H574" t="s">
        <v>27</v>
      </c>
      <c r="I574">
        <v>1</v>
      </c>
      <c r="J574" s="10">
        <v>0.33333333333333331</v>
      </c>
      <c r="K574" s="10">
        <v>0.4145833333333333</v>
      </c>
      <c r="L574" s="10">
        <f t="shared" si="20"/>
        <v>8.1249999999999989E-2</v>
      </c>
      <c r="M574" s="12">
        <f t="shared" si="24"/>
        <v>1.9499999999999997</v>
      </c>
      <c r="N574" s="12">
        <f>Table35[[#This Row],[Trip Hours]]*Table35[[#This Row],['#Angler]]</f>
        <v>1.9499999999999997</v>
      </c>
      <c r="O574" t="s">
        <v>28</v>
      </c>
      <c r="P574" t="s">
        <v>217</v>
      </c>
      <c r="Q574" t="s">
        <v>224</v>
      </c>
      <c r="R574" s="11">
        <v>0</v>
      </c>
      <c r="S574">
        <v>0</v>
      </c>
      <c r="T574">
        <v>2</v>
      </c>
      <c r="U574" s="11">
        <v>0</v>
      </c>
      <c r="V574">
        <v>0</v>
      </c>
      <c r="W574">
        <v>0</v>
      </c>
      <c r="X574" s="11">
        <f t="shared" si="25"/>
        <v>0</v>
      </c>
      <c r="Y574">
        <f t="shared" si="25"/>
        <v>0</v>
      </c>
      <c r="Z574">
        <f t="shared" si="25"/>
        <v>2</v>
      </c>
      <c r="AA574" s="11"/>
    </row>
    <row r="575" spans="1:27" x14ac:dyDescent="0.3">
      <c r="A575" s="7">
        <v>45591</v>
      </c>
      <c r="B575">
        <v>10</v>
      </c>
      <c r="C575" t="s">
        <v>250</v>
      </c>
      <c r="D575" t="s">
        <v>26</v>
      </c>
      <c r="E575">
        <v>27</v>
      </c>
      <c r="F575">
        <v>2</v>
      </c>
      <c r="G575">
        <v>2</v>
      </c>
      <c r="H575" t="s">
        <v>27</v>
      </c>
      <c r="I575">
        <v>1</v>
      </c>
      <c r="J575" s="10">
        <v>0.375</v>
      </c>
      <c r="K575" s="10">
        <v>0.4152777777777778</v>
      </c>
      <c r="L575" s="10">
        <f t="shared" si="20"/>
        <v>4.0277777777777801E-2</v>
      </c>
      <c r="M575" s="12">
        <f t="shared" si="24"/>
        <v>0.96666666666666723</v>
      </c>
      <c r="N575" s="12">
        <f>Table35[[#This Row],[Trip Hours]]*Table35[[#This Row],['#Angler]]</f>
        <v>0.96666666666666723</v>
      </c>
      <c r="O575" t="s">
        <v>28</v>
      </c>
      <c r="P575" t="s">
        <v>217</v>
      </c>
      <c r="Q575" t="s">
        <v>224</v>
      </c>
      <c r="R575" s="11">
        <v>0</v>
      </c>
      <c r="S575">
        <v>0</v>
      </c>
      <c r="T575">
        <v>1</v>
      </c>
      <c r="U575" s="11">
        <v>0</v>
      </c>
      <c r="V575">
        <v>0</v>
      </c>
      <c r="W575">
        <v>0</v>
      </c>
      <c r="X575" s="11">
        <f t="shared" si="25"/>
        <v>0</v>
      </c>
      <c r="Y575">
        <f t="shared" si="25"/>
        <v>0</v>
      </c>
      <c r="Z575">
        <f t="shared" si="25"/>
        <v>1</v>
      </c>
      <c r="AA575" s="11"/>
    </row>
    <row r="576" spans="1:27" x14ac:dyDescent="0.3">
      <c r="A576" s="7">
        <v>45591</v>
      </c>
      <c r="B576">
        <v>10</v>
      </c>
      <c r="C576" t="s">
        <v>250</v>
      </c>
      <c r="D576" t="s">
        <v>26</v>
      </c>
      <c r="E576">
        <v>28</v>
      </c>
      <c r="F576">
        <v>2</v>
      </c>
      <c r="G576">
        <v>2</v>
      </c>
      <c r="H576" t="s">
        <v>27</v>
      </c>
      <c r="I576">
        <v>1</v>
      </c>
      <c r="J576" s="10">
        <v>0.35416666666666669</v>
      </c>
      <c r="K576" s="10">
        <v>0.41597222222222219</v>
      </c>
      <c r="L576" s="10">
        <f t="shared" si="20"/>
        <v>6.1805555555555503E-2</v>
      </c>
      <c r="M576" s="12">
        <f t="shared" si="24"/>
        <v>1.4833333333333321</v>
      </c>
      <c r="N576" s="12">
        <f>Table35[[#This Row],[Trip Hours]]*Table35[[#This Row],['#Angler]]</f>
        <v>1.4833333333333321</v>
      </c>
      <c r="O576" t="s">
        <v>28</v>
      </c>
      <c r="P576" t="s">
        <v>29</v>
      </c>
      <c r="Q576" t="s">
        <v>224</v>
      </c>
      <c r="R576" s="11">
        <v>0</v>
      </c>
      <c r="S576">
        <v>0</v>
      </c>
      <c r="T576">
        <v>1</v>
      </c>
      <c r="U576" s="11">
        <v>0</v>
      </c>
      <c r="V576">
        <v>0</v>
      </c>
      <c r="W576">
        <v>0</v>
      </c>
      <c r="X576" s="11">
        <f t="shared" si="25"/>
        <v>0</v>
      </c>
      <c r="Y576">
        <f t="shared" si="25"/>
        <v>0</v>
      </c>
      <c r="Z576">
        <f t="shared" si="25"/>
        <v>1</v>
      </c>
      <c r="AA576" s="11"/>
    </row>
    <row r="577" spans="1:27" x14ac:dyDescent="0.3">
      <c r="A577" s="7">
        <v>45591</v>
      </c>
      <c r="B577">
        <v>10</v>
      </c>
      <c r="C577" t="s">
        <v>250</v>
      </c>
      <c r="D577" t="s">
        <v>26</v>
      </c>
      <c r="E577">
        <v>29</v>
      </c>
      <c r="F577">
        <v>2</v>
      </c>
      <c r="G577">
        <v>3</v>
      </c>
      <c r="H577" t="s">
        <v>27</v>
      </c>
      <c r="I577">
        <v>1</v>
      </c>
      <c r="J577" s="10">
        <v>0.3125</v>
      </c>
      <c r="K577" s="10">
        <v>0.42499999999999999</v>
      </c>
      <c r="L577" s="10">
        <f t="shared" si="20"/>
        <v>0.11249999999999999</v>
      </c>
      <c r="M577" s="12">
        <f t="shared" si="24"/>
        <v>2.6999999999999997</v>
      </c>
      <c r="N577" s="12">
        <f>Table35[[#This Row],[Trip Hours]]*Table35[[#This Row],['#Angler]]</f>
        <v>2.6999999999999997</v>
      </c>
      <c r="O577" t="s">
        <v>28</v>
      </c>
      <c r="P577" t="s">
        <v>217</v>
      </c>
      <c r="Q577" t="s">
        <v>224</v>
      </c>
      <c r="R577" s="11">
        <v>0</v>
      </c>
      <c r="S577">
        <v>0</v>
      </c>
      <c r="T577">
        <v>3</v>
      </c>
      <c r="U577" s="11">
        <v>0</v>
      </c>
      <c r="V577">
        <v>0</v>
      </c>
      <c r="W577">
        <v>1</v>
      </c>
      <c r="X577" s="11">
        <f t="shared" si="25"/>
        <v>0</v>
      </c>
      <c r="Y577">
        <f t="shared" si="25"/>
        <v>0</v>
      </c>
      <c r="Z577">
        <f t="shared" si="25"/>
        <v>4</v>
      </c>
      <c r="AA577" s="11"/>
    </row>
    <row r="578" spans="1:27" x14ac:dyDescent="0.3">
      <c r="A578" s="7">
        <v>45591</v>
      </c>
      <c r="B578">
        <v>10</v>
      </c>
      <c r="C578" t="s">
        <v>250</v>
      </c>
      <c r="D578" t="s">
        <v>26</v>
      </c>
      <c r="E578">
        <v>30</v>
      </c>
      <c r="F578">
        <v>2</v>
      </c>
      <c r="G578">
        <v>3</v>
      </c>
      <c r="H578" t="s">
        <v>27</v>
      </c>
      <c r="I578">
        <v>4</v>
      </c>
      <c r="J578" s="10">
        <v>0.32291666666666669</v>
      </c>
      <c r="K578" s="10">
        <v>0.4284722222222222</v>
      </c>
      <c r="L578" s="10">
        <f t="shared" si="20"/>
        <v>0.10555555555555551</v>
      </c>
      <c r="M578" s="12">
        <f t="shared" ref="M578:M634" si="26">L578*24</f>
        <v>2.5333333333333323</v>
      </c>
      <c r="N578" s="12">
        <f>Table35[[#This Row],[Trip Hours]]*Table35[[#This Row],['#Angler]]</f>
        <v>10.133333333333329</v>
      </c>
      <c r="O578" t="s">
        <v>28</v>
      </c>
      <c r="P578" t="s">
        <v>217</v>
      </c>
      <c r="Q578" t="s">
        <v>224</v>
      </c>
      <c r="R578" s="11">
        <v>0</v>
      </c>
      <c r="S578">
        <v>0</v>
      </c>
      <c r="T578">
        <v>3</v>
      </c>
      <c r="U578" s="11">
        <v>0</v>
      </c>
      <c r="V578">
        <v>0</v>
      </c>
      <c r="W578">
        <v>0</v>
      </c>
      <c r="X578" s="11">
        <f t="shared" si="25"/>
        <v>0</v>
      </c>
      <c r="Y578">
        <f t="shared" si="25"/>
        <v>0</v>
      </c>
      <c r="Z578">
        <f t="shared" si="25"/>
        <v>3</v>
      </c>
      <c r="AA578" s="11"/>
    </row>
    <row r="579" spans="1:27" x14ac:dyDescent="0.3">
      <c r="A579" s="7">
        <v>45591</v>
      </c>
      <c r="B579">
        <v>10</v>
      </c>
      <c r="C579" t="s">
        <v>250</v>
      </c>
      <c r="D579" t="s">
        <v>26</v>
      </c>
      <c r="E579">
        <v>31</v>
      </c>
      <c r="F579">
        <v>2</v>
      </c>
      <c r="G579">
        <v>3</v>
      </c>
      <c r="H579" t="s">
        <v>27</v>
      </c>
      <c r="I579">
        <v>3</v>
      </c>
      <c r="J579" s="10">
        <v>0.43055555555555558</v>
      </c>
      <c r="K579" s="10">
        <v>0.4368055555555555</v>
      </c>
      <c r="L579" s="10">
        <f t="shared" si="20"/>
        <v>6.2499999999999223E-3</v>
      </c>
      <c r="M579" s="12">
        <f t="shared" si="26"/>
        <v>0.14999999999999813</v>
      </c>
      <c r="N579" s="12">
        <f>Table35[[#This Row],[Trip Hours]]*Table35[[#This Row],['#Angler]]</f>
        <v>0.4499999999999944</v>
      </c>
      <c r="O579" t="s">
        <v>28</v>
      </c>
      <c r="P579" t="s">
        <v>217</v>
      </c>
      <c r="Q579" t="s">
        <v>224</v>
      </c>
      <c r="R579" s="11">
        <v>0</v>
      </c>
      <c r="S579">
        <v>0</v>
      </c>
      <c r="T579">
        <v>0</v>
      </c>
      <c r="U579" s="11">
        <v>0</v>
      </c>
      <c r="V579">
        <v>0</v>
      </c>
      <c r="W579">
        <v>0</v>
      </c>
      <c r="X579" s="11">
        <f t="shared" si="25"/>
        <v>0</v>
      </c>
      <c r="Y579">
        <f t="shared" si="25"/>
        <v>0</v>
      </c>
      <c r="Z579">
        <f t="shared" si="25"/>
        <v>0</v>
      </c>
      <c r="AA579" s="11"/>
    </row>
    <row r="580" spans="1:27" x14ac:dyDescent="0.3">
      <c r="A580" s="7">
        <v>45591</v>
      </c>
      <c r="B580">
        <v>10</v>
      </c>
      <c r="C580" t="s">
        <v>250</v>
      </c>
      <c r="D580" t="s">
        <v>26</v>
      </c>
      <c r="E580">
        <v>32</v>
      </c>
      <c r="F580">
        <v>2</v>
      </c>
      <c r="G580">
        <v>3</v>
      </c>
      <c r="H580" t="s">
        <v>27</v>
      </c>
      <c r="I580">
        <v>1</v>
      </c>
      <c r="J580" s="10">
        <v>0.28125</v>
      </c>
      <c r="K580" s="10">
        <v>0.4368055555555555</v>
      </c>
      <c r="L580" s="10">
        <f t="shared" si="20"/>
        <v>0.1555555555555555</v>
      </c>
      <c r="M580" s="12">
        <f t="shared" si="26"/>
        <v>3.7333333333333321</v>
      </c>
      <c r="N580" s="12">
        <f>Table35[[#This Row],[Trip Hours]]*Table35[[#This Row],['#Angler]]</f>
        <v>3.7333333333333321</v>
      </c>
      <c r="O580" t="s">
        <v>28</v>
      </c>
      <c r="P580" t="s">
        <v>217</v>
      </c>
      <c r="Q580" t="s">
        <v>224</v>
      </c>
      <c r="R580" s="11">
        <v>0</v>
      </c>
      <c r="S580">
        <v>0</v>
      </c>
      <c r="T580">
        <v>3</v>
      </c>
      <c r="U580" s="11">
        <v>0</v>
      </c>
      <c r="V580">
        <v>0</v>
      </c>
      <c r="W580">
        <v>0</v>
      </c>
      <c r="X580" s="11">
        <f t="shared" si="25"/>
        <v>0</v>
      </c>
      <c r="Y580">
        <f t="shared" si="25"/>
        <v>0</v>
      </c>
      <c r="Z580">
        <f t="shared" si="25"/>
        <v>3</v>
      </c>
      <c r="AA580" s="11"/>
    </row>
    <row r="581" spans="1:27" x14ac:dyDescent="0.3">
      <c r="A581" s="7">
        <v>45591</v>
      </c>
      <c r="B581">
        <v>10</v>
      </c>
      <c r="C581" t="s">
        <v>250</v>
      </c>
      <c r="D581" t="s">
        <v>26</v>
      </c>
      <c r="E581">
        <v>33</v>
      </c>
      <c r="F581">
        <v>2</v>
      </c>
      <c r="G581">
        <v>4</v>
      </c>
      <c r="H581" t="s">
        <v>27</v>
      </c>
      <c r="I581">
        <v>1</v>
      </c>
      <c r="J581" s="10">
        <v>0.375</v>
      </c>
      <c r="K581" s="10">
        <v>0.44097222222222227</v>
      </c>
      <c r="L581" s="10">
        <f t="shared" si="20"/>
        <v>6.5972222222222265E-2</v>
      </c>
      <c r="M581" s="12">
        <f t="shared" si="26"/>
        <v>1.5833333333333344</v>
      </c>
      <c r="N581" s="12">
        <f>Table35[[#This Row],[Trip Hours]]*Table35[[#This Row],['#Angler]]</f>
        <v>1.5833333333333344</v>
      </c>
      <c r="O581" t="s">
        <v>28</v>
      </c>
      <c r="P581" t="s">
        <v>217</v>
      </c>
      <c r="Q581" t="s">
        <v>224</v>
      </c>
      <c r="R581" s="11">
        <v>0</v>
      </c>
      <c r="S581">
        <v>0</v>
      </c>
      <c r="T581">
        <v>0</v>
      </c>
      <c r="U581" s="11">
        <v>0</v>
      </c>
      <c r="V581">
        <v>0</v>
      </c>
      <c r="W581">
        <v>1</v>
      </c>
      <c r="X581" s="11">
        <f t="shared" si="25"/>
        <v>0</v>
      </c>
      <c r="Y581">
        <f t="shared" si="25"/>
        <v>0</v>
      </c>
      <c r="Z581">
        <f t="shared" si="25"/>
        <v>1</v>
      </c>
      <c r="AA581" s="11"/>
    </row>
    <row r="582" spans="1:27" x14ac:dyDescent="0.3">
      <c r="A582" s="7">
        <v>45591</v>
      </c>
      <c r="B582">
        <v>10</v>
      </c>
      <c r="C582" t="s">
        <v>250</v>
      </c>
      <c r="D582" t="s">
        <v>26</v>
      </c>
      <c r="E582">
        <v>34</v>
      </c>
      <c r="F582">
        <v>2</v>
      </c>
      <c r="G582">
        <v>4</v>
      </c>
      <c r="H582" t="s">
        <v>27</v>
      </c>
      <c r="I582">
        <v>2</v>
      </c>
      <c r="J582" s="10">
        <v>0.29166666666666669</v>
      </c>
      <c r="K582" s="10">
        <v>0.44305555555555554</v>
      </c>
      <c r="L582" s="10">
        <f t="shared" si="20"/>
        <v>0.15138888888888885</v>
      </c>
      <c r="M582" s="12">
        <f t="shared" si="26"/>
        <v>3.6333333333333324</v>
      </c>
      <c r="N582" s="12">
        <f>Table35[[#This Row],[Trip Hours]]*Table35[[#This Row],['#Angler]]</f>
        <v>7.2666666666666648</v>
      </c>
      <c r="O582" t="s">
        <v>28</v>
      </c>
      <c r="P582" t="s">
        <v>29</v>
      </c>
      <c r="Q582" t="s">
        <v>224</v>
      </c>
      <c r="R582" s="11">
        <v>0</v>
      </c>
      <c r="S582">
        <v>0</v>
      </c>
      <c r="T582">
        <v>2</v>
      </c>
      <c r="U582" s="11">
        <v>0</v>
      </c>
      <c r="V582">
        <v>0</v>
      </c>
      <c r="W582">
        <v>5</v>
      </c>
      <c r="X582" s="11">
        <f t="shared" si="25"/>
        <v>0</v>
      </c>
      <c r="Y582">
        <f t="shared" si="25"/>
        <v>0</v>
      </c>
      <c r="Z582">
        <f t="shared" si="25"/>
        <v>7</v>
      </c>
      <c r="AA582" s="11"/>
    </row>
    <row r="583" spans="1:27" x14ac:dyDescent="0.3">
      <c r="A583" s="7">
        <v>45591</v>
      </c>
      <c r="B583">
        <v>10</v>
      </c>
      <c r="C583" t="s">
        <v>250</v>
      </c>
      <c r="D583" t="s">
        <v>26</v>
      </c>
      <c r="E583">
        <v>35</v>
      </c>
      <c r="F583">
        <v>2</v>
      </c>
      <c r="G583">
        <v>4</v>
      </c>
      <c r="H583" t="s">
        <v>27</v>
      </c>
      <c r="I583">
        <v>1</v>
      </c>
      <c r="J583" s="10">
        <v>0.375</v>
      </c>
      <c r="K583" s="10">
        <v>0.44375000000000003</v>
      </c>
      <c r="L583" s="10">
        <f t="shared" si="20"/>
        <v>6.8750000000000033E-2</v>
      </c>
      <c r="M583" s="12">
        <f t="shared" si="26"/>
        <v>1.6500000000000008</v>
      </c>
      <c r="N583" s="12">
        <f>Table35[[#This Row],[Trip Hours]]*Table35[[#This Row],['#Angler]]</f>
        <v>1.6500000000000008</v>
      </c>
      <c r="O583" t="s">
        <v>28</v>
      </c>
      <c r="P583" t="s">
        <v>217</v>
      </c>
      <c r="Q583" t="s">
        <v>224</v>
      </c>
      <c r="R583" s="11">
        <v>0</v>
      </c>
      <c r="S583">
        <v>0</v>
      </c>
      <c r="T583">
        <v>3</v>
      </c>
      <c r="U583" s="11">
        <v>0</v>
      </c>
      <c r="V583">
        <v>0</v>
      </c>
      <c r="W583">
        <v>5</v>
      </c>
      <c r="X583" s="11">
        <f t="shared" si="25"/>
        <v>0</v>
      </c>
      <c r="Y583">
        <f t="shared" si="25"/>
        <v>0</v>
      </c>
      <c r="Z583">
        <f t="shared" si="25"/>
        <v>8</v>
      </c>
      <c r="AA583" s="11"/>
    </row>
    <row r="584" spans="1:27" x14ac:dyDescent="0.3">
      <c r="A584" s="7">
        <v>45591</v>
      </c>
      <c r="B584">
        <v>10</v>
      </c>
      <c r="C584" t="s">
        <v>250</v>
      </c>
      <c r="D584" t="s">
        <v>26</v>
      </c>
      <c r="E584">
        <v>36</v>
      </c>
      <c r="F584">
        <v>2</v>
      </c>
      <c r="G584">
        <v>4</v>
      </c>
      <c r="H584" t="s">
        <v>27</v>
      </c>
      <c r="I584">
        <v>4</v>
      </c>
      <c r="J584" s="10">
        <v>0.29166666666666669</v>
      </c>
      <c r="K584" s="10">
        <v>0.44444444444444442</v>
      </c>
      <c r="L584" s="10">
        <f t="shared" si="20"/>
        <v>0.15277777777777773</v>
      </c>
      <c r="M584" s="12">
        <f t="shared" si="26"/>
        <v>3.6666666666666656</v>
      </c>
      <c r="N584" s="12">
        <f>Table35[[#This Row],[Trip Hours]]*Table35[[#This Row],['#Angler]]</f>
        <v>14.666666666666663</v>
      </c>
      <c r="O584" t="s">
        <v>28</v>
      </c>
      <c r="P584" t="s">
        <v>186</v>
      </c>
      <c r="Q584" t="s">
        <v>238</v>
      </c>
      <c r="R584" s="11">
        <v>0</v>
      </c>
      <c r="S584">
        <v>0</v>
      </c>
      <c r="T584">
        <v>2</v>
      </c>
      <c r="U584" s="11">
        <v>0</v>
      </c>
      <c r="V584">
        <v>0</v>
      </c>
      <c r="W584">
        <v>0</v>
      </c>
      <c r="X584" s="11">
        <f t="shared" si="25"/>
        <v>0</v>
      </c>
      <c r="Y584">
        <f t="shared" si="25"/>
        <v>0</v>
      </c>
      <c r="Z584">
        <f t="shared" si="25"/>
        <v>2</v>
      </c>
      <c r="AA584" s="11"/>
    </row>
    <row r="585" spans="1:27" x14ac:dyDescent="0.3">
      <c r="A585" s="7">
        <v>45591</v>
      </c>
      <c r="B585">
        <v>10</v>
      </c>
      <c r="C585" t="s">
        <v>250</v>
      </c>
      <c r="D585" t="s">
        <v>26</v>
      </c>
      <c r="E585">
        <v>37</v>
      </c>
      <c r="F585">
        <v>2</v>
      </c>
      <c r="G585">
        <v>4</v>
      </c>
      <c r="H585" t="s">
        <v>27</v>
      </c>
      <c r="I585">
        <v>1</v>
      </c>
      <c r="J585" s="10">
        <v>0.3125</v>
      </c>
      <c r="K585" s="10">
        <v>0.45624999999999999</v>
      </c>
      <c r="L585" s="10">
        <f t="shared" si="20"/>
        <v>0.14374999999999999</v>
      </c>
      <c r="M585" s="12">
        <f t="shared" si="26"/>
        <v>3.4499999999999997</v>
      </c>
      <c r="N585" s="12">
        <f>Table35[[#This Row],[Trip Hours]]*Table35[[#This Row],['#Angler]]</f>
        <v>3.4499999999999997</v>
      </c>
      <c r="O585" t="s">
        <v>25</v>
      </c>
      <c r="P585" t="s">
        <v>217</v>
      </c>
      <c r="Q585" t="s">
        <v>224</v>
      </c>
      <c r="R585" s="11">
        <v>0</v>
      </c>
      <c r="S585">
        <v>0</v>
      </c>
      <c r="T585">
        <v>1</v>
      </c>
      <c r="U585" s="11">
        <v>0</v>
      </c>
      <c r="V585">
        <v>0</v>
      </c>
      <c r="W585">
        <v>0</v>
      </c>
      <c r="X585" s="11">
        <f t="shared" si="25"/>
        <v>0</v>
      </c>
      <c r="Y585">
        <f t="shared" si="25"/>
        <v>0</v>
      </c>
      <c r="Z585">
        <f t="shared" si="25"/>
        <v>1</v>
      </c>
      <c r="AA585" s="11"/>
    </row>
    <row r="586" spans="1:27" x14ac:dyDescent="0.3">
      <c r="A586" s="7">
        <v>45591</v>
      </c>
      <c r="B586">
        <v>10</v>
      </c>
      <c r="C586" t="s">
        <v>250</v>
      </c>
      <c r="D586" t="s">
        <v>26</v>
      </c>
      <c r="E586">
        <v>38</v>
      </c>
      <c r="F586">
        <v>2</v>
      </c>
      <c r="G586">
        <v>5</v>
      </c>
      <c r="H586" t="s">
        <v>27</v>
      </c>
      <c r="I586">
        <v>1</v>
      </c>
      <c r="J586" s="10">
        <v>0.4548611111111111</v>
      </c>
      <c r="K586" s="10">
        <v>0.47430555555555554</v>
      </c>
      <c r="L586" s="10">
        <f t="shared" si="20"/>
        <v>1.9444444444444431E-2</v>
      </c>
      <c r="M586" s="12">
        <f t="shared" si="26"/>
        <v>0.46666666666666634</v>
      </c>
      <c r="N586" s="12">
        <f>Table35[[#This Row],[Trip Hours]]*Table35[[#This Row],['#Angler]]</f>
        <v>0.46666666666666634</v>
      </c>
      <c r="O586" t="s">
        <v>28</v>
      </c>
      <c r="P586" t="s">
        <v>51</v>
      </c>
      <c r="Q586" t="s">
        <v>247</v>
      </c>
      <c r="R586" s="11">
        <v>0</v>
      </c>
      <c r="S586">
        <v>0</v>
      </c>
      <c r="T586">
        <v>0</v>
      </c>
      <c r="U586" s="11">
        <v>0</v>
      </c>
      <c r="V586">
        <v>0</v>
      </c>
      <c r="W586">
        <v>2</v>
      </c>
      <c r="X586" s="11">
        <f t="shared" si="25"/>
        <v>0</v>
      </c>
      <c r="Y586">
        <f t="shared" si="25"/>
        <v>0</v>
      </c>
      <c r="Z586">
        <f t="shared" si="25"/>
        <v>2</v>
      </c>
      <c r="AA586" s="11"/>
    </row>
    <row r="587" spans="1:27" x14ac:dyDescent="0.3">
      <c r="A587" s="7">
        <v>45591</v>
      </c>
      <c r="B587">
        <v>10</v>
      </c>
      <c r="C587" t="s">
        <v>250</v>
      </c>
      <c r="D587" t="s">
        <v>42</v>
      </c>
      <c r="E587">
        <v>39</v>
      </c>
      <c r="F587">
        <v>3</v>
      </c>
      <c r="G587">
        <v>8</v>
      </c>
      <c r="H587" t="s">
        <v>27</v>
      </c>
      <c r="I587">
        <v>2</v>
      </c>
      <c r="J587" s="10">
        <v>0.69791666666666663</v>
      </c>
      <c r="K587" s="10">
        <v>0.71736111111111101</v>
      </c>
      <c r="L587" s="10">
        <f t="shared" si="20"/>
        <v>1.9444444444444375E-2</v>
      </c>
      <c r="M587" s="12">
        <f t="shared" si="26"/>
        <v>0.46666666666666501</v>
      </c>
      <c r="N587" s="12">
        <f>Table35[[#This Row],[Trip Hours]]*Table35[[#This Row],['#Angler]]</f>
        <v>0.93333333333333002</v>
      </c>
      <c r="O587" t="s">
        <v>25</v>
      </c>
      <c r="P587" t="s">
        <v>49</v>
      </c>
      <c r="Q587" t="s">
        <v>247</v>
      </c>
      <c r="R587" s="11">
        <v>0</v>
      </c>
      <c r="S587">
        <v>0</v>
      </c>
      <c r="T587">
        <v>0</v>
      </c>
      <c r="U587" s="11">
        <v>0</v>
      </c>
      <c r="V587">
        <v>0</v>
      </c>
      <c r="W587">
        <v>0</v>
      </c>
      <c r="X587" s="11">
        <f t="shared" si="25"/>
        <v>0</v>
      </c>
      <c r="Y587">
        <f t="shared" si="25"/>
        <v>0</v>
      </c>
      <c r="Z587">
        <f t="shared" si="25"/>
        <v>0</v>
      </c>
      <c r="AA587" s="11"/>
    </row>
    <row r="588" spans="1:27" x14ac:dyDescent="0.3">
      <c r="A588" s="7">
        <v>45591</v>
      </c>
      <c r="B588">
        <v>10</v>
      </c>
      <c r="C588" t="s">
        <v>250</v>
      </c>
      <c r="D588" t="s">
        <v>42</v>
      </c>
      <c r="E588">
        <v>40</v>
      </c>
      <c r="F588">
        <v>3</v>
      </c>
      <c r="G588">
        <v>8</v>
      </c>
      <c r="H588" t="s">
        <v>27</v>
      </c>
      <c r="I588">
        <v>3</v>
      </c>
      <c r="J588" s="10">
        <v>0.5</v>
      </c>
      <c r="K588" s="10">
        <v>0.71944444444444444</v>
      </c>
      <c r="L588" s="10">
        <f t="shared" si="20"/>
        <v>0.21944444444444444</v>
      </c>
      <c r="M588" s="12">
        <f t="shared" si="26"/>
        <v>5.2666666666666666</v>
      </c>
      <c r="N588" s="12">
        <f>Table35[[#This Row],[Trip Hours]]*Table35[[#This Row],['#Angler]]</f>
        <v>15.8</v>
      </c>
      <c r="O588" t="s">
        <v>25</v>
      </c>
      <c r="P588" t="s">
        <v>338</v>
      </c>
      <c r="Q588" t="s">
        <v>224</v>
      </c>
      <c r="R588" s="11">
        <v>0</v>
      </c>
      <c r="S588">
        <v>0</v>
      </c>
      <c r="T588">
        <v>2</v>
      </c>
      <c r="U588" s="11">
        <v>0</v>
      </c>
      <c r="V588">
        <v>0</v>
      </c>
      <c r="W588">
        <v>0</v>
      </c>
      <c r="X588" s="11">
        <f t="shared" si="25"/>
        <v>0</v>
      </c>
      <c r="Y588">
        <f t="shared" si="25"/>
        <v>0</v>
      </c>
      <c r="Z588">
        <f t="shared" si="25"/>
        <v>2</v>
      </c>
      <c r="AA588" s="11"/>
    </row>
    <row r="589" spans="1:27" x14ac:dyDescent="0.3">
      <c r="A589" s="7">
        <v>45591</v>
      </c>
      <c r="B589">
        <v>10</v>
      </c>
      <c r="C589" t="s">
        <v>250</v>
      </c>
      <c r="D589" t="s">
        <v>42</v>
      </c>
      <c r="E589">
        <v>41</v>
      </c>
      <c r="F589">
        <v>3</v>
      </c>
      <c r="G589">
        <v>8</v>
      </c>
      <c r="H589" t="s">
        <v>27</v>
      </c>
      <c r="I589">
        <v>2</v>
      </c>
      <c r="J589" s="10">
        <v>0.41666666666666669</v>
      </c>
      <c r="K589" s="10">
        <v>0.5</v>
      </c>
      <c r="L589" s="10">
        <f t="shared" si="20"/>
        <v>8.3333333333333315E-2</v>
      </c>
      <c r="M589" s="12">
        <f t="shared" si="26"/>
        <v>1.9999999999999996</v>
      </c>
      <c r="N589" s="12">
        <f>Table35[[#This Row],[Trip Hours]]*Table35[[#This Row],['#Angler]]</f>
        <v>3.9999999999999991</v>
      </c>
      <c r="O589" t="s">
        <v>25</v>
      </c>
      <c r="P589" t="s">
        <v>148</v>
      </c>
      <c r="Q589" t="s">
        <v>224</v>
      </c>
      <c r="R589" s="11">
        <v>0</v>
      </c>
      <c r="S589">
        <v>0</v>
      </c>
      <c r="T589">
        <v>0</v>
      </c>
      <c r="U589" s="11">
        <v>0</v>
      </c>
      <c r="V589">
        <v>0</v>
      </c>
      <c r="W589">
        <v>0</v>
      </c>
      <c r="X589" s="11">
        <f t="shared" si="25"/>
        <v>0</v>
      </c>
      <c r="Y589">
        <f t="shared" si="25"/>
        <v>0</v>
      </c>
      <c r="Z589">
        <f t="shared" si="25"/>
        <v>0</v>
      </c>
      <c r="AA589" s="11"/>
    </row>
    <row r="590" spans="1:27" x14ac:dyDescent="0.3">
      <c r="A590" s="7">
        <v>45591</v>
      </c>
      <c r="B590">
        <v>10</v>
      </c>
      <c r="C590" t="s">
        <v>250</v>
      </c>
      <c r="D590" t="s">
        <v>42</v>
      </c>
      <c r="E590">
        <v>42</v>
      </c>
      <c r="F590">
        <v>3</v>
      </c>
      <c r="G590">
        <v>8</v>
      </c>
      <c r="H590" t="s">
        <v>27</v>
      </c>
      <c r="I590">
        <v>2</v>
      </c>
      <c r="J590" s="10">
        <v>0.60416666666666663</v>
      </c>
      <c r="K590" s="10">
        <v>0.73611111111111116</v>
      </c>
      <c r="L590" s="10">
        <f t="shared" si="20"/>
        <v>0.13194444444444453</v>
      </c>
      <c r="M590" s="12">
        <f t="shared" si="26"/>
        <v>3.1666666666666687</v>
      </c>
      <c r="N590" s="12">
        <f>Table35[[#This Row],[Trip Hours]]*Table35[[#This Row],['#Angler]]</f>
        <v>6.3333333333333375</v>
      </c>
      <c r="O590" t="s">
        <v>25</v>
      </c>
      <c r="P590" t="s">
        <v>148</v>
      </c>
      <c r="Q590" t="s">
        <v>224</v>
      </c>
      <c r="R590" s="11">
        <v>0</v>
      </c>
      <c r="S590">
        <v>0</v>
      </c>
      <c r="T590">
        <v>0</v>
      </c>
      <c r="U590" s="11">
        <v>0</v>
      </c>
      <c r="V590">
        <v>0</v>
      </c>
      <c r="W590">
        <v>4</v>
      </c>
      <c r="X590" s="11">
        <f t="shared" si="25"/>
        <v>0</v>
      </c>
      <c r="Y590">
        <f t="shared" si="25"/>
        <v>0</v>
      </c>
      <c r="Z590">
        <f t="shared" si="25"/>
        <v>4</v>
      </c>
      <c r="AA590" s="11"/>
    </row>
    <row r="591" spans="1:27" x14ac:dyDescent="0.3">
      <c r="A591" s="7">
        <v>45591</v>
      </c>
      <c r="B591">
        <v>10</v>
      </c>
      <c r="C591" t="s">
        <v>250</v>
      </c>
      <c r="D591" t="s">
        <v>42</v>
      </c>
      <c r="E591">
        <v>43</v>
      </c>
      <c r="F591">
        <v>3</v>
      </c>
      <c r="G591">
        <v>8</v>
      </c>
      <c r="H591" t="s">
        <v>27</v>
      </c>
      <c r="I591">
        <v>2</v>
      </c>
      <c r="J591" s="10">
        <v>0.6875</v>
      </c>
      <c r="K591" s="10">
        <v>0.7319444444444444</v>
      </c>
      <c r="L591" s="10">
        <f t="shared" si="20"/>
        <v>4.4444444444444398E-2</v>
      </c>
      <c r="M591" s="12">
        <f t="shared" si="26"/>
        <v>1.0666666666666655</v>
      </c>
      <c r="N591" s="12">
        <f>Table35[[#This Row],[Trip Hours]]*Table35[[#This Row],['#Angler]]</f>
        <v>2.1333333333333311</v>
      </c>
      <c r="O591" t="s">
        <v>25</v>
      </c>
      <c r="P591" t="s">
        <v>31</v>
      </c>
      <c r="Q591" t="s">
        <v>224</v>
      </c>
      <c r="R591" s="11">
        <v>0</v>
      </c>
      <c r="S591">
        <v>0</v>
      </c>
      <c r="T591">
        <v>0</v>
      </c>
      <c r="U591" s="11">
        <v>0</v>
      </c>
      <c r="V591">
        <v>0</v>
      </c>
      <c r="W591">
        <v>0</v>
      </c>
      <c r="X591" s="11">
        <f t="shared" si="25"/>
        <v>0</v>
      </c>
      <c r="Y591">
        <f t="shared" si="25"/>
        <v>0</v>
      </c>
      <c r="Z591">
        <f t="shared" si="25"/>
        <v>0</v>
      </c>
      <c r="AA591" s="11"/>
    </row>
    <row r="592" spans="1:27" x14ac:dyDescent="0.3">
      <c r="A592" s="7">
        <v>45591</v>
      </c>
      <c r="B592">
        <v>10</v>
      </c>
      <c r="C592" t="s">
        <v>250</v>
      </c>
      <c r="D592" t="s">
        <v>42</v>
      </c>
      <c r="E592">
        <v>44</v>
      </c>
      <c r="F592">
        <v>3</v>
      </c>
      <c r="G592">
        <v>8</v>
      </c>
      <c r="H592" t="s">
        <v>27</v>
      </c>
      <c r="I592">
        <v>3</v>
      </c>
      <c r="J592" s="10">
        <v>0.70833333333333337</v>
      </c>
      <c r="K592" s="10">
        <v>0.7368055555555556</v>
      </c>
      <c r="L592" s="10">
        <f t="shared" si="20"/>
        <v>2.8472222222222232E-2</v>
      </c>
      <c r="M592" s="12">
        <f t="shared" si="26"/>
        <v>0.68333333333333357</v>
      </c>
      <c r="N592" s="12">
        <f>Table35[[#This Row],[Trip Hours]]*Table35[[#This Row],['#Angler]]</f>
        <v>2.0500000000000007</v>
      </c>
      <c r="O592" t="s">
        <v>25</v>
      </c>
      <c r="P592" t="s">
        <v>29</v>
      </c>
      <c r="Q592" t="s">
        <v>224</v>
      </c>
      <c r="R592" s="11">
        <v>0</v>
      </c>
      <c r="S592">
        <v>0</v>
      </c>
      <c r="T592">
        <v>0</v>
      </c>
      <c r="U592" s="11">
        <v>0</v>
      </c>
      <c r="V592">
        <v>0</v>
      </c>
      <c r="W592">
        <v>0</v>
      </c>
      <c r="X592" s="11">
        <f t="shared" ref="X592:Z644" si="27">R592+U592</f>
        <v>0</v>
      </c>
      <c r="Y592">
        <f t="shared" si="27"/>
        <v>0</v>
      </c>
      <c r="Z592">
        <f t="shared" si="27"/>
        <v>0</v>
      </c>
      <c r="AA592" s="11"/>
    </row>
    <row r="593" spans="1:27" x14ac:dyDescent="0.3">
      <c r="A593" s="7">
        <v>45595</v>
      </c>
      <c r="B593">
        <v>11</v>
      </c>
      <c r="C593" t="s">
        <v>236</v>
      </c>
      <c r="D593" t="s">
        <v>26</v>
      </c>
      <c r="E593">
        <v>1</v>
      </c>
      <c r="F593">
        <v>2</v>
      </c>
      <c r="G593">
        <v>4</v>
      </c>
      <c r="H593" t="s">
        <v>27</v>
      </c>
      <c r="I593">
        <v>1</v>
      </c>
      <c r="J593" s="10">
        <v>0.33333333333333331</v>
      </c>
      <c r="K593" s="10">
        <v>0.46319444444444446</v>
      </c>
      <c r="L593" s="10">
        <f t="shared" si="20"/>
        <v>0.12986111111111115</v>
      </c>
      <c r="M593" s="12">
        <f t="shared" si="26"/>
        <v>3.1166666666666676</v>
      </c>
      <c r="N593" s="12">
        <f>Table35[[#This Row],[Trip Hours]]*Table35[[#This Row],['#Angler]]</f>
        <v>3.1166666666666676</v>
      </c>
      <c r="O593" t="s">
        <v>25</v>
      </c>
      <c r="P593" t="s">
        <v>217</v>
      </c>
      <c r="Q593" t="s">
        <v>224</v>
      </c>
      <c r="R593" s="11">
        <v>0</v>
      </c>
      <c r="S593">
        <v>0</v>
      </c>
      <c r="T593">
        <v>3</v>
      </c>
      <c r="U593" s="11">
        <v>0</v>
      </c>
      <c r="V593">
        <v>0</v>
      </c>
      <c r="W593">
        <v>0</v>
      </c>
      <c r="X593" s="11">
        <f t="shared" si="27"/>
        <v>0</v>
      </c>
      <c r="Y593">
        <f t="shared" si="27"/>
        <v>0</v>
      </c>
      <c r="Z593">
        <f t="shared" si="27"/>
        <v>3</v>
      </c>
      <c r="AA593" s="11"/>
    </row>
    <row r="594" spans="1:27" x14ac:dyDescent="0.3">
      <c r="A594" s="7">
        <v>45595</v>
      </c>
      <c r="B594">
        <v>11</v>
      </c>
      <c r="C594" t="s">
        <v>236</v>
      </c>
      <c r="D594" t="s">
        <v>26</v>
      </c>
      <c r="E594">
        <v>2</v>
      </c>
      <c r="F594">
        <v>2</v>
      </c>
      <c r="G594">
        <v>4</v>
      </c>
      <c r="H594" t="s">
        <v>27</v>
      </c>
      <c r="I594">
        <v>1</v>
      </c>
      <c r="J594" s="10">
        <v>0.375</v>
      </c>
      <c r="K594" s="10">
        <v>0.46319444444444446</v>
      </c>
      <c r="L594" s="10">
        <f t="shared" si="20"/>
        <v>8.8194444444444464E-2</v>
      </c>
      <c r="M594" s="12">
        <f t="shared" si="26"/>
        <v>2.1166666666666671</v>
      </c>
      <c r="N594" s="12">
        <f>Table35[[#This Row],[Trip Hours]]*Table35[[#This Row],['#Angler]]</f>
        <v>2.1166666666666671</v>
      </c>
      <c r="O594" t="s">
        <v>25</v>
      </c>
      <c r="P594" t="s">
        <v>217</v>
      </c>
      <c r="Q594" t="s">
        <v>224</v>
      </c>
      <c r="R594" s="11">
        <v>0</v>
      </c>
      <c r="S594">
        <v>0</v>
      </c>
      <c r="T594">
        <v>1</v>
      </c>
      <c r="U594" s="11">
        <v>0</v>
      </c>
      <c r="V594">
        <v>0</v>
      </c>
      <c r="W594">
        <v>0</v>
      </c>
      <c r="X594" s="11">
        <f t="shared" si="27"/>
        <v>0</v>
      </c>
      <c r="Y594">
        <f t="shared" si="27"/>
        <v>0</v>
      </c>
      <c r="Z594">
        <f t="shared" si="27"/>
        <v>1</v>
      </c>
      <c r="AA594" s="11"/>
    </row>
    <row r="595" spans="1:27" x14ac:dyDescent="0.3">
      <c r="A595" s="7">
        <v>45595</v>
      </c>
      <c r="B595">
        <v>11</v>
      </c>
      <c r="C595" t="s">
        <v>236</v>
      </c>
      <c r="D595" t="s">
        <v>42</v>
      </c>
      <c r="E595">
        <v>3</v>
      </c>
      <c r="F595">
        <v>2</v>
      </c>
      <c r="G595">
        <v>1</v>
      </c>
      <c r="H595" t="s">
        <v>27</v>
      </c>
      <c r="I595">
        <v>1</v>
      </c>
      <c r="J595" s="10">
        <v>0.53125</v>
      </c>
      <c r="K595" s="10">
        <v>0.61319444444444449</v>
      </c>
      <c r="L595" s="10">
        <f t="shared" si="20"/>
        <v>8.1944444444444486E-2</v>
      </c>
      <c r="M595" s="12">
        <f t="shared" si="26"/>
        <v>1.9666666666666677</v>
      </c>
      <c r="N595" s="12">
        <f>Table35[[#This Row],[Trip Hours]]*Table35[[#This Row],['#Angler]]</f>
        <v>1.9666666666666677</v>
      </c>
      <c r="O595" t="s">
        <v>25</v>
      </c>
      <c r="P595" t="s">
        <v>217</v>
      </c>
      <c r="Q595" t="s">
        <v>224</v>
      </c>
      <c r="R595" s="11">
        <v>0</v>
      </c>
      <c r="S595">
        <v>0</v>
      </c>
      <c r="T595">
        <v>0</v>
      </c>
      <c r="U595" s="11">
        <v>0</v>
      </c>
      <c r="V595">
        <v>0</v>
      </c>
      <c r="W595">
        <v>0</v>
      </c>
      <c r="X595" s="11">
        <f t="shared" si="27"/>
        <v>0</v>
      </c>
      <c r="Y595">
        <f t="shared" si="27"/>
        <v>0</v>
      </c>
      <c r="Z595">
        <f t="shared" si="27"/>
        <v>0</v>
      </c>
      <c r="AA595" s="11"/>
    </row>
    <row r="596" spans="1:27" x14ac:dyDescent="0.3">
      <c r="A596" s="7">
        <v>45595</v>
      </c>
      <c r="B596">
        <v>11</v>
      </c>
      <c r="C596" t="s">
        <v>236</v>
      </c>
      <c r="D596" t="s">
        <v>42</v>
      </c>
      <c r="E596">
        <v>4</v>
      </c>
      <c r="F596">
        <v>2</v>
      </c>
      <c r="G596">
        <v>1</v>
      </c>
      <c r="H596" t="s">
        <v>27</v>
      </c>
      <c r="I596">
        <v>2</v>
      </c>
      <c r="J596" s="10">
        <v>0.29166666666666669</v>
      </c>
      <c r="K596" s="10">
        <v>0.61527777777777781</v>
      </c>
      <c r="L596" s="10">
        <f t="shared" si="20"/>
        <v>0.32361111111111113</v>
      </c>
      <c r="M596" s="12">
        <f t="shared" si="26"/>
        <v>7.7666666666666675</v>
      </c>
      <c r="N596" s="12">
        <f>Table35[[#This Row],[Trip Hours]]*Table35[[#This Row],['#Angler]]</f>
        <v>15.533333333333335</v>
      </c>
      <c r="O596" t="s">
        <v>28</v>
      </c>
      <c r="P596" t="s">
        <v>339</v>
      </c>
      <c r="Q596" t="s">
        <v>224</v>
      </c>
      <c r="R596" s="11">
        <v>0</v>
      </c>
      <c r="S596">
        <v>0</v>
      </c>
      <c r="T596">
        <v>0</v>
      </c>
      <c r="U596" s="11">
        <v>0</v>
      </c>
      <c r="V596">
        <v>0</v>
      </c>
      <c r="W596">
        <v>0</v>
      </c>
      <c r="X596" s="11">
        <f t="shared" si="27"/>
        <v>0</v>
      </c>
      <c r="Y596">
        <f t="shared" si="27"/>
        <v>0</v>
      </c>
      <c r="Z596">
        <f t="shared" si="27"/>
        <v>0</v>
      </c>
      <c r="AA596" s="11"/>
    </row>
    <row r="597" spans="1:27" x14ac:dyDescent="0.3">
      <c r="A597" s="7">
        <v>45595</v>
      </c>
      <c r="B597">
        <v>11</v>
      </c>
      <c r="C597" t="s">
        <v>236</v>
      </c>
      <c r="D597" t="s">
        <v>42</v>
      </c>
      <c r="E597">
        <v>5</v>
      </c>
      <c r="F597">
        <v>2</v>
      </c>
      <c r="G597">
        <v>2</v>
      </c>
      <c r="H597" t="s">
        <v>27</v>
      </c>
      <c r="I597">
        <v>1</v>
      </c>
      <c r="J597" s="10">
        <v>0.63541666666666663</v>
      </c>
      <c r="K597" s="10">
        <v>0.63888888888888895</v>
      </c>
      <c r="L597" s="10">
        <f t="shared" si="20"/>
        <v>3.4722222222223209E-3</v>
      </c>
      <c r="M597" s="12">
        <f t="shared" si="26"/>
        <v>8.3333333333335702E-2</v>
      </c>
      <c r="N597" s="12">
        <f>Table35[[#This Row],[Trip Hours]]*Table35[[#This Row],['#Angler]]</f>
        <v>8.3333333333335702E-2</v>
      </c>
      <c r="O597" t="s">
        <v>28</v>
      </c>
      <c r="P597" t="s">
        <v>217</v>
      </c>
      <c r="Q597" t="s">
        <v>224</v>
      </c>
      <c r="R597" s="11">
        <v>0</v>
      </c>
      <c r="S597">
        <v>0</v>
      </c>
      <c r="T597">
        <v>0</v>
      </c>
      <c r="U597" s="11">
        <v>0</v>
      </c>
      <c r="V597">
        <v>0</v>
      </c>
      <c r="W597">
        <v>0</v>
      </c>
      <c r="X597" s="11">
        <f t="shared" si="27"/>
        <v>0</v>
      </c>
      <c r="Y597">
        <f t="shared" si="27"/>
        <v>0</v>
      </c>
      <c r="Z597">
        <f t="shared" si="27"/>
        <v>0</v>
      </c>
      <c r="AA597" s="11"/>
    </row>
    <row r="598" spans="1:27" x14ac:dyDescent="0.3">
      <c r="A598" s="7">
        <v>45595</v>
      </c>
      <c r="B598">
        <v>11</v>
      </c>
      <c r="C598" t="s">
        <v>236</v>
      </c>
      <c r="D598" t="s">
        <v>42</v>
      </c>
      <c r="E598">
        <v>6</v>
      </c>
      <c r="F598">
        <v>2</v>
      </c>
      <c r="G598">
        <v>2</v>
      </c>
      <c r="H598" t="s">
        <v>27</v>
      </c>
      <c r="I598">
        <v>1</v>
      </c>
      <c r="J598" s="10">
        <v>0.61458333333333337</v>
      </c>
      <c r="K598" s="10">
        <v>0.6430555555555556</v>
      </c>
      <c r="L598" s="10">
        <f t="shared" si="20"/>
        <v>2.8472222222222232E-2</v>
      </c>
      <c r="M598" s="12">
        <f t="shared" si="26"/>
        <v>0.68333333333333357</v>
      </c>
      <c r="N598" s="12">
        <f>Table35[[#This Row],[Trip Hours]]*Table35[[#This Row],['#Angler]]</f>
        <v>0.68333333333333357</v>
      </c>
      <c r="O598" t="s">
        <v>28</v>
      </c>
      <c r="P598" t="s">
        <v>217</v>
      </c>
      <c r="Q598" t="s">
        <v>238</v>
      </c>
      <c r="R598" s="11">
        <v>0</v>
      </c>
      <c r="S598">
        <v>0</v>
      </c>
      <c r="T598">
        <v>0</v>
      </c>
      <c r="U598" s="11">
        <v>0</v>
      </c>
      <c r="V598">
        <v>0</v>
      </c>
      <c r="W598">
        <v>1</v>
      </c>
      <c r="X598" s="11">
        <f t="shared" si="27"/>
        <v>0</v>
      </c>
      <c r="Y598">
        <f t="shared" si="27"/>
        <v>0</v>
      </c>
      <c r="Z598">
        <f t="shared" si="27"/>
        <v>1</v>
      </c>
      <c r="AA598" s="11"/>
    </row>
    <row r="599" spans="1:27" x14ac:dyDescent="0.3">
      <c r="A599" s="7">
        <v>45595</v>
      </c>
      <c r="B599">
        <v>11</v>
      </c>
      <c r="C599" t="s">
        <v>236</v>
      </c>
      <c r="D599" t="s">
        <v>42</v>
      </c>
      <c r="E599">
        <v>7</v>
      </c>
      <c r="F599">
        <v>2</v>
      </c>
      <c r="G599">
        <v>2</v>
      </c>
      <c r="H599" t="s">
        <v>27</v>
      </c>
      <c r="I599">
        <v>1</v>
      </c>
      <c r="J599" s="10">
        <v>0.63888888888888895</v>
      </c>
      <c r="K599" s="10">
        <v>0.64722222222222225</v>
      </c>
      <c r="L599" s="10">
        <f t="shared" si="20"/>
        <v>8.3333333333333037E-3</v>
      </c>
      <c r="M599" s="12">
        <f t="shared" si="26"/>
        <v>0.19999999999999929</v>
      </c>
      <c r="N599" s="12">
        <f>Table35[[#This Row],[Trip Hours]]*Table35[[#This Row],['#Angler]]</f>
        <v>0.19999999999999929</v>
      </c>
      <c r="O599" t="s">
        <v>28</v>
      </c>
      <c r="P599" t="s">
        <v>49</v>
      </c>
      <c r="Q599" t="s">
        <v>241</v>
      </c>
      <c r="R599" s="11">
        <v>0</v>
      </c>
      <c r="S599">
        <v>0</v>
      </c>
      <c r="T599">
        <v>0</v>
      </c>
      <c r="U599" s="11">
        <v>0</v>
      </c>
      <c r="V599">
        <v>0</v>
      </c>
      <c r="W599">
        <v>0</v>
      </c>
      <c r="X599" s="11">
        <f t="shared" si="27"/>
        <v>0</v>
      </c>
      <c r="Y599">
        <f t="shared" si="27"/>
        <v>0</v>
      </c>
      <c r="Z599">
        <f t="shared" si="27"/>
        <v>0</v>
      </c>
      <c r="AA599" s="11"/>
    </row>
    <row r="600" spans="1:27" x14ac:dyDescent="0.3">
      <c r="A600" s="7">
        <v>45595</v>
      </c>
      <c r="B600">
        <v>11</v>
      </c>
      <c r="C600" t="s">
        <v>236</v>
      </c>
      <c r="D600" t="s">
        <v>42</v>
      </c>
      <c r="E600">
        <v>8</v>
      </c>
      <c r="F600">
        <v>2</v>
      </c>
      <c r="G600">
        <v>2</v>
      </c>
      <c r="H600" t="s">
        <v>27</v>
      </c>
      <c r="I600">
        <v>1</v>
      </c>
      <c r="J600" s="10">
        <v>0.51388888888888895</v>
      </c>
      <c r="K600" s="10">
        <v>0.65555555555555556</v>
      </c>
      <c r="L600" s="10">
        <f t="shared" si="20"/>
        <v>0.14166666666666661</v>
      </c>
      <c r="M600" s="12">
        <f t="shared" si="26"/>
        <v>3.3999999999999986</v>
      </c>
      <c r="N600" s="12">
        <f>Table35[[#This Row],[Trip Hours]]*Table35[[#This Row],['#Angler]]</f>
        <v>3.3999999999999986</v>
      </c>
      <c r="O600" t="s">
        <v>25</v>
      </c>
      <c r="P600" t="s">
        <v>29</v>
      </c>
      <c r="Q600"/>
      <c r="R600" s="11">
        <v>0</v>
      </c>
      <c r="S600">
        <v>0</v>
      </c>
      <c r="T600">
        <v>0</v>
      </c>
      <c r="U600" s="11">
        <v>0</v>
      </c>
      <c r="V600">
        <v>0</v>
      </c>
      <c r="W600">
        <v>0</v>
      </c>
      <c r="X600" s="11">
        <f t="shared" si="27"/>
        <v>0</v>
      </c>
      <c r="Y600">
        <f t="shared" si="27"/>
        <v>0</v>
      </c>
      <c r="Z600">
        <f t="shared" si="27"/>
        <v>0</v>
      </c>
      <c r="AA600" s="11"/>
    </row>
    <row r="601" spans="1:27" x14ac:dyDescent="0.3">
      <c r="A601" s="7">
        <v>45595</v>
      </c>
      <c r="B601">
        <v>11</v>
      </c>
      <c r="C601" t="s">
        <v>236</v>
      </c>
      <c r="D601" t="s">
        <v>42</v>
      </c>
      <c r="E601">
        <v>9</v>
      </c>
      <c r="F601">
        <v>2</v>
      </c>
      <c r="G601">
        <v>4</v>
      </c>
      <c r="H601" t="s">
        <v>27</v>
      </c>
      <c r="I601">
        <v>1</v>
      </c>
      <c r="J601" s="10">
        <v>0.65625</v>
      </c>
      <c r="K601" s="10">
        <v>0.69930555555555562</v>
      </c>
      <c r="L601" s="10">
        <f t="shared" si="20"/>
        <v>4.3055555555555625E-2</v>
      </c>
      <c r="M601" s="12">
        <f t="shared" si="26"/>
        <v>1.033333333333335</v>
      </c>
      <c r="N601" s="12">
        <f>Table35[[#This Row],[Trip Hours]]*Table35[[#This Row],['#Angler]]</f>
        <v>1.033333333333335</v>
      </c>
      <c r="O601" t="s">
        <v>25</v>
      </c>
      <c r="P601" t="s">
        <v>29</v>
      </c>
      <c r="Q601" t="s">
        <v>224</v>
      </c>
      <c r="R601" s="11">
        <v>0</v>
      </c>
      <c r="S601">
        <v>0</v>
      </c>
      <c r="T601">
        <v>3</v>
      </c>
      <c r="U601" s="11">
        <v>0</v>
      </c>
      <c r="V601">
        <v>0</v>
      </c>
      <c r="W601">
        <v>2</v>
      </c>
      <c r="X601" s="11">
        <f t="shared" si="27"/>
        <v>0</v>
      </c>
      <c r="Y601">
        <f t="shared" si="27"/>
        <v>0</v>
      </c>
      <c r="Z601">
        <f t="shared" si="27"/>
        <v>5</v>
      </c>
      <c r="AA601" s="11"/>
    </row>
    <row r="602" spans="1:27" x14ac:dyDescent="0.3">
      <c r="A602" s="7">
        <v>45595</v>
      </c>
      <c r="B602">
        <v>11</v>
      </c>
      <c r="C602" t="s">
        <v>236</v>
      </c>
      <c r="D602" t="s">
        <v>42</v>
      </c>
      <c r="E602">
        <v>10</v>
      </c>
      <c r="F602">
        <v>2</v>
      </c>
      <c r="G602">
        <v>5</v>
      </c>
      <c r="H602" t="s">
        <v>27</v>
      </c>
      <c r="I602">
        <v>2</v>
      </c>
      <c r="J602" s="10">
        <v>0.54166666666666663</v>
      </c>
      <c r="K602" s="10">
        <v>0.7055555555555556</v>
      </c>
      <c r="L602" s="10">
        <f t="shared" si="20"/>
        <v>0.16388888888888897</v>
      </c>
      <c r="M602" s="12">
        <f t="shared" si="26"/>
        <v>3.9333333333333353</v>
      </c>
      <c r="N602" s="12">
        <f>Table35[[#This Row],[Trip Hours]]*Table35[[#This Row],['#Angler]]</f>
        <v>7.8666666666666707</v>
      </c>
      <c r="O602" t="s">
        <v>25</v>
      </c>
      <c r="P602" t="s">
        <v>186</v>
      </c>
      <c r="Q602" t="s">
        <v>224</v>
      </c>
      <c r="R602" s="11">
        <v>0</v>
      </c>
      <c r="S602">
        <v>0</v>
      </c>
      <c r="T602">
        <v>2</v>
      </c>
      <c r="U602" s="11">
        <v>0</v>
      </c>
      <c r="V602">
        <v>0</v>
      </c>
      <c r="W602">
        <v>0</v>
      </c>
      <c r="X602" s="11">
        <f t="shared" si="27"/>
        <v>0</v>
      </c>
      <c r="Y602">
        <f t="shared" si="27"/>
        <v>0</v>
      </c>
      <c r="Z602">
        <f t="shared" si="27"/>
        <v>2</v>
      </c>
      <c r="AA602" s="11"/>
    </row>
    <row r="603" spans="1:27" x14ac:dyDescent="0.3">
      <c r="A603" s="7">
        <v>45595</v>
      </c>
      <c r="B603">
        <v>11</v>
      </c>
      <c r="C603" t="s">
        <v>236</v>
      </c>
      <c r="D603" t="s">
        <v>42</v>
      </c>
      <c r="E603">
        <v>11</v>
      </c>
      <c r="F603">
        <v>3</v>
      </c>
      <c r="G603">
        <v>6</v>
      </c>
      <c r="H603" t="s">
        <v>27</v>
      </c>
      <c r="I603">
        <v>1</v>
      </c>
      <c r="J603" s="10">
        <v>0.64583333333333337</v>
      </c>
      <c r="K603" s="10">
        <v>0.73472222222222217</v>
      </c>
      <c r="L603" s="10">
        <f t="shared" si="20"/>
        <v>8.8888888888888795E-2</v>
      </c>
      <c r="M603" s="12">
        <f t="shared" si="26"/>
        <v>2.1333333333333311</v>
      </c>
      <c r="N603" s="12">
        <f>Table35[[#This Row],[Trip Hours]]*Table35[[#This Row],['#Angler]]</f>
        <v>2.1333333333333311</v>
      </c>
      <c r="O603" t="s">
        <v>25</v>
      </c>
      <c r="P603" t="s">
        <v>125</v>
      </c>
      <c r="Q603" t="s">
        <v>224</v>
      </c>
      <c r="R603" s="11">
        <v>0</v>
      </c>
      <c r="S603">
        <v>0</v>
      </c>
      <c r="T603">
        <v>1</v>
      </c>
      <c r="U603" s="11">
        <v>0</v>
      </c>
      <c r="V603">
        <v>0</v>
      </c>
      <c r="W603">
        <v>0</v>
      </c>
      <c r="X603" s="11">
        <f t="shared" si="27"/>
        <v>0</v>
      </c>
      <c r="Y603">
        <f t="shared" si="27"/>
        <v>0</v>
      </c>
      <c r="Z603">
        <f t="shared" si="27"/>
        <v>1</v>
      </c>
      <c r="AA603" s="11"/>
    </row>
    <row r="604" spans="1:27" x14ac:dyDescent="0.3">
      <c r="A604" s="7">
        <v>45595</v>
      </c>
      <c r="B604">
        <v>11</v>
      </c>
      <c r="C604" t="s">
        <v>236</v>
      </c>
      <c r="D604" t="s">
        <v>42</v>
      </c>
      <c r="E604">
        <v>12</v>
      </c>
      <c r="F604">
        <v>3</v>
      </c>
      <c r="G604">
        <v>6</v>
      </c>
      <c r="H604" t="s">
        <v>27</v>
      </c>
      <c r="I604">
        <v>1</v>
      </c>
      <c r="J604" s="10">
        <v>0.625</v>
      </c>
      <c r="K604" s="10">
        <v>0.74305555555555547</v>
      </c>
      <c r="L604" s="10">
        <f t="shared" si="20"/>
        <v>0.11805555555555547</v>
      </c>
      <c r="M604" s="12">
        <f t="shared" si="26"/>
        <v>2.8333333333333313</v>
      </c>
      <c r="N604" s="12">
        <f>Table35[[#This Row],[Trip Hours]]*Table35[[#This Row],['#Angler]]</f>
        <v>2.8333333333333313</v>
      </c>
      <c r="O604" t="s">
        <v>25</v>
      </c>
      <c r="P604" t="s">
        <v>51</v>
      </c>
      <c r="Q604" t="s">
        <v>247</v>
      </c>
      <c r="R604" s="11">
        <v>0</v>
      </c>
      <c r="S604">
        <v>0</v>
      </c>
      <c r="T604">
        <v>1</v>
      </c>
      <c r="U604" s="11">
        <v>0</v>
      </c>
      <c r="V604">
        <v>0</v>
      </c>
      <c r="W604">
        <v>0</v>
      </c>
      <c r="X604" s="11">
        <f t="shared" si="27"/>
        <v>0</v>
      </c>
      <c r="Y604">
        <f t="shared" si="27"/>
        <v>0</v>
      </c>
      <c r="Z604">
        <f t="shared" si="27"/>
        <v>1</v>
      </c>
      <c r="AA604" s="11"/>
    </row>
    <row r="605" spans="1:27" x14ac:dyDescent="0.3">
      <c r="A605" s="7">
        <v>45595</v>
      </c>
      <c r="B605">
        <v>11</v>
      </c>
      <c r="C605" t="s">
        <v>236</v>
      </c>
      <c r="D605" t="s">
        <v>42</v>
      </c>
      <c r="E605">
        <v>13</v>
      </c>
      <c r="F605">
        <v>3</v>
      </c>
      <c r="G605">
        <v>6</v>
      </c>
      <c r="H605" t="s">
        <v>27</v>
      </c>
      <c r="I605">
        <v>1</v>
      </c>
      <c r="J605" s="10">
        <v>0.45833333333333331</v>
      </c>
      <c r="K605" s="10">
        <v>0.74375000000000002</v>
      </c>
      <c r="L605" s="10">
        <f t="shared" si="20"/>
        <v>0.28541666666666671</v>
      </c>
      <c r="M605" s="12">
        <f t="shared" si="26"/>
        <v>6.8500000000000014</v>
      </c>
      <c r="N605" s="12">
        <f>Table35[[#This Row],[Trip Hours]]*Table35[[#This Row],['#Angler]]</f>
        <v>6.8500000000000014</v>
      </c>
      <c r="O605" t="s">
        <v>25</v>
      </c>
      <c r="P605" t="s">
        <v>51</v>
      </c>
      <c r="Q605" t="s">
        <v>247</v>
      </c>
      <c r="R605" s="11">
        <v>0</v>
      </c>
      <c r="S605">
        <v>0</v>
      </c>
      <c r="T605">
        <v>0</v>
      </c>
      <c r="U605" s="11">
        <v>0</v>
      </c>
      <c r="V605">
        <v>0</v>
      </c>
      <c r="W605">
        <v>6</v>
      </c>
      <c r="X605" s="11">
        <f t="shared" si="27"/>
        <v>0</v>
      </c>
      <c r="Y605">
        <f t="shared" si="27"/>
        <v>0</v>
      </c>
      <c r="Z605">
        <f t="shared" si="27"/>
        <v>6</v>
      </c>
      <c r="AA605" s="11"/>
    </row>
    <row r="606" spans="1:27" x14ac:dyDescent="0.3">
      <c r="A606" s="7">
        <v>45595</v>
      </c>
      <c r="B606">
        <v>11</v>
      </c>
      <c r="C606" t="s">
        <v>236</v>
      </c>
      <c r="D606" t="s">
        <v>42</v>
      </c>
      <c r="E606">
        <v>14</v>
      </c>
      <c r="F606">
        <v>3</v>
      </c>
      <c r="G606">
        <v>6</v>
      </c>
      <c r="H606" t="s">
        <v>27</v>
      </c>
      <c r="I606">
        <v>1</v>
      </c>
      <c r="J606" s="10">
        <v>0.72916666666666663</v>
      </c>
      <c r="K606" s="10">
        <v>0.74583333333333324</v>
      </c>
      <c r="L606" s="10">
        <f t="shared" si="20"/>
        <v>1.6666666666666607E-2</v>
      </c>
      <c r="M606" s="12">
        <f t="shared" si="26"/>
        <v>0.39999999999999858</v>
      </c>
      <c r="N606" s="12">
        <f>Table35[[#This Row],[Trip Hours]]*Table35[[#This Row],['#Angler]]</f>
        <v>0.39999999999999858</v>
      </c>
      <c r="O606" t="s">
        <v>25</v>
      </c>
      <c r="P606" t="s">
        <v>125</v>
      </c>
      <c r="Q606" t="s">
        <v>224</v>
      </c>
      <c r="R606" s="11">
        <v>0</v>
      </c>
      <c r="S606">
        <v>0</v>
      </c>
      <c r="T606">
        <v>0</v>
      </c>
      <c r="U606" s="11">
        <v>0</v>
      </c>
      <c r="V606">
        <v>0</v>
      </c>
      <c r="W606">
        <v>0</v>
      </c>
      <c r="X606" s="11">
        <f t="shared" si="27"/>
        <v>0</v>
      </c>
      <c r="Y606">
        <f t="shared" si="27"/>
        <v>0</v>
      </c>
      <c r="Z606">
        <f t="shared" si="27"/>
        <v>0</v>
      </c>
      <c r="AA606" s="11"/>
    </row>
    <row r="607" spans="1:27" x14ac:dyDescent="0.3">
      <c r="A607" s="7">
        <v>45595</v>
      </c>
      <c r="B607">
        <v>11</v>
      </c>
      <c r="C607" t="s">
        <v>236</v>
      </c>
      <c r="D607" t="s">
        <v>42</v>
      </c>
      <c r="E607">
        <v>15</v>
      </c>
      <c r="F607">
        <v>3</v>
      </c>
      <c r="G607">
        <v>6</v>
      </c>
      <c r="H607" t="s">
        <v>27</v>
      </c>
      <c r="I607">
        <v>1</v>
      </c>
      <c r="J607" s="10">
        <v>0.70833333333333337</v>
      </c>
      <c r="K607" s="10">
        <v>0.76041666666666663</v>
      </c>
      <c r="L607" s="10">
        <f t="shared" si="20"/>
        <v>5.2083333333333259E-2</v>
      </c>
      <c r="M607" s="12">
        <f t="shared" si="26"/>
        <v>1.2499999999999982</v>
      </c>
      <c r="N607" s="12">
        <f>Table35[[#This Row],[Trip Hours]]*Table35[[#This Row],['#Angler]]</f>
        <v>1.2499999999999982</v>
      </c>
      <c r="O607" t="s">
        <v>25</v>
      </c>
      <c r="P607" t="s">
        <v>51</v>
      </c>
      <c r="Q607" t="s">
        <v>311</v>
      </c>
      <c r="R607" s="11">
        <v>0</v>
      </c>
      <c r="S607">
        <v>0</v>
      </c>
      <c r="T607">
        <v>0</v>
      </c>
      <c r="U607" s="11">
        <v>0</v>
      </c>
      <c r="V607">
        <v>0</v>
      </c>
      <c r="W607">
        <v>0</v>
      </c>
      <c r="X607" s="11">
        <f t="shared" si="27"/>
        <v>0</v>
      </c>
      <c r="Y607">
        <f t="shared" si="27"/>
        <v>0</v>
      </c>
      <c r="Z607">
        <f t="shared" si="27"/>
        <v>0</v>
      </c>
      <c r="AA607" s="11"/>
    </row>
    <row r="608" spans="1:27" x14ac:dyDescent="0.3">
      <c r="A608" s="7">
        <v>45595</v>
      </c>
      <c r="B608">
        <v>11</v>
      </c>
      <c r="C608" t="s">
        <v>236</v>
      </c>
      <c r="D608" t="s">
        <v>42</v>
      </c>
      <c r="E608">
        <v>16</v>
      </c>
      <c r="F608">
        <v>3</v>
      </c>
      <c r="G608">
        <v>6</v>
      </c>
      <c r="H608" t="s">
        <v>27</v>
      </c>
      <c r="I608">
        <v>1</v>
      </c>
      <c r="J608" s="10">
        <v>0.6875</v>
      </c>
      <c r="K608" s="10">
        <v>0.76250000000000007</v>
      </c>
      <c r="L608" s="10">
        <f t="shared" si="20"/>
        <v>7.5000000000000067E-2</v>
      </c>
      <c r="M608" s="12">
        <f t="shared" si="26"/>
        <v>1.8000000000000016</v>
      </c>
      <c r="N608" s="12">
        <f>Table35[[#This Row],[Trip Hours]]*Table35[[#This Row],['#Angler]]</f>
        <v>1.8000000000000016</v>
      </c>
      <c r="O608" t="s">
        <v>25</v>
      </c>
      <c r="P608" t="s">
        <v>148</v>
      </c>
      <c r="Q608" t="s">
        <v>311</v>
      </c>
      <c r="R608" s="11">
        <v>0</v>
      </c>
      <c r="S608">
        <v>0</v>
      </c>
      <c r="T608">
        <v>1</v>
      </c>
      <c r="U608" s="11">
        <v>0</v>
      </c>
      <c r="V608">
        <v>0</v>
      </c>
      <c r="W608">
        <v>0</v>
      </c>
      <c r="X608" s="11">
        <f t="shared" si="27"/>
        <v>0</v>
      </c>
      <c r="Y608">
        <f t="shared" si="27"/>
        <v>0</v>
      </c>
      <c r="Z608">
        <f t="shared" si="27"/>
        <v>1</v>
      </c>
      <c r="AA608" s="11"/>
    </row>
    <row r="609" spans="1:27" x14ac:dyDescent="0.3">
      <c r="A609" s="7">
        <v>45596</v>
      </c>
      <c r="B609">
        <v>11</v>
      </c>
      <c r="C609" t="s">
        <v>236</v>
      </c>
      <c r="D609" t="s">
        <v>26</v>
      </c>
      <c r="E609">
        <v>1</v>
      </c>
      <c r="F609">
        <v>2</v>
      </c>
      <c r="G609">
        <v>2</v>
      </c>
      <c r="H609" t="s">
        <v>27</v>
      </c>
      <c r="I609">
        <v>1</v>
      </c>
      <c r="J609" s="10">
        <v>0.30208333333333331</v>
      </c>
      <c r="K609" s="10">
        <v>0.36458333333333331</v>
      </c>
      <c r="L609" s="10">
        <f t="shared" si="20"/>
        <v>6.25E-2</v>
      </c>
      <c r="M609" s="12">
        <f t="shared" si="26"/>
        <v>1.5</v>
      </c>
      <c r="N609" s="12">
        <f>Table35[[#This Row],[Trip Hours]]*Table35[[#This Row],['#Angler]]</f>
        <v>1.5</v>
      </c>
      <c r="O609" t="s">
        <v>28</v>
      </c>
      <c r="P609" t="s">
        <v>29</v>
      </c>
      <c r="Q609" t="s">
        <v>241</v>
      </c>
      <c r="R609" s="11">
        <v>0</v>
      </c>
      <c r="S609">
        <v>0</v>
      </c>
      <c r="T609">
        <v>0</v>
      </c>
      <c r="U609" s="11">
        <v>0</v>
      </c>
      <c r="V609">
        <v>0</v>
      </c>
      <c r="W609">
        <v>0</v>
      </c>
      <c r="X609" s="11">
        <f t="shared" si="27"/>
        <v>0</v>
      </c>
      <c r="Y609">
        <f t="shared" si="27"/>
        <v>0</v>
      </c>
      <c r="Z609">
        <f t="shared" si="27"/>
        <v>0</v>
      </c>
      <c r="AA609" s="11"/>
    </row>
    <row r="610" spans="1:27" x14ac:dyDescent="0.3">
      <c r="A610" s="7">
        <v>45596</v>
      </c>
      <c r="B610">
        <v>11</v>
      </c>
      <c r="C610" t="s">
        <v>236</v>
      </c>
      <c r="D610" t="s">
        <v>26</v>
      </c>
      <c r="E610">
        <v>2</v>
      </c>
      <c r="F610">
        <v>2</v>
      </c>
      <c r="G610">
        <v>2</v>
      </c>
      <c r="H610" t="s">
        <v>27</v>
      </c>
      <c r="I610">
        <v>1</v>
      </c>
      <c r="J610" s="10">
        <v>0.32291666666666669</v>
      </c>
      <c r="K610" s="10">
        <v>0.36527777777777781</v>
      </c>
      <c r="L610" s="10">
        <f t="shared" si="20"/>
        <v>4.2361111111111127E-2</v>
      </c>
      <c r="M610" s="12">
        <f t="shared" si="26"/>
        <v>1.0166666666666671</v>
      </c>
      <c r="N610" s="12">
        <f>Table35[[#This Row],[Trip Hours]]*Table35[[#This Row],['#Angler]]</f>
        <v>1.0166666666666671</v>
      </c>
      <c r="O610" t="s">
        <v>28</v>
      </c>
      <c r="P610" t="s">
        <v>217</v>
      </c>
      <c r="Q610" t="s">
        <v>224</v>
      </c>
      <c r="R610" s="11">
        <v>0</v>
      </c>
      <c r="S610">
        <v>0</v>
      </c>
      <c r="T610">
        <v>0</v>
      </c>
      <c r="U610" s="11">
        <v>0</v>
      </c>
      <c r="V610">
        <v>0</v>
      </c>
      <c r="W610">
        <v>0</v>
      </c>
      <c r="X610" s="11">
        <f t="shared" si="27"/>
        <v>0</v>
      </c>
      <c r="Y610">
        <f t="shared" si="27"/>
        <v>0</v>
      </c>
      <c r="Z610">
        <f t="shared" si="27"/>
        <v>0</v>
      </c>
      <c r="AA610" s="11"/>
    </row>
    <row r="611" spans="1:27" x14ac:dyDescent="0.3">
      <c r="A611" s="7">
        <v>45596</v>
      </c>
      <c r="B611">
        <v>11</v>
      </c>
      <c r="C611" t="s">
        <v>236</v>
      </c>
      <c r="D611" t="s">
        <v>26</v>
      </c>
      <c r="E611">
        <v>3</v>
      </c>
      <c r="F611">
        <v>2</v>
      </c>
      <c r="G611">
        <v>2</v>
      </c>
      <c r="H611" t="s">
        <v>27</v>
      </c>
      <c r="I611">
        <v>1</v>
      </c>
      <c r="J611" s="10">
        <v>0.3576388888888889</v>
      </c>
      <c r="K611" s="10">
        <v>0.37083333333333335</v>
      </c>
      <c r="L611" s="10">
        <f t="shared" si="20"/>
        <v>1.3194444444444453E-2</v>
      </c>
      <c r="M611" s="12">
        <f t="shared" si="26"/>
        <v>0.31666666666666687</v>
      </c>
      <c r="N611" s="12">
        <f>Table35[[#This Row],[Trip Hours]]*Table35[[#This Row],['#Angler]]</f>
        <v>0.31666666666666687</v>
      </c>
      <c r="O611" t="s">
        <v>25</v>
      </c>
      <c r="P611" t="s">
        <v>148</v>
      </c>
      <c r="Q611"/>
      <c r="R611" s="11">
        <v>0</v>
      </c>
      <c r="S611">
        <v>0</v>
      </c>
      <c r="T611">
        <v>0</v>
      </c>
      <c r="U611" s="11">
        <v>0</v>
      </c>
      <c r="V611">
        <v>0</v>
      </c>
      <c r="W611">
        <v>0</v>
      </c>
      <c r="X611" s="11">
        <f t="shared" si="27"/>
        <v>0</v>
      </c>
      <c r="Y611">
        <f t="shared" si="27"/>
        <v>0</v>
      </c>
      <c r="Z611">
        <f t="shared" si="27"/>
        <v>0</v>
      </c>
      <c r="AA611" s="11"/>
    </row>
    <row r="612" spans="1:27" x14ac:dyDescent="0.3">
      <c r="A612" s="7">
        <v>45596</v>
      </c>
      <c r="B612">
        <v>11</v>
      </c>
      <c r="C612" t="s">
        <v>236</v>
      </c>
      <c r="D612" t="s">
        <v>26</v>
      </c>
      <c r="E612">
        <v>4</v>
      </c>
      <c r="F612">
        <v>2</v>
      </c>
      <c r="G612">
        <v>2</v>
      </c>
      <c r="H612" t="s">
        <v>27</v>
      </c>
      <c r="I612">
        <v>1</v>
      </c>
      <c r="J612" s="10">
        <v>0.33333333333333331</v>
      </c>
      <c r="K612" s="10">
        <v>0.37777777777777777</v>
      </c>
      <c r="L612" s="10">
        <f t="shared" si="20"/>
        <v>4.4444444444444453E-2</v>
      </c>
      <c r="M612" s="12">
        <f t="shared" si="26"/>
        <v>1.0666666666666669</v>
      </c>
      <c r="N612" s="12">
        <f>Table35[[#This Row],[Trip Hours]]*Table35[[#This Row],['#Angler]]</f>
        <v>1.0666666666666669</v>
      </c>
      <c r="O612" t="s">
        <v>28</v>
      </c>
      <c r="P612" t="s">
        <v>29</v>
      </c>
      <c r="Q612" t="s">
        <v>241</v>
      </c>
      <c r="R612" s="11">
        <v>0</v>
      </c>
      <c r="S612">
        <v>0</v>
      </c>
      <c r="T612">
        <v>0</v>
      </c>
      <c r="U612" s="11">
        <v>0</v>
      </c>
      <c r="V612">
        <v>0</v>
      </c>
      <c r="W612">
        <v>0</v>
      </c>
      <c r="X612" s="11">
        <f t="shared" si="27"/>
        <v>0</v>
      </c>
      <c r="Y612">
        <f t="shared" si="27"/>
        <v>0</v>
      </c>
      <c r="Z612">
        <f t="shared" si="27"/>
        <v>0</v>
      </c>
      <c r="AA612" s="11"/>
    </row>
    <row r="613" spans="1:27" x14ac:dyDescent="0.3">
      <c r="A613" s="7">
        <v>45596</v>
      </c>
      <c r="B613">
        <v>11</v>
      </c>
      <c r="C613" t="s">
        <v>236</v>
      </c>
      <c r="D613" t="s">
        <v>26</v>
      </c>
      <c r="E613">
        <v>5</v>
      </c>
      <c r="F613">
        <v>2</v>
      </c>
      <c r="G613">
        <v>4</v>
      </c>
      <c r="H613" t="s">
        <v>27</v>
      </c>
      <c r="I613">
        <v>1</v>
      </c>
      <c r="J613" s="10">
        <v>0.33333333333333331</v>
      </c>
      <c r="K613" s="10">
        <v>0.41250000000000003</v>
      </c>
      <c r="L613" s="10">
        <f t="shared" si="20"/>
        <v>7.9166666666666718E-2</v>
      </c>
      <c r="M613" s="12">
        <f t="shared" si="26"/>
        <v>1.9000000000000012</v>
      </c>
      <c r="N613" s="12">
        <f>Table35[[#This Row],[Trip Hours]]*Table35[[#This Row],['#Angler]]</f>
        <v>1.9000000000000012</v>
      </c>
      <c r="O613" t="s">
        <v>28</v>
      </c>
      <c r="P613" t="s">
        <v>217</v>
      </c>
      <c r="Q613" t="s">
        <v>224</v>
      </c>
      <c r="R613" s="11">
        <v>0</v>
      </c>
      <c r="S613">
        <v>0</v>
      </c>
      <c r="T613">
        <v>1</v>
      </c>
      <c r="U613" s="11">
        <v>0</v>
      </c>
      <c r="V613">
        <v>0</v>
      </c>
      <c r="W613">
        <v>2</v>
      </c>
      <c r="X613" s="11">
        <f t="shared" si="27"/>
        <v>0</v>
      </c>
      <c r="Y613">
        <f t="shared" si="27"/>
        <v>0</v>
      </c>
      <c r="Z613">
        <f t="shared" si="27"/>
        <v>3</v>
      </c>
      <c r="AA613" s="11"/>
    </row>
    <row r="614" spans="1:27" x14ac:dyDescent="0.3">
      <c r="A614" s="7">
        <v>45596</v>
      </c>
      <c r="B614">
        <v>11</v>
      </c>
      <c r="C614" t="s">
        <v>236</v>
      </c>
      <c r="D614" t="s">
        <v>26</v>
      </c>
      <c r="E614">
        <v>6</v>
      </c>
      <c r="F614">
        <v>2</v>
      </c>
      <c r="G614">
        <v>4</v>
      </c>
      <c r="H614" t="s">
        <v>27</v>
      </c>
      <c r="I614">
        <v>1</v>
      </c>
      <c r="J614" s="10">
        <v>0.3125</v>
      </c>
      <c r="K614" s="10">
        <v>0.41319444444444442</v>
      </c>
      <c r="L614" s="10">
        <f t="shared" si="20"/>
        <v>0.10069444444444442</v>
      </c>
      <c r="M614" s="12">
        <f t="shared" si="26"/>
        <v>2.4166666666666661</v>
      </c>
      <c r="N614" s="12">
        <f>Table35[[#This Row],[Trip Hours]]*Table35[[#This Row],['#Angler]]</f>
        <v>2.4166666666666661</v>
      </c>
      <c r="O614" t="s">
        <v>28</v>
      </c>
      <c r="P614" t="s">
        <v>217</v>
      </c>
      <c r="Q614" t="s">
        <v>224</v>
      </c>
      <c r="R614" s="11">
        <v>0</v>
      </c>
      <c r="S614">
        <v>0</v>
      </c>
      <c r="T614">
        <v>0</v>
      </c>
      <c r="U614" s="11">
        <v>0</v>
      </c>
      <c r="V614">
        <v>0</v>
      </c>
      <c r="W614">
        <v>0</v>
      </c>
      <c r="X614" s="11">
        <f t="shared" si="27"/>
        <v>0</v>
      </c>
      <c r="Y614">
        <f t="shared" si="27"/>
        <v>0</v>
      </c>
      <c r="Z614">
        <f t="shared" si="27"/>
        <v>0</v>
      </c>
      <c r="AA614" s="11"/>
    </row>
    <row r="615" spans="1:27" x14ac:dyDescent="0.3">
      <c r="A615" s="7">
        <v>45596</v>
      </c>
      <c r="B615">
        <v>11</v>
      </c>
      <c r="C615" t="s">
        <v>236</v>
      </c>
      <c r="D615" t="s">
        <v>26</v>
      </c>
      <c r="E615">
        <v>7</v>
      </c>
      <c r="F615">
        <v>2</v>
      </c>
      <c r="G615">
        <v>4</v>
      </c>
      <c r="H615" t="s">
        <v>27</v>
      </c>
      <c r="I615">
        <v>1</v>
      </c>
      <c r="J615" s="10">
        <v>0.39583333333333331</v>
      </c>
      <c r="K615" s="10">
        <v>0.41319444444444442</v>
      </c>
      <c r="L615" s="10">
        <f t="shared" si="20"/>
        <v>1.7361111111111105E-2</v>
      </c>
      <c r="M615" s="12">
        <f t="shared" si="26"/>
        <v>0.41666666666666652</v>
      </c>
      <c r="N615" s="12">
        <f>Table35[[#This Row],[Trip Hours]]*Table35[[#This Row],['#Angler]]</f>
        <v>0.41666666666666652</v>
      </c>
      <c r="O615" t="s">
        <v>28</v>
      </c>
      <c r="P615" t="s">
        <v>186</v>
      </c>
      <c r="Q615" t="s">
        <v>224</v>
      </c>
      <c r="R615" s="11">
        <v>0</v>
      </c>
      <c r="S615">
        <v>0</v>
      </c>
      <c r="T615">
        <v>0</v>
      </c>
      <c r="U615" s="11">
        <v>0</v>
      </c>
      <c r="V615">
        <v>0</v>
      </c>
      <c r="W615">
        <v>0</v>
      </c>
      <c r="X615" s="11">
        <f t="shared" si="27"/>
        <v>0</v>
      </c>
      <c r="Y615">
        <f t="shared" si="27"/>
        <v>0</v>
      </c>
      <c r="Z615">
        <f t="shared" si="27"/>
        <v>0</v>
      </c>
      <c r="AA615" s="11"/>
    </row>
    <row r="616" spans="1:27" x14ac:dyDescent="0.3">
      <c r="A616" s="7">
        <v>45596</v>
      </c>
      <c r="B616">
        <v>11</v>
      </c>
      <c r="C616" t="s">
        <v>236</v>
      </c>
      <c r="D616" t="s">
        <v>26</v>
      </c>
      <c r="E616">
        <v>8</v>
      </c>
      <c r="F616">
        <v>2</v>
      </c>
      <c r="G616">
        <v>4</v>
      </c>
      <c r="H616" t="s">
        <v>27</v>
      </c>
      <c r="I616">
        <v>1</v>
      </c>
      <c r="J616" s="10">
        <v>0.375</v>
      </c>
      <c r="K616" s="10">
        <v>0.41388888888888892</v>
      </c>
      <c r="L616" s="10">
        <f t="shared" si="20"/>
        <v>3.8888888888888917E-2</v>
      </c>
      <c r="M616" s="12">
        <f t="shared" si="26"/>
        <v>0.93333333333333401</v>
      </c>
      <c r="N616" s="12">
        <f>Table35[[#This Row],[Trip Hours]]*Table35[[#This Row],['#Angler]]</f>
        <v>0.93333333333333401</v>
      </c>
      <c r="O616" t="s">
        <v>28</v>
      </c>
      <c r="P616" t="s">
        <v>186</v>
      </c>
      <c r="Q616" t="s">
        <v>224</v>
      </c>
      <c r="R616" s="11">
        <v>0</v>
      </c>
      <c r="S616">
        <v>0</v>
      </c>
      <c r="T616">
        <v>0</v>
      </c>
      <c r="U616" s="11">
        <v>0</v>
      </c>
      <c r="V616">
        <v>0</v>
      </c>
      <c r="W616">
        <v>0</v>
      </c>
      <c r="X616" s="11">
        <f t="shared" si="27"/>
        <v>0</v>
      </c>
      <c r="Y616">
        <f t="shared" si="27"/>
        <v>0</v>
      </c>
      <c r="Z616">
        <f t="shared" si="27"/>
        <v>0</v>
      </c>
      <c r="AA616" s="11"/>
    </row>
    <row r="617" spans="1:27" x14ac:dyDescent="0.3">
      <c r="A617" s="7">
        <v>45596</v>
      </c>
      <c r="B617">
        <v>11</v>
      </c>
      <c r="C617" t="s">
        <v>236</v>
      </c>
      <c r="D617" t="s">
        <v>26</v>
      </c>
      <c r="E617">
        <v>9</v>
      </c>
      <c r="F617">
        <v>2</v>
      </c>
      <c r="G617">
        <v>4</v>
      </c>
      <c r="H617" t="s">
        <v>27</v>
      </c>
      <c r="I617">
        <v>2</v>
      </c>
      <c r="J617" s="10">
        <v>0.32291666666666669</v>
      </c>
      <c r="K617" s="10">
        <v>0.42083333333333334</v>
      </c>
      <c r="L617" s="10">
        <f t="shared" si="20"/>
        <v>9.7916666666666652E-2</v>
      </c>
      <c r="M617" s="12">
        <f t="shared" si="26"/>
        <v>2.3499999999999996</v>
      </c>
      <c r="N617" s="12">
        <f>Table35[[#This Row],[Trip Hours]]*Table35[[#This Row],['#Angler]]</f>
        <v>4.6999999999999993</v>
      </c>
      <c r="O617" t="s">
        <v>28</v>
      </c>
      <c r="P617" t="s">
        <v>29</v>
      </c>
      <c r="Q617" t="s">
        <v>224</v>
      </c>
      <c r="R617" s="11">
        <v>0</v>
      </c>
      <c r="S617">
        <v>0</v>
      </c>
      <c r="T617">
        <v>0</v>
      </c>
      <c r="U617" s="11">
        <v>0</v>
      </c>
      <c r="V617">
        <v>0</v>
      </c>
      <c r="W617">
        <v>1</v>
      </c>
      <c r="X617" s="11">
        <f t="shared" si="27"/>
        <v>0</v>
      </c>
      <c r="Y617">
        <f t="shared" si="27"/>
        <v>0</v>
      </c>
      <c r="Z617">
        <f t="shared" si="27"/>
        <v>1</v>
      </c>
      <c r="AA617" s="11"/>
    </row>
    <row r="618" spans="1:27" x14ac:dyDescent="0.3">
      <c r="A618" s="7">
        <v>45596</v>
      </c>
      <c r="B618">
        <v>11</v>
      </c>
      <c r="C618" t="s">
        <v>236</v>
      </c>
      <c r="D618" t="s">
        <v>26</v>
      </c>
      <c r="E618">
        <v>10</v>
      </c>
      <c r="F618">
        <v>2</v>
      </c>
      <c r="G618">
        <v>4</v>
      </c>
      <c r="H618" t="s">
        <v>27</v>
      </c>
      <c r="I618">
        <v>1</v>
      </c>
      <c r="J618" s="10">
        <v>0.39583333333333331</v>
      </c>
      <c r="K618" s="10">
        <v>0.42152777777777778</v>
      </c>
      <c r="L618" s="10">
        <f t="shared" si="20"/>
        <v>2.5694444444444464E-2</v>
      </c>
      <c r="M618" s="12">
        <f t="shared" si="26"/>
        <v>0.61666666666666714</v>
      </c>
      <c r="N618" s="12">
        <f>Table35[[#This Row],[Trip Hours]]*Table35[[#This Row],['#Angler]]</f>
        <v>0.61666666666666714</v>
      </c>
      <c r="O618" t="s">
        <v>28</v>
      </c>
      <c r="P618" t="s">
        <v>217</v>
      </c>
      <c r="Q618" t="s">
        <v>224</v>
      </c>
      <c r="R618" s="11">
        <v>0</v>
      </c>
      <c r="S618">
        <v>0</v>
      </c>
      <c r="T618">
        <v>0</v>
      </c>
      <c r="U618" s="11">
        <v>0</v>
      </c>
      <c r="V618">
        <v>0</v>
      </c>
      <c r="W618">
        <v>0</v>
      </c>
      <c r="X618" s="11">
        <f t="shared" si="27"/>
        <v>0</v>
      </c>
      <c r="Y618">
        <f t="shared" si="27"/>
        <v>0</v>
      </c>
      <c r="Z618">
        <f t="shared" si="27"/>
        <v>0</v>
      </c>
      <c r="AA618" s="11"/>
    </row>
    <row r="619" spans="1:27" x14ac:dyDescent="0.3">
      <c r="A619" s="7">
        <v>45596</v>
      </c>
      <c r="B619">
        <v>11</v>
      </c>
      <c r="C619" t="s">
        <v>236</v>
      </c>
      <c r="D619" t="s">
        <v>26</v>
      </c>
      <c r="E619">
        <v>11</v>
      </c>
      <c r="F619">
        <v>2</v>
      </c>
      <c r="G619">
        <v>4</v>
      </c>
      <c r="H619" t="s">
        <v>27</v>
      </c>
      <c r="I619">
        <v>2</v>
      </c>
      <c r="J619" s="10">
        <v>0.39583333333333331</v>
      </c>
      <c r="K619" s="10">
        <v>0.42222222222222222</v>
      </c>
      <c r="L619" s="10">
        <f t="shared" si="20"/>
        <v>2.6388888888888906E-2</v>
      </c>
      <c r="M619" s="12">
        <f t="shared" si="26"/>
        <v>0.63333333333333375</v>
      </c>
      <c r="N619" s="12">
        <f>Table35[[#This Row],[Trip Hours]]*Table35[[#This Row],['#Angler]]</f>
        <v>1.2666666666666675</v>
      </c>
      <c r="O619" t="s">
        <v>28</v>
      </c>
      <c r="P619" t="s">
        <v>29</v>
      </c>
      <c r="Q619" t="s">
        <v>224</v>
      </c>
      <c r="R619" s="11">
        <v>0</v>
      </c>
      <c r="S619">
        <v>0</v>
      </c>
      <c r="T619">
        <v>0</v>
      </c>
      <c r="U619" s="11">
        <v>0</v>
      </c>
      <c r="V619">
        <v>0</v>
      </c>
      <c r="W619">
        <v>0</v>
      </c>
      <c r="X619" s="11">
        <f t="shared" si="27"/>
        <v>0</v>
      </c>
      <c r="Y619">
        <f t="shared" si="27"/>
        <v>0</v>
      </c>
      <c r="Z619">
        <f t="shared" si="27"/>
        <v>0</v>
      </c>
      <c r="AA619" s="11"/>
    </row>
    <row r="620" spans="1:27" x14ac:dyDescent="0.3">
      <c r="A620" s="7">
        <v>45596</v>
      </c>
      <c r="B620">
        <v>11</v>
      </c>
      <c r="C620" t="s">
        <v>236</v>
      </c>
      <c r="D620" t="s">
        <v>26</v>
      </c>
      <c r="E620">
        <v>12</v>
      </c>
      <c r="F620">
        <v>2</v>
      </c>
      <c r="G620">
        <v>5</v>
      </c>
      <c r="H620" t="s">
        <v>27</v>
      </c>
      <c r="I620">
        <v>1</v>
      </c>
      <c r="J620" s="10">
        <v>0.375</v>
      </c>
      <c r="K620" s="10">
        <v>0.43402777777777773</v>
      </c>
      <c r="L620" s="10">
        <f t="shared" si="20"/>
        <v>5.9027777777777735E-2</v>
      </c>
      <c r="M620" s="12">
        <f t="shared" si="26"/>
        <v>1.4166666666666656</v>
      </c>
      <c r="N620" s="12">
        <f>Table35[[#This Row],[Trip Hours]]*Table35[[#This Row],['#Angler]]</f>
        <v>1.4166666666666656</v>
      </c>
      <c r="O620" t="s">
        <v>28</v>
      </c>
      <c r="P620" t="s">
        <v>217</v>
      </c>
      <c r="Q620" t="s">
        <v>224</v>
      </c>
      <c r="R620" s="11">
        <v>0</v>
      </c>
      <c r="S620">
        <v>0</v>
      </c>
      <c r="T620">
        <v>0</v>
      </c>
      <c r="U620" s="11">
        <v>0</v>
      </c>
      <c r="V620">
        <v>0</v>
      </c>
      <c r="W620">
        <v>3</v>
      </c>
      <c r="X620" s="11">
        <f t="shared" si="27"/>
        <v>0</v>
      </c>
      <c r="Y620">
        <f t="shared" si="27"/>
        <v>0</v>
      </c>
      <c r="Z620">
        <f t="shared" si="27"/>
        <v>3</v>
      </c>
      <c r="AA620" s="11"/>
    </row>
    <row r="621" spans="1:27" x14ac:dyDescent="0.3">
      <c r="A621" s="7">
        <v>45596</v>
      </c>
      <c r="B621">
        <v>11</v>
      </c>
      <c r="C621" t="s">
        <v>236</v>
      </c>
      <c r="D621" t="s">
        <v>26</v>
      </c>
      <c r="E621">
        <v>13</v>
      </c>
      <c r="F621">
        <v>2</v>
      </c>
      <c r="G621">
        <v>5</v>
      </c>
      <c r="H621" t="s">
        <v>27</v>
      </c>
      <c r="I621">
        <v>2</v>
      </c>
      <c r="J621" s="10">
        <v>0.39583333333333331</v>
      </c>
      <c r="K621" s="10">
        <v>0.4375</v>
      </c>
      <c r="L621" s="10">
        <f t="shared" si="20"/>
        <v>4.1666666666666685E-2</v>
      </c>
      <c r="M621" s="12">
        <f t="shared" si="26"/>
        <v>1.0000000000000004</v>
      </c>
      <c r="N621" s="12">
        <f>Table35[[#This Row],[Trip Hours]]*Table35[[#This Row],['#Angler]]</f>
        <v>2.0000000000000009</v>
      </c>
      <c r="O621" t="s">
        <v>28</v>
      </c>
      <c r="P621" t="s">
        <v>186</v>
      </c>
      <c r="Q621" t="s">
        <v>224</v>
      </c>
      <c r="R621" s="11">
        <v>0</v>
      </c>
      <c r="S621">
        <v>0</v>
      </c>
      <c r="T621">
        <v>3</v>
      </c>
      <c r="U621" s="11">
        <v>0</v>
      </c>
      <c r="V621">
        <v>0</v>
      </c>
      <c r="W621">
        <v>0</v>
      </c>
      <c r="X621" s="11">
        <f t="shared" si="27"/>
        <v>0</v>
      </c>
      <c r="Y621">
        <f t="shared" si="27"/>
        <v>0</v>
      </c>
      <c r="Z621">
        <f t="shared" si="27"/>
        <v>3</v>
      </c>
      <c r="AA621" s="11"/>
    </row>
    <row r="622" spans="1:27" x14ac:dyDescent="0.3">
      <c r="A622" s="7">
        <v>45596</v>
      </c>
      <c r="B622">
        <v>11</v>
      </c>
      <c r="C622" t="s">
        <v>236</v>
      </c>
      <c r="D622" t="s">
        <v>26</v>
      </c>
      <c r="E622">
        <v>14</v>
      </c>
      <c r="F622">
        <v>2</v>
      </c>
      <c r="G622">
        <v>4</v>
      </c>
      <c r="H622" t="s">
        <v>27</v>
      </c>
      <c r="I622">
        <v>1</v>
      </c>
      <c r="J622" s="10">
        <v>0.41666666666666669</v>
      </c>
      <c r="K622" s="10">
        <v>0.45416666666666666</v>
      </c>
      <c r="L622" s="10">
        <f t="shared" si="20"/>
        <v>3.7499999999999978E-2</v>
      </c>
      <c r="M622" s="12">
        <f t="shared" si="26"/>
        <v>0.89999999999999947</v>
      </c>
      <c r="N622" s="12">
        <f>Table35[[#This Row],[Trip Hours]]*Table35[[#This Row],['#Angler]]</f>
        <v>0.89999999999999947</v>
      </c>
      <c r="O622" t="s">
        <v>25</v>
      </c>
      <c r="P622" t="s">
        <v>217</v>
      </c>
      <c r="Q622" t="s">
        <v>224</v>
      </c>
      <c r="R622" s="11">
        <v>0</v>
      </c>
      <c r="S622">
        <v>0</v>
      </c>
      <c r="T622">
        <v>0</v>
      </c>
      <c r="U622" s="11">
        <v>0</v>
      </c>
      <c r="V622">
        <v>0</v>
      </c>
      <c r="W622">
        <v>0</v>
      </c>
      <c r="X622" s="11">
        <f t="shared" si="27"/>
        <v>0</v>
      </c>
      <c r="Y622">
        <f t="shared" si="27"/>
        <v>0</v>
      </c>
      <c r="Z622">
        <f t="shared" si="27"/>
        <v>0</v>
      </c>
      <c r="AA622" s="11"/>
    </row>
    <row r="623" spans="1:27" x14ac:dyDescent="0.3">
      <c r="A623" s="7">
        <v>45596</v>
      </c>
      <c r="B623">
        <v>11</v>
      </c>
      <c r="C623" t="s">
        <v>236</v>
      </c>
      <c r="D623" t="s">
        <v>26</v>
      </c>
      <c r="E623">
        <v>15</v>
      </c>
      <c r="F623">
        <v>2</v>
      </c>
      <c r="G623">
        <v>4</v>
      </c>
      <c r="H623" t="s">
        <v>27</v>
      </c>
      <c r="I623">
        <v>1</v>
      </c>
      <c r="J623" s="10">
        <v>0.375</v>
      </c>
      <c r="K623" s="10">
        <v>0.46319444444444446</v>
      </c>
      <c r="L623" s="10">
        <f t="shared" si="20"/>
        <v>8.8194444444444464E-2</v>
      </c>
      <c r="M623" s="12">
        <f t="shared" si="26"/>
        <v>2.1166666666666671</v>
      </c>
      <c r="N623" s="12">
        <f>Table35[[#This Row],[Trip Hours]]*Table35[[#This Row],['#Angler]]</f>
        <v>2.1166666666666671</v>
      </c>
      <c r="O623" t="s">
        <v>25</v>
      </c>
      <c r="P623" t="s">
        <v>29</v>
      </c>
      <c r="Q623" t="s">
        <v>224</v>
      </c>
      <c r="R623" s="11">
        <v>0</v>
      </c>
      <c r="S623">
        <v>0</v>
      </c>
      <c r="T623">
        <v>3</v>
      </c>
      <c r="U623" s="11">
        <v>0</v>
      </c>
      <c r="V623">
        <v>0</v>
      </c>
      <c r="W623">
        <v>0</v>
      </c>
      <c r="X623" s="11">
        <f t="shared" si="27"/>
        <v>0</v>
      </c>
      <c r="Y623">
        <f t="shared" si="27"/>
        <v>0</v>
      </c>
      <c r="Z623">
        <f t="shared" si="27"/>
        <v>3</v>
      </c>
      <c r="AA623" s="11"/>
    </row>
    <row r="624" spans="1:27" x14ac:dyDescent="0.3">
      <c r="A624" s="7">
        <v>45596</v>
      </c>
      <c r="B624">
        <v>11</v>
      </c>
      <c r="C624" t="s">
        <v>236</v>
      </c>
      <c r="D624" t="s">
        <v>26</v>
      </c>
      <c r="E624">
        <v>16</v>
      </c>
      <c r="F624">
        <v>2</v>
      </c>
      <c r="G624">
        <v>4</v>
      </c>
      <c r="H624" t="s">
        <v>27</v>
      </c>
      <c r="I624">
        <v>2</v>
      </c>
      <c r="J624" s="10">
        <v>0.375</v>
      </c>
      <c r="K624" s="10">
        <v>0.46527777777777773</v>
      </c>
      <c r="L624" s="10">
        <f t="shared" si="20"/>
        <v>9.0277777777777735E-2</v>
      </c>
      <c r="M624" s="12">
        <f t="shared" si="26"/>
        <v>2.1666666666666656</v>
      </c>
      <c r="N624" s="12">
        <f>Table35[[#This Row],[Trip Hours]]*Table35[[#This Row],['#Angler]]</f>
        <v>4.3333333333333313</v>
      </c>
      <c r="O624" t="s">
        <v>28</v>
      </c>
      <c r="P624" t="s">
        <v>217</v>
      </c>
      <c r="Q624" t="s">
        <v>224</v>
      </c>
      <c r="R624" s="11">
        <v>0</v>
      </c>
      <c r="S624">
        <v>0</v>
      </c>
      <c r="T624">
        <v>3</v>
      </c>
      <c r="U624" s="11">
        <v>0</v>
      </c>
      <c r="V624">
        <v>0</v>
      </c>
      <c r="W624">
        <v>0</v>
      </c>
      <c r="X624" s="11">
        <f t="shared" si="27"/>
        <v>0</v>
      </c>
      <c r="Y624">
        <f t="shared" si="27"/>
        <v>0</v>
      </c>
      <c r="Z624">
        <f t="shared" si="27"/>
        <v>3</v>
      </c>
      <c r="AA624" s="11"/>
    </row>
    <row r="625" spans="1:27" x14ac:dyDescent="0.3">
      <c r="A625" s="7">
        <v>45596</v>
      </c>
      <c r="B625">
        <v>11</v>
      </c>
      <c r="C625" t="s">
        <v>236</v>
      </c>
      <c r="D625" t="s">
        <v>26</v>
      </c>
      <c r="E625">
        <v>17</v>
      </c>
      <c r="F625">
        <v>2</v>
      </c>
      <c r="G625">
        <v>4</v>
      </c>
      <c r="H625" t="s">
        <v>27</v>
      </c>
      <c r="I625">
        <v>1</v>
      </c>
      <c r="J625" s="10">
        <v>0.35416666666666669</v>
      </c>
      <c r="K625" s="10">
        <v>0.46527777777777773</v>
      </c>
      <c r="L625" s="10">
        <f t="shared" si="20"/>
        <v>0.11111111111111105</v>
      </c>
      <c r="M625" s="12">
        <f t="shared" si="26"/>
        <v>2.6666666666666652</v>
      </c>
      <c r="N625" s="12">
        <f>Table35[[#This Row],[Trip Hours]]*Table35[[#This Row],['#Angler]]</f>
        <v>2.6666666666666652</v>
      </c>
      <c r="O625" t="s">
        <v>28</v>
      </c>
      <c r="P625" t="s">
        <v>217</v>
      </c>
      <c r="Q625" t="s">
        <v>224</v>
      </c>
      <c r="R625" s="11">
        <v>0</v>
      </c>
      <c r="S625">
        <v>0</v>
      </c>
      <c r="T625">
        <v>2</v>
      </c>
      <c r="U625" s="11">
        <v>0</v>
      </c>
      <c r="V625">
        <v>0</v>
      </c>
      <c r="W625">
        <v>0</v>
      </c>
      <c r="X625" s="11">
        <f t="shared" si="27"/>
        <v>0</v>
      </c>
      <c r="Y625">
        <f t="shared" si="27"/>
        <v>0</v>
      </c>
      <c r="Z625">
        <f t="shared" si="27"/>
        <v>2</v>
      </c>
      <c r="AA625" s="11"/>
    </row>
    <row r="626" spans="1:27" x14ac:dyDescent="0.3">
      <c r="A626" s="7">
        <v>45596</v>
      </c>
      <c r="B626">
        <v>11</v>
      </c>
      <c r="C626" t="s">
        <v>236</v>
      </c>
      <c r="D626" t="s">
        <v>26</v>
      </c>
      <c r="E626">
        <v>18</v>
      </c>
      <c r="F626">
        <v>2</v>
      </c>
      <c r="G626">
        <v>4</v>
      </c>
      <c r="H626" t="s">
        <v>27</v>
      </c>
      <c r="I626">
        <v>1</v>
      </c>
      <c r="J626" s="10">
        <v>0.43055555555555558</v>
      </c>
      <c r="K626" s="10">
        <v>0.46597222222222223</v>
      </c>
      <c r="L626" s="10">
        <f t="shared" si="20"/>
        <v>3.5416666666666652E-2</v>
      </c>
      <c r="M626" s="12">
        <f t="shared" si="26"/>
        <v>0.84999999999999964</v>
      </c>
      <c r="N626" s="12">
        <f>Table35[[#This Row],[Trip Hours]]*Table35[[#This Row],['#Angler]]</f>
        <v>0.84999999999999964</v>
      </c>
      <c r="O626" t="s">
        <v>28</v>
      </c>
      <c r="P626" t="s">
        <v>217</v>
      </c>
      <c r="Q626" t="s">
        <v>224</v>
      </c>
      <c r="R626" s="11">
        <v>0</v>
      </c>
      <c r="S626">
        <v>0</v>
      </c>
      <c r="T626">
        <v>0</v>
      </c>
      <c r="U626" s="11">
        <v>0</v>
      </c>
      <c r="V626">
        <v>0</v>
      </c>
      <c r="W626">
        <v>1</v>
      </c>
      <c r="X626" s="11">
        <f t="shared" si="27"/>
        <v>0</v>
      </c>
      <c r="Y626">
        <f t="shared" si="27"/>
        <v>0</v>
      </c>
      <c r="Z626">
        <f t="shared" si="27"/>
        <v>1</v>
      </c>
      <c r="AA626" s="11"/>
    </row>
    <row r="627" spans="1:27" x14ac:dyDescent="0.3">
      <c r="A627" s="7">
        <v>45596</v>
      </c>
      <c r="B627">
        <v>11</v>
      </c>
      <c r="C627" t="s">
        <v>236</v>
      </c>
      <c r="D627" t="s">
        <v>26</v>
      </c>
      <c r="E627">
        <v>19</v>
      </c>
      <c r="F627">
        <v>2</v>
      </c>
      <c r="G627">
        <v>4</v>
      </c>
      <c r="H627" t="s">
        <v>27</v>
      </c>
      <c r="I627">
        <v>1</v>
      </c>
      <c r="J627" s="10">
        <v>0.375</v>
      </c>
      <c r="K627" s="10">
        <v>0.46666666666666662</v>
      </c>
      <c r="L627" s="10">
        <f t="shared" si="20"/>
        <v>9.1666666666666619E-2</v>
      </c>
      <c r="M627" s="12">
        <f t="shared" si="26"/>
        <v>2.1999999999999988</v>
      </c>
      <c r="N627" s="12">
        <f>Table35[[#This Row],[Trip Hours]]*Table35[[#This Row],['#Angler]]</f>
        <v>2.1999999999999988</v>
      </c>
      <c r="O627" t="s">
        <v>28</v>
      </c>
      <c r="P627" t="s">
        <v>217</v>
      </c>
      <c r="Q627" t="s">
        <v>224</v>
      </c>
      <c r="R627" s="11">
        <v>0</v>
      </c>
      <c r="S627">
        <v>0</v>
      </c>
      <c r="T627">
        <v>0</v>
      </c>
      <c r="U627" s="11">
        <v>0</v>
      </c>
      <c r="V627">
        <v>0</v>
      </c>
      <c r="W627">
        <v>3</v>
      </c>
      <c r="X627" s="11">
        <f t="shared" si="27"/>
        <v>0</v>
      </c>
      <c r="Y627">
        <f t="shared" si="27"/>
        <v>0</v>
      </c>
      <c r="Z627">
        <f t="shared" si="27"/>
        <v>3</v>
      </c>
      <c r="AA627" s="11"/>
    </row>
    <row r="628" spans="1:27" x14ac:dyDescent="0.3">
      <c r="A628" s="7">
        <v>45596</v>
      </c>
      <c r="B628">
        <v>11</v>
      </c>
      <c r="C628" t="s">
        <v>236</v>
      </c>
      <c r="D628" t="s">
        <v>26</v>
      </c>
      <c r="E628">
        <v>20</v>
      </c>
      <c r="F628">
        <v>2</v>
      </c>
      <c r="G628">
        <v>4</v>
      </c>
      <c r="H628" t="s">
        <v>27</v>
      </c>
      <c r="I628">
        <v>2</v>
      </c>
      <c r="J628" s="10">
        <v>0.4548611111111111</v>
      </c>
      <c r="K628" s="10">
        <v>0.46666666666666662</v>
      </c>
      <c r="L628" s="10">
        <f t="shared" si="20"/>
        <v>1.1805555555555514E-2</v>
      </c>
      <c r="M628" s="12">
        <f t="shared" si="26"/>
        <v>0.28333333333333233</v>
      </c>
      <c r="N628" s="12">
        <f>Table35[[#This Row],[Trip Hours]]*Table35[[#This Row],['#Angler]]</f>
        <v>0.56666666666666465</v>
      </c>
      <c r="O628" t="s">
        <v>28</v>
      </c>
      <c r="P628" t="s">
        <v>186</v>
      </c>
      <c r="Q628" t="s">
        <v>224</v>
      </c>
      <c r="R628" s="11">
        <v>0</v>
      </c>
      <c r="S628">
        <v>0</v>
      </c>
      <c r="T628">
        <v>0</v>
      </c>
      <c r="U628" s="11">
        <v>0</v>
      </c>
      <c r="V628">
        <v>0</v>
      </c>
      <c r="W628">
        <v>0</v>
      </c>
      <c r="X628" s="11">
        <f t="shared" si="27"/>
        <v>0</v>
      </c>
      <c r="Y628">
        <f t="shared" si="27"/>
        <v>0</v>
      </c>
      <c r="Z628">
        <f t="shared" si="27"/>
        <v>0</v>
      </c>
      <c r="AA628" s="11"/>
    </row>
    <row r="629" spans="1:27" x14ac:dyDescent="0.3">
      <c r="A629" s="7">
        <v>45596</v>
      </c>
      <c r="B629">
        <v>11</v>
      </c>
      <c r="C629" t="s">
        <v>236</v>
      </c>
      <c r="D629" t="s">
        <v>26</v>
      </c>
      <c r="E629">
        <v>21</v>
      </c>
      <c r="F629">
        <v>2</v>
      </c>
      <c r="G629">
        <v>4</v>
      </c>
      <c r="H629" t="s">
        <v>27</v>
      </c>
      <c r="I629">
        <v>1</v>
      </c>
      <c r="J629" s="10">
        <v>0.39583333333333331</v>
      </c>
      <c r="K629" s="10">
        <v>0.46736111111111112</v>
      </c>
      <c r="L629" s="10">
        <f t="shared" si="20"/>
        <v>7.1527777777777801E-2</v>
      </c>
      <c r="M629" s="12">
        <f t="shared" si="26"/>
        <v>1.7166666666666672</v>
      </c>
      <c r="N629" s="12">
        <f>Table35[[#This Row],[Trip Hours]]*Table35[[#This Row],['#Angler]]</f>
        <v>1.7166666666666672</v>
      </c>
      <c r="O629" t="s">
        <v>28</v>
      </c>
      <c r="P629" t="s">
        <v>217</v>
      </c>
      <c r="Q629" t="s">
        <v>224</v>
      </c>
      <c r="R629" s="11">
        <v>0</v>
      </c>
      <c r="S629">
        <v>0</v>
      </c>
      <c r="T629">
        <v>1</v>
      </c>
      <c r="U629" s="11">
        <v>0</v>
      </c>
      <c r="V629">
        <v>0</v>
      </c>
      <c r="W629">
        <v>0</v>
      </c>
      <c r="X629" s="11">
        <f t="shared" si="27"/>
        <v>0</v>
      </c>
      <c r="Y629">
        <f t="shared" si="27"/>
        <v>0</v>
      </c>
      <c r="Z629">
        <f t="shared" si="27"/>
        <v>1</v>
      </c>
      <c r="AA629" s="11"/>
    </row>
    <row r="630" spans="1:27" x14ac:dyDescent="0.3">
      <c r="A630" s="7">
        <v>45596</v>
      </c>
      <c r="B630">
        <v>11</v>
      </c>
      <c r="C630" t="s">
        <v>236</v>
      </c>
      <c r="D630" t="s">
        <v>26</v>
      </c>
      <c r="E630">
        <v>22</v>
      </c>
      <c r="F630">
        <v>2</v>
      </c>
      <c r="G630">
        <v>4</v>
      </c>
      <c r="H630" t="s">
        <v>27</v>
      </c>
      <c r="I630">
        <v>1</v>
      </c>
      <c r="J630" s="10">
        <v>0.39583333333333331</v>
      </c>
      <c r="K630" s="10">
        <v>0.4680555555555555</v>
      </c>
      <c r="L630" s="10">
        <f t="shared" si="20"/>
        <v>7.2222222222222188E-2</v>
      </c>
      <c r="M630" s="12">
        <f t="shared" si="26"/>
        <v>1.7333333333333325</v>
      </c>
      <c r="N630" s="12">
        <f>Table35[[#This Row],[Trip Hours]]*Table35[[#This Row],['#Angler]]</f>
        <v>1.7333333333333325</v>
      </c>
      <c r="O630" t="s">
        <v>28</v>
      </c>
      <c r="P630" t="s">
        <v>217</v>
      </c>
      <c r="Q630" t="s">
        <v>224</v>
      </c>
      <c r="R630" s="11">
        <v>0</v>
      </c>
      <c r="S630">
        <v>0</v>
      </c>
      <c r="T630">
        <v>0</v>
      </c>
      <c r="U630" s="11">
        <v>0</v>
      </c>
      <c r="V630">
        <v>0</v>
      </c>
      <c r="W630">
        <v>3</v>
      </c>
      <c r="X630" s="11">
        <f t="shared" si="27"/>
        <v>0</v>
      </c>
      <c r="Y630">
        <f t="shared" si="27"/>
        <v>0</v>
      </c>
      <c r="Z630">
        <f t="shared" si="27"/>
        <v>3</v>
      </c>
      <c r="AA630" s="11"/>
    </row>
    <row r="631" spans="1:27" x14ac:dyDescent="0.3">
      <c r="A631" s="7">
        <v>45596</v>
      </c>
      <c r="B631">
        <v>11</v>
      </c>
      <c r="C631" t="s">
        <v>236</v>
      </c>
      <c r="D631" t="s">
        <v>26</v>
      </c>
      <c r="E631">
        <v>23</v>
      </c>
      <c r="F631">
        <v>2</v>
      </c>
      <c r="G631">
        <v>4</v>
      </c>
      <c r="H631" t="s">
        <v>27</v>
      </c>
      <c r="I631">
        <v>2</v>
      </c>
      <c r="J631" s="10">
        <v>0.35416666666666669</v>
      </c>
      <c r="K631" s="10">
        <v>0.46875</v>
      </c>
      <c r="L631" s="10">
        <f t="shared" si="20"/>
        <v>0.11458333333333331</v>
      </c>
      <c r="M631" s="12">
        <f t="shared" si="26"/>
        <v>2.7499999999999996</v>
      </c>
      <c r="N631" s="12">
        <f>Table35[[#This Row],[Trip Hours]]*Table35[[#This Row],['#Angler]]</f>
        <v>5.4999999999999991</v>
      </c>
      <c r="O631" t="s">
        <v>28</v>
      </c>
      <c r="P631" t="s">
        <v>29</v>
      </c>
      <c r="Q631" t="s">
        <v>224</v>
      </c>
      <c r="R631" s="11">
        <v>0</v>
      </c>
      <c r="S631">
        <v>0</v>
      </c>
      <c r="T631">
        <v>1</v>
      </c>
      <c r="U631" s="11">
        <v>0</v>
      </c>
      <c r="V631">
        <v>0</v>
      </c>
      <c r="W631">
        <v>4</v>
      </c>
      <c r="X631" s="11">
        <f t="shared" si="27"/>
        <v>0</v>
      </c>
      <c r="Y631">
        <f t="shared" si="27"/>
        <v>0</v>
      </c>
      <c r="Z631">
        <f t="shared" si="27"/>
        <v>5</v>
      </c>
      <c r="AA631" s="11"/>
    </row>
    <row r="632" spans="1:27" x14ac:dyDescent="0.3">
      <c r="A632" s="7">
        <v>45596</v>
      </c>
      <c r="B632">
        <v>11</v>
      </c>
      <c r="C632" t="s">
        <v>236</v>
      </c>
      <c r="D632" t="s">
        <v>26</v>
      </c>
      <c r="E632">
        <v>24</v>
      </c>
      <c r="F632">
        <v>2</v>
      </c>
      <c r="G632">
        <v>4</v>
      </c>
      <c r="H632" t="s">
        <v>27</v>
      </c>
      <c r="I632">
        <v>1</v>
      </c>
      <c r="J632" s="10">
        <v>0.375</v>
      </c>
      <c r="K632" s="10">
        <v>0.4694444444444445</v>
      </c>
      <c r="L632" s="10">
        <f t="shared" si="20"/>
        <v>9.4444444444444497E-2</v>
      </c>
      <c r="M632" s="12">
        <f t="shared" si="26"/>
        <v>2.2666666666666679</v>
      </c>
      <c r="N632" s="12">
        <f>Table35[[#This Row],[Trip Hours]]*Table35[[#This Row],['#Angler]]</f>
        <v>2.2666666666666679</v>
      </c>
      <c r="O632" t="s">
        <v>28</v>
      </c>
      <c r="P632" t="s">
        <v>29</v>
      </c>
      <c r="Q632" t="s">
        <v>224</v>
      </c>
      <c r="R632" s="11">
        <v>0</v>
      </c>
      <c r="S632">
        <v>0</v>
      </c>
      <c r="T632">
        <v>0</v>
      </c>
      <c r="U632" s="11">
        <v>0</v>
      </c>
      <c r="V632">
        <v>0</v>
      </c>
      <c r="W632">
        <v>1</v>
      </c>
      <c r="X632" s="11">
        <f t="shared" si="27"/>
        <v>0</v>
      </c>
      <c r="Y632">
        <f t="shared" si="27"/>
        <v>0</v>
      </c>
      <c r="Z632">
        <f t="shared" si="27"/>
        <v>1</v>
      </c>
      <c r="AA632" s="11"/>
    </row>
    <row r="633" spans="1:27" x14ac:dyDescent="0.3">
      <c r="A633" s="7">
        <v>45596</v>
      </c>
      <c r="B633">
        <v>11</v>
      </c>
      <c r="C633" t="s">
        <v>236</v>
      </c>
      <c r="D633" t="s">
        <v>42</v>
      </c>
      <c r="E633">
        <v>25</v>
      </c>
      <c r="F633">
        <v>3</v>
      </c>
      <c r="G633">
        <v>5</v>
      </c>
      <c r="H633" t="s">
        <v>27</v>
      </c>
      <c r="I633">
        <v>1</v>
      </c>
      <c r="J633" s="10">
        <v>0.60416666666666663</v>
      </c>
      <c r="K633" s="10">
        <v>0.6791666666666667</v>
      </c>
      <c r="L633" s="10">
        <f t="shared" si="20"/>
        <v>7.5000000000000067E-2</v>
      </c>
      <c r="M633" s="12">
        <f t="shared" si="26"/>
        <v>1.8000000000000016</v>
      </c>
      <c r="N633" s="12">
        <f>Table35[[#This Row],[Trip Hours]]*Table35[[#This Row],['#Angler]]</f>
        <v>1.8000000000000016</v>
      </c>
      <c r="O633" t="s">
        <v>25</v>
      </c>
      <c r="P633" t="s">
        <v>51</v>
      </c>
      <c r="Q633" t="s">
        <v>241</v>
      </c>
      <c r="R633" s="11">
        <v>0</v>
      </c>
      <c r="S633">
        <v>0</v>
      </c>
      <c r="T633">
        <v>0</v>
      </c>
      <c r="U633" s="11">
        <v>0</v>
      </c>
      <c r="V633">
        <v>0</v>
      </c>
      <c r="W633">
        <v>0</v>
      </c>
      <c r="X633" s="11">
        <f t="shared" si="27"/>
        <v>0</v>
      </c>
      <c r="Y633">
        <f t="shared" si="27"/>
        <v>0</v>
      </c>
      <c r="Z633">
        <f t="shared" si="27"/>
        <v>0</v>
      </c>
      <c r="AA633" s="11"/>
    </row>
    <row r="634" spans="1:27" x14ac:dyDescent="0.3">
      <c r="A634" s="7">
        <v>45596</v>
      </c>
      <c r="B634">
        <v>11</v>
      </c>
      <c r="C634" t="s">
        <v>236</v>
      </c>
      <c r="D634" t="s">
        <v>42</v>
      </c>
      <c r="E634">
        <v>26</v>
      </c>
      <c r="F634">
        <v>3</v>
      </c>
      <c r="G634">
        <v>8</v>
      </c>
      <c r="H634" t="s">
        <v>27</v>
      </c>
      <c r="I634">
        <v>1</v>
      </c>
      <c r="J634" s="10">
        <v>0.66666666666666663</v>
      </c>
      <c r="K634" s="10">
        <v>0.72638888888888886</v>
      </c>
      <c r="L634" s="10">
        <f t="shared" si="20"/>
        <v>5.9722222222222232E-2</v>
      </c>
      <c r="M634" s="12">
        <f t="shared" si="26"/>
        <v>1.4333333333333336</v>
      </c>
      <c r="N634" s="12">
        <f>Table35[[#This Row],[Trip Hours]]*Table35[[#This Row],['#Angler]]</f>
        <v>1.4333333333333336</v>
      </c>
      <c r="O634" t="s">
        <v>25</v>
      </c>
      <c r="P634" t="s">
        <v>51</v>
      </c>
      <c r="Q634" t="s">
        <v>311</v>
      </c>
      <c r="R634" s="11">
        <v>0</v>
      </c>
      <c r="S634">
        <v>0</v>
      </c>
      <c r="T634">
        <v>0</v>
      </c>
      <c r="U634" s="11">
        <v>0</v>
      </c>
      <c r="V634">
        <v>0</v>
      </c>
      <c r="W634">
        <v>0</v>
      </c>
      <c r="X634" s="11">
        <f t="shared" si="27"/>
        <v>0</v>
      </c>
      <c r="Y634">
        <f t="shared" si="27"/>
        <v>0</v>
      </c>
      <c r="Z634">
        <f t="shared" si="27"/>
        <v>0</v>
      </c>
      <c r="AA634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528B-E6CB-400F-BCAB-160E152E96EE}">
  <dimension ref="A1:Y841"/>
  <sheetViews>
    <sheetView tabSelected="1" workbookViewId="0">
      <pane ySplit="1" topLeftCell="A819" activePane="bottomLeft" state="frozen"/>
      <selection activeCell="H841" sqref="H841"/>
      <selection pane="bottomLeft" activeCell="H841" sqref="H841"/>
    </sheetView>
  </sheetViews>
  <sheetFormatPr defaultRowHeight="14.4" x14ac:dyDescent="0.3"/>
  <cols>
    <col min="2" max="2" width="10.44140625" bestFit="1" customWidth="1"/>
    <col min="3" max="3" width="4.6640625" customWidth="1"/>
    <col min="4" max="4" width="5.44140625" customWidth="1"/>
    <col min="5" max="7" width="3.88671875" customWidth="1"/>
    <col min="11" max="11" width="0" style="2" hidden="1" customWidth="1"/>
    <col min="15" max="15" width="8.88671875" style="3"/>
    <col min="16" max="16" width="8.88671875" style="4"/>
    <col min="17" max="17" width="8.88671875" style="5"/>
    <col min="18" max="18" width="8.88671875" style="6"/>
    <col min="19" max="19" width="8.88671875" style="3"/>
    <col min="20" max="20" width="8.88671875" style="4"/>
    <col min="21" max="21" width="8.88671875" style="5"/>
    <col min="22" max="22" width="8.88671875" style="6"/>
  </cols>
  <sheetData>
    <row r="1" spans="1:25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s="3" t="s">
        <v>14</v>
      </c>
      <c r="P1" s="4" t="s">
        <v>15</v>
      </c>
      <c r="Q1" s="5" t="s">
        <v>16</v>
      </c>
      <c r="R1" s="6" t="s">
        <v>17</v>
      </c>
      <c r="S1" s="3" t="s">
        <v>18</v>
      </c>
      <c r="T1" s="4" t="s">
        <v>19</v>
      </c>
      <c r="U1" s="5" t="s">
        <v>20</v>
      </c>
      <c r="V1" s="6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s="7">
        <v>45158</v>
      </c>
      <c r="C2" s="7" t="s">
        <v>26</v>
      </c>
      <c r="D2">
        <v>1</v>
      </c>
      <c r="E2">
        <v>2</v>
      </c>
      <c r="F2">
        <v>4</v>
      </c>
      <c r="G2" t="s">
        <v>27</v>
      </c>
      <c r="H2">
        <v>1</v>
      </c>
      <c r="I2" s="8">
        <v>0.23958333333333334</v>
      </c>
      <c r="J2" s="8">
        <v>0.29375000000000001</v>
      </c>
      <c r="K2" s="9">
        <f>(J2-I2)*24*H2</f>
        <v>1.3</v>
      </c>
      <c r="L2" t="s">
        <v>28</v>
      </c>
      <c r="M2" t="s">
        <v>29</v>
      </c>
      <c r="N2" t="s">
        <v>27</v>
      </c>
      <c r="O2" s="3">
        <v>0</v>
      </c>
      <c r="P2" s="4">
        <v>0</v>
      </c>
      <c r="Q2" s="5">
        <v>0</v>
      </c>
      <c r="R2" s="6">
        <v>0</v>
      </c>
      <c r="S2" s="3">
        <v>0</v>
      </c>
      <c r="T2" s="4">
        <v>0</v>
      </c>
      <c r="U2" s="5">
        <v>0</v>
      </c>
      <c r="V2" s="6">
        <v>0</v>
      </c>
    </row>
    <row r="3" spans="1:25" x14ac:dyDescent="0.3">
      <c r="A3" t="s">
        <v>25</v>
      </c>
      <c r="B3" s="7">
        <v>45158</v>
      </c>
      <c r="C3" s="7" t="s">
        <v>26</v>
      </c>
      <c r="D3">
        <v>2</v>
      </c>
      <c r="E3">
        <v>2</v>
      </c>
      <c r="F3">
        <v>4</v>
      </c>
      <c r="G3" t="s">
        <v>27</v>
      </c>
      <c r="H3">
        <v>4</v>
      </c>
      <c r="I3" s="8">
        <v>0.23958333333333334</v>
      </c>
      <c r="J3" s="8">
        <v>0.3</v>
      </c>
      <c r="K3" s="9">
        <f t="shared" ref="K3:K66" si="0">(J3-I3)*24*H3</f>
        <v>5.799999999999998</v>
      </c>
      <c r="L3" t="s">
        <v>28</v>
      </c>
      <c r="M3" t="s">
        <v>29</v>
      </c>
      <c r="N3" t="s">
        <v>27</v>
      </c>
      <c r="O3" s="3">
        <v>1</v>
      </c>
      <c r="P3" s="4">
        <v>0</v>
      </c>
      <c r="Q3" s="5">
        <v>0</v>
      </c>
      <c r="R3" s="6">
        <v>0</v>
      </c>
      <c r="S3" s="3">
        <v>0</v>
      </c>
      <c r="T3" s="4">
        <v>0</v>
      </c>
      <c r="U3" s="5">
        <v>0</v>
      </c>
      <c r="V3" s="6">
        <v>0</v>
      </c>
      <c r="Y3" t="s">
        <v>30</v>
      </c>
    </row>
    <row r="4" spans="1:25" x14ac:dyDescent="0.3">
      <c r="A4" t="s">
        <v>25</v>
      </c>
      <c r="B4" s="7">
        <v>45158</v>
      </c>
      <c r="C4" s="7" t="s">
        <v>26</v>
      </c>
      <c r="D4">
        <v>3</v>
      </c>
      <c r="E4">
        <v>2</v>
      </c>
      <c r="F4">
        <v>1</v>
      </c>
      <c r="G4" t="s">
        <v>27</v>
      </c>
      <c r="H4">
        <v>6</v>
      </c>
      <c r="I4" s="8">
        <v>0.22916666666666666</v>
      </c>
      <c r="J4" s="8">
        <v>0.36388888888888887</v>
      </c>
      <c r="K4" s="9">
        <f t="shared" si="0"/>
        <v>19.399999999999999</v>
      </c>
      <c r="L4" t="s">
        <v>28</v>
      </c>
      <c r="M4" t="s">
        <v>31</v>
      </c>
      <c r="N4" t="s">
        <v>32</v>
      </c>
      <c r="O4" s="3">
        <v>0</v>
      </c>
      <c r="P4" s="4">
        <v>0</v>
      </c>
      <c r="Q4" s="5">
        <v>0</v>
      </c>
      <c r="R4" s="6">
        <v>0</v>
      </c>
      <c r="S4" s="3">
        <v>0</v>
      </c>
      <c r="T4" s="4">
        <v>0</v>
      </c>
      <c r="U4" s="5">
        <v>0</v>
      </c>
      <c r="V4" s="6">
        <v>0</v>
      </c>
    </row>
    <row r="5" spans="1:25" x14ac:dyDescent="0.3">
      <c r="A5" t="s">
        <v>25</v>
      </c>
      <c r="B5" s="7">
        <v>45158</v>
      </c>
      <c r="C5" s="7" t="s">
        <v>26</v>
      </c>
      <c r="D5">
        <v>4</v>
      </c>
      <c r="E5">
        <v>1</v>
      </c>
      <c r="F5">
        <v>4</v>
      </c>
      <c r="G5" t="s">
        <v>27</v>
      </c>
      <c r="H5">
        <v>4</v>
      </c>
      <c r="I5" s="8">
        <v>0.25</v>
      </c>
      <c r="J5" s="8">
        <v>0.3743055555555555</v>
      </c>
      <c r="K5" s="9">
        <f t="shared" si="0"/>
        <v>11.933333333333328</v>
      </c>
      <c r="L5" t="s">
        <v>28</v>
      </c>
      <c r="M5" t="s">
        <v>29</v>
      </c>
      <c r="N5" t="s">
        <v>32</v>
      </c>
      <c r="O5" s="3">
        <v>0</v>
      </c>
      <c r="P5" s="4">
        <v>0</v>
      </c>
      <c r="Q5" s="5">
        <v>0</v>
      </c>
      <c r="R5" s="6">
        <v>0</v>
      </c>
      <c r="S5" s="3">
        <v>0</v>
      </c>
      <c r="T5" s="4">
        <v>0</v>
      </c>
      <c r="U5" s="5">
        <v>0</v>
      </c>
      <c r="V5" s="6">
        <v>0</v>
      </c>
      <c r="Y5" t="s">
        <v>33</v>
      </c>
    </row>
    <row r="6" spans="1:25" x14ac:dyDescent="0.3">
      <c r="A6" t="s">
        <v>25</v>
      </c>
      <c r="B6" s="7">
        <v>45158</v>
      </c>
      <c r="C6" s="7" t="s">
        <v>26</v>
      </c>
      <c r="D6">
        <v>5</v>
      </c>
      <c r="E6">
        <v>1</v>
      </c>
      <c r="F6">
        <v>3</v>
      </c>
      <c r="G6" t="s">
        <v>27</v>
      </c>
      <c r="H6">
        <v>1</v>
      </c>
      <c r="I6" s="8">
        <v>0.35416666666666669</v>
      </c>
      <c r="J6" s="8">
        <v>0.39583333333333331</v>
      </c>
      <c r="K6" s="9">
        <f t="shared" si="0"/>
        <v>0.99999999999999911</v>
      </c>
      <c r="L6" t="s">
        <v>28</v>
      </c>
      <c r="M6" t="s">
        <v>29</v>
      </c>
      <c r="N6" t="s">
        <v>32</v>
      </c>
      <c r="O6" s="3">
        <v>0</v>
      </c>
      <c r="P6" s="4">
        <v>0</v>
      </c>
      <c r="Q6" s="5">
        <v>0</v>
      </c>
      <c r="R6" s="6">
        <v>0</v>
      </c>
      <c r="S6" s="3">
        <v>0</v>
      </c>
      <c r="T6" s="4">
        <v>0</v>
      </c>
      <c r="U6" s="5">
        <v>0</v>
      </c>
      <c r="V6" s="6">
        <v>0</v>
      </c>
      <c r="Y6" t="s">
        <v>34</v>
      </c>
    </row>
    <row r="7" spans="1:25" x14ac:dyDescent="0.3">
      <c r="A7" t="s">
        <v>25</v>
      </c>
      <c r="B7" s="7">
        <v>45158</v>
      </c>
      <c r="C7" s="7" t="s">
        <v>26</v>
      </c>
      <c r="D7">
        <v>6</v>
      </c>
      <c r="E7">
        <v>1</v>
      </c>
      <c r="F7">
        <v>2</v>
      </c>
      <c r="G7" t="s">
        <v>35</v>
      </c>
      <c r="H7">
        <v>2</v>
      </c>
      <c r="I7" s="8">
        <v>0.29166666666666669</v>
      </c>
      <c r="J7" s="8">
        <v>0.41250000000000003</v>
      </c>
      <c r="K7" s="9">
        <f t="shared" si="0"/>
        <v>5.8000000000000007</v>
      </c>
      <c r="L7" t="s">
        <v>28</v>
      </c>
      <c r="M7" t="s">
        <v>36</v>
      </c>
      <c r="N7" t="s">
        <v>32</v>
      </c>
      <c r="O7" s="3">
        <v>0</v>
      </c>
      <c r="P7" s="4">
        <v>0</v>
      </c>
      <c r="Q7" s="5">
        <v>0</v>
      </c>
      <c r="R7" s="6">
        <v>0</v>
      </c>
      <c r="S7" s="3">
        <v>0</v>
      </c>
      <c r="T7" s="4">
        <v>0</v>
      </c>
      <c r="U7" s="5">
        <v>0</v>
      </c>
      <c r="V7" s="6">
        <v>0</v>
      </c>
    </row>
    <row r="8" spans="1:25" x14ac:dyDescent="0.3">
      <c r="A8" t="s">
        <v>25</v>
      </c>
      <c r="B8" s="7">
        <v>45158</v>
      </c>
      <c r="C8" s="7" t="s">
        <v>26</v>
      </c>
      <c r="D8">
        <v>7</v>
      </c>
      <c r="E8">
        <v>1</v>
      </c>
      <c r="F8">
        <v>2</v>
      </c>
      <c r="G8" t="s">
        <v>35</v>
      </c>
      <c r="H8">
        <v>1</v>
      </c>
      <c r="I8" s="8">
        <v>0.25</v>
      </c>
      <c r="J8" s="8">
        <v>0.42083333333333334</v>
      </c>
      <c r="K8" s="9">
        <f t="shared" si="0"/>
        <v>4.0999999999999996</v>
      </c>
      <c r="L8" t="s">
        <v>25</v>
      </c>
      <c r="M8" t="s">
        <v>29</v>
      </c>
      <c r="N8" t="s">
        <v>32</v>
      </c>
      <c r="O8" s="3">
        <v>0</v>
      </c>
      <c r="P8" s="4">
        <v>0</v>
      </c>
      <c r="Q8" s="5">
        <v>5</v>
      </c>
      <c r="R8" s="6">
        <v>0</v>
      </c>
      <c r="S8" s="3">
        <v>0</v>
      </c>
      <c r="T8" s="4">
        <v>0</v>
      </c>
      <c r="U8" s="5">
        <v>0</v>
      </c>
      <c r="V8" s="6">
        <v>0</v>
      </c>
    </row>
    <row r="9" spans="1:25" x14ac:dyDescent="0.3">
      <c r="A9" t="s">
        <v>25</v>
      </c>
      <c r="B9" s="7">
        <v>45158</v>
      </c>
      <c r="C9" s="7" t="s">
        <v>26</v>
      </c>
      <c r="D9">
        <v>8</v>
      </c>
      <c r="E9">
        <v>1</v>
      </c>
      <c r="F9">
        <v>2</v>
      </c>
      <c r="G9" t="s">
        <v>35</v>
      </c>
      <c r="H9">
        <v>1</v>
      </c>
      <c r="I9" s="8">
        <v>0.25</v>
      </c>
      <c r="J9" s="8">
        <v>0.41666666666666669</v>
      </c>
      <c r="K9" s="9">
        <f t="shared" si="0"/>
        <v>4</v>
      </c>
      <c r="L9" t="s">
        <v>25</v>
      </c>
      <c r="M9" t="s">
        <v>29</v>
      </c>
      <c r="N9" t="s">
        <v>32</v>
      </c>
      <c r="O9" s="3">
        <v>0</v>
      </c>
      <c r="P9" s="4">
        <v>0</v>
      </c>
      <c r="Q9" s="5">
        <v>2</v>
      </c>
      <c r="R9" s="6">
        <v>0</v>
      </c>
      <c r="S9" s="3">
        <v>0</v>
      </c>
      <c r="T9" s="4">
        <v>0</v>
      </c>
      <c r="U9" s="5">
        <v>0</v>
      </c>
      <c r="V9" s="6">
        <v>0</v>
      </c>
    </row>
    <row r="10" spans="1:25" x14ac:dyDescent="0.3">
      <c r="A10" t="s">
        <v>25</v>
      </c>
      <c r="B10" s="7">
        <v>45158</v>
      </c>
      <c r="C10" s="7" t="s">
        <v>26</v>
      </c>
      <c r="D10">
        <v>9</v>
      </c>
      <c r="E10">
        <v>1</v>
      </c>
      <c r="F10">
        <v>1</v>
      </c>
      <c r="G10" t="s">
        <v>35</v>
      </c>
      <c r="H10">
        <v>1</v>
      </c>
      <c r="I10" s="8">
        <v>0.25</v>
      </c>
      <c r="J10" s="8">
        <v>0.42708333333333331</v>
      </c>
      <c r="K10" s="9">
        <f t="shared" si="0"/>
        <v>4.25</v>
      </c>
      <c r="L10" t="s">
        <v>25</v>
      </c>
      <c r="M10" t="s">
        <v>37</v>
      </c>
      <c r="N10" t="s">
        <v>38</v>
      </c>
      <c r="O10" s="3">
        <v>0</v>
      </c>
      <c r="P10" s="4">
        <v>2</v>
      </c>
      <c r="Q10" s="5">
        <v>0</v>
      </c>
      <c r="R10" s="6">
        <v>0</v>
      </c>
      <c r="S10" s="3">
        <v>0</v>
      </c>
      <c r="T10" s="4">
        <v>1</v>
      </c>
      <c r="U10" s="5">
        <v>0</v>
      </c>
      <c r="V10" s="6">
        <v>0</v>
      </c>
      <c r="Y10" t="s">
        <v>39</v>
      </c>
    </row>
    <row r="11" spans="1:25" x14ac:dyDescent="0.3">
      <c r="A11" t="s">
        <v>25</v>
      </c>
      <c r="B11" s="7">
        <v>45158</v>
      </c>
      <c r="C11" s="7" t="s">
        <v>26</v>
      </c>
      <c r="D11">
        <v>10</v>
      </c>
      <c r="E11">
        <v>1</v>
      </c>
      <c r="F11">
        <v>1</v>
      </c>
      <c r="G11" t="s">
        <v>35</v>
      </c>
      <c r="H11">
        <v>2</v>
      </c>
      <c r="I11" s="8">
        <v>0.25</v>
      </c>
      <c r="J11" s="8">
        <v>0.44097222222222227</v>
      </c>
      <c r="K11" s="9">
        <f t="shared" si="0"/>
        <v>9.1666666666666679</v>
      </c>
      <c r="L11" t="s">
        <v>28</v>
      </c>
      <c r="M11" t="s">
        <v>29</v>
      </c>
      <c r="N11" t="s">
        <v>27</v>
      </c>
      <c r="O11" s="3">
        <v>1</v>
      </c>
      <c r="P11" s="4">
        <v>1</v>
      </c>
      <c r="Q11" s="5">
        <v>9</v>
      </c>
      <c r="R11" s="6">
        <v>0</v>
      </c>
      <c r="S11" s="3">
        <v>0</v>
      </c>
      <c r="T11" s="4">
        <v>0</v>
      </c>
      <c r="U11" s="5">
        <v>0</v>
      </c>
      <c r="V11" s="6">
        <v>0</v>
      </c>
      <c r="Y11" t="s">
        <v>40</v>
      </c>
    </row>
    <row r="12" spans="1:25" x14ac:dyDescent="0.3">
      <c r="A12" t="s">
        <v>25</v>
      </c>
      <c r="B12" s="7">
        <v>45158</v>
      </c>
      <c r="C12" s="7" t="s">
        <v>26</v>
      </c>
      <c r="D12">
        <v>11</v>
      </c>
      <c r="E12">
        <v>1</v>
      </c>
      <c r="F12">
        <v>1</v>
      </c>
      <c r="G12" t="s">
        <v>35</v>
      </c>
      <c r="H12">
        <v>1</v>
      </c>
      <c r="I12" s="8">
        <v>0.25</v>
      </c>
      <c r="J12" s="8">
        <v>0.44444444444444442</v>
      </c>
      <c r="K12" s="9">
        <f t="shared" si="0"/>
        <v>4.6666666666666661</v>
      </c>
      <c r="L12" t="s">
        <v>28</v>
      </c>
      <c r="M12" t="s">
        <v>29</v>
      </c>
      <c r="N12" t="s">
        <v>32</v>
      </c>
      <c r="O12" s="3">
        <v>0</v>
      </c>
      <c r="P12" s="4">
        <v>0</v>
      </c>
      <c r="Q12" s="5">
        <v>0</v>
      </c>
      <c r="R12" s="6">
        <v>0</v>
      </c>
      <c r="S12" s="3">
        <v>0</v>
      </c>
      <c r="T12" s="4">
        <v>0</v>
      </c>
      <c r="U12" s="5">
        <v>5</v>
      </c>
      <c r="V12" s="6">
        <v>0</v>
      </c>
      <c r="Y12" t="s">
        <v>41</v>
      </c>
    </row>
    <row r="13" spans="1:25" x14ac:dyDescent="0.3">
      <c r="A13" t="s">
        <v>25</v>
      </c>
      <c r="B13" s="7">
        <v>45158</v>
      </c>
      <c r="C13" s="7" t="s">
        <v>42</v>
      </c>
      <c r="D13">
        <v>12</v>
      </c>
      <c r="E13">
        <v>1</v>
      </c>
      <c r="F13">
        <v>1</v>
      </c>
      <c r="G13" t="s">
        <v>35</v>
      </c>
      <c r="H13">
        <v>2</v>
      </c>
      <c r="I13" s="8">
        <v>0.58333333333333337</v>
      </c>
      <c r="J13" s="8">
        <v>0.66666666666666663</v>
      </c>
      <c r="K13" s="9">
        <f t="shared" si="0"/>
        <v>3.9999999999999964</v>
      </c>
      <c r="L13" t="s">
        <v>25</v>
      </c>
      <c r="N13" t="s">
        <v>32</v>
      </c>
      <c r="O13" s="3">
        <v>0</v>
      </c>
      <c r="P13" s="4">
        <v>0</v>
      </c>
      <c r="Q13" s="5">
        <v>0</v>
      </c>
      <c r="R13" s="6">
        <v>0</v>
      </c>
      <c r="S13" s="3">
        <v>0</v>
      </c>
      <c r="T13" s="4">
        <v>0</v>
      </c>
      <c r="U13" s="5">
        <v>0</v>
      </c>
      <c r="V13" s="6">
        <v>0</v>
      </c>
      <c r="Y13" t="s">
        <v>43</v>
      </c>
    </row>
    <row r="14" spans="1:25" x14ac:dyDescent="0.3">
      <c r="A14" t="s">
        <v>25</v>
      </c>
      <c r="B14" s="7">
        <v>45158</v>
      </c>
      <c r="C14" s="7" t="s">
        <v>42</v>
      </c>
      <c r="D14">
        <v>13</v>
      </c>
      <c r="E14">
        <v>1</v>
      </c>
      <c r="F14">
        <v>1</v>
      </c>
      <c r="G14" t="s">
        <v>35</v>
      </c>
      <c r="H14">
        <v>3</v>
      </c>
      <c r="I14" s="8">
        <v>0.36805555555555558</v>
      </c>
      <c r="J14" s="8">
        <v>0.70138888888888884</v>
      </c>
      <c r="K14" s="9">
        <f t="shared" si="0"/>
        <v>23.999999999999993</v>
      </c>
      <c r="L14" t="s">
        <v>25</v>
      </c>
      <c r="M14" t="s">
        <v>29</v>
      </c>
      <c r="N14" t="s">
        <v>32</v>
      </c>
      <c r="O14" s="3">
        <v>0</v>
      </c>
      <c r="P14" s="4">
        <v>0</v>
      </c>
      <c r="Q14" s="5">
        <v>10</v>
      </c>
      <c r="R14" s="6">
        <v>0</v>
      </c>
      <c r="S14" s="3">
        <v>0</v>
      </c>
      <c r="T14" s="4">
        <v>0</v>
      </c>
      <c r="U14" s="5">
        <v>0</v>
      </c>
      <c r="V14" s="6">
        <v>0</v>
      </c>
      <c r="Y14" t="s">
        <v>44</v>
      </c>
    </row>
    <row r="15" spans="1:25" x14ac:dyDescent="0.3">
      <c r="A15" t="s">
        <v>25</v>
      </c>
      <c r="B15" s="7">
        <v>45158</v>
      </c>
      <c r="C15" s="7" t="s">
        <v>42</v>
      </c>
      <c r="D15">
        <v>14</v>
      </c>
      <c r="E15">
        <v>2</v>
      </c>
      <c r="F15">
        <v>1</v>
      </c>
      <c r="G15" t="s">
        <v>27</v>
      </c>
      <c r="H15">
        <v>2</v>
      </c>
      <c r="I15" s="8">
        <v>0.66666666666666663</v>
      </c>
      <c r="J15" s="8">
        <v>0.72916666666666663</v>
      </c>
      <c r="K15" s="9">
        <f t="shared" si="0"/>
        <v>3</v>
      </c>
      <c r="L15" t="s">
        <v>25</v>
      </c>
      <c r="M15" t="s">
        <v>45</v>
      </c>
      <c r="N15" t="s">
        <v>27</v>
      </c>
      <c r="O15" s="3">
        <v>0</v>
      </c>
      <c r="P15" s="4">
        <v>0</v>
      </c>
      <c r="Q15" s="5">
        <v>0</v>
      </c>
      <c r="R15" s="6">
        <v>0</v>
      </c>
      <c r="S15" s="3">
        <v>0</v>
      </c>
      <c r="T15" s="4">
        <v>0</v>
      </c>
      <c r="U15" s="5">
        <v>0</v>
      </c>
      <c r="V15" s="6">
        <v>0</v>
      </c>
    </row>
    <row r="16" spans="1:25" x14ac:dyDescent="0.3">
      <c r="A16" t="s">
        <v>25</v>
      </c>
      <c r="B16" s="7">
        <v>45158</v>
      </c>
      <c r="C16" s="7" t="s">
        <v>42</v>
      </c>
      <c r="D16">
        <v>15</v>
      </c>
      <c r="E16">
        <v>2</v>
      </c>
      <c r="F16">
        <v>2</v>
      </c>
      <c r="G16" t="s">
        <v>27</v>
      </c>
      <c r="H16">
        <v>3</v>
      </c>
      <c r="I16" s="8">
        <v>0.64583333333333337</v>
      </c>
      <c r="J16" s="8">
        <v>0.76944444444444438</v>
      </c>
      <c r="K16" s="9">
        <f t="shared" si="0"/>
        <v>8.8999999999999915</v>
      </c>
      <c r="L16" t="s">
        <v>28</v>
      </c>
      <c r="M16" t="s">
        <v>29</v>
      </c>
      <c r="N16" t="s">
        <v>32</v>
      </c>
      <c r="O16" s="3">
        <v>0</v>
      </c>
      <c r="P16" s="4">
        <v>0</v>
      </c>
      <c r="Q16" s="5">
        <v>0</v>
      </c>
      <c r="R16" s="6">
        <v>0</v>
      </c>
      <c r="S16" s="3">
        <v>0</v>
      </c>
      <c r="T16" s="4">
        <v>0</v>
      </c>
      <c r="U16" s="5">
        <v>0</v>
      </c>
      <c r="V16" s="6">
        <v>0</v>
      </c>
    </row>
    <row r="17" spans="1:25" x14ac:dyDescent="0.3">
      <c r="A17" t="s">
        <v>25</v>
      </c>
      <c r="B17" s="7">
        <v>45158</v>
      </c>
      <c r="C17" s="7" t="s">
        <v>42</v>
      </c>
      <c r="D17">
        <v>16</v>
      </c>
      <c r="E17">
        <v>2</v>
      </c>
      <c r="F17">
        <v>4</v>
      </c>
      <c r="G17" t="s">
        <v>27</v>
      </c>
      <c r="H17">
        <v>3</v>
      </c>
      <c r="I17" s="8">
        <v>0.75</v>
      </c>
      <c r="J17" s="8">
        <v>0.79166666666666663</v>
      </c>
      <c r="K17" s="9">
        <f t="shared" si="0"/>
        <v>2.9999999999999973</v>
      </c>
      <c r="L17" t="s">
        <v>28</v>
      </c>
      <c r="M17" t="s">
        <v>46</v>
      </c>
      <c r="N17" t="s">
        <v>27</v>
      </c>
      <c r="O17" s="3">
        <v>0</v>
      </c>
      <c r="P17" s="4">
        <v>0</v>
      </c>
      <c r="Q17" s="5">
        <v>0</v>
      </c>
      <c r="R17" s="6">
        <v>0</v>
      </c>
      <c r="S17" s="3">
        <v>0</v>
      </c>
      <c r="T17" s="4">
        <v>0</v>
      </c>
      <c r="U17" s="5">
        <v>0</v>
      </c>
      <c r="V17" s="6">
        <v>0</v>
      </c>
    </row>
    <row r="18" spans="1:25" x14ac:dyDescent="0.3">
      <c r="A18" t="s">
        <v>25</v>
      </c>
      <c r="B18" s="7">
        <v>45158</v>
      </c>
      <c r="C18" s="7" t="s">
        <v>42</v>
      </c>
      <c r="D18">
        <v>17</v>
      </c>
      <c r="E18">
        <v>2</v>
      </c>
      <c r="F18">
        <v>4</v>
      </c>
      <c r="G18" t="s">
        <v>27</v>
      </c>
      <c r="H18">
        <v>2</v>
      </c>
      <c r="I18" s="8">
        <v>0.77083333333333337</v>
      </c>
      <c r="J18" s="8">
        <v>0.8125</v>
      </c>
      <c r="K18" s="9">
        <f t="shared" si="0"/>
        <v>1.9999999999999982</v>
      </c>
      <c r="L18" t="s">
        <v>25</v>
      </c>
      <c r="M18" t="s">
        <v>47</v>
      </c>
      <c r="N18" t="s">
        <v>27</v>
      </c>
      <c r="O18" s="3">
        <v>0</v>
      </c>
      <c r="P18" s="4">
        <v>0</v>
      </c>
      <c r="Q18" s="5">
        <v>0</v>
      </c>
      <c r="R18" s="6">
        <v>0</v>
      </c>
      <c r="S18" s="3">
        <v>0</v>
      </c>
      <c r="T18" s="4">
        <v>0</v>
      </c>
      <c r="U18" s="5">
        <v>0</v>
      </c>
      <c r="V18" s="6">
        <v>0</v>
      </c>
    </row>
    <row r="19" spans="1:25" x14ac:dyDescent="0.3">
      <c r="A19" t="s">
        <v>25</v>
      </c>
      <c r="B19" s="7">
        <v>45161</v>
      </c>
      <c r="C19" s="7" t="s">
        <v>26</v>
      </c>
      <c r="D19">
        <v>1</v>
      </c>
      <c r="E19">
        <v>1</v>
      </c>
      <c r="F19">
        <v>2</v>
      </c>
      <c r="G19" t="s">
        <v>27</v>
      </c>
      <c r="H19">
        <v>1</v>
      </c>
      <c r="I19" s="8">
        <v>0.29166666666666669</v>
      </c>
      <c r="J19" s="8">
        <v>0.3125</v>
      </c>
      <c r="K19" s="9">
        <f t="shared" si="0"/>
        <v>0.49999999999999956</v>
      </c>
      <c r="L19" t="s">
        <v>25</v>
      </c>
      <c r="M19" t="s">
        <v>29</v>
      </c>
      <c r="N19" t="s">
        <v>48</v>
      </c>
      <c r="O19" s="3">
        <v>0</v>
      </c>
      <c r="P19" s="4">
        <v>0</v>
      </c>
      <c r="Q19" s="5">
        <v>0</v>
      </c>
      <c r="R19" s="6">
        <v>0</v>
      </c>
      <c r="S19" s="3">
        <v>0</v>
      </c>
      <c r="T19" s="4">
        <v>0</v>
      </c>
      <c r="U19" s="5">
        <v>0</v>
      </c>
      <c r="V19" s="6">
        <v>0</v>
      </c>
    </row>
    <row r="20" spans="1:25" x14ac:dyDescent="0.3">
      <c r="A20" t="s">
        <v>25</v>
      </c>
      <c r="B20" s="7">
        <v>45161</v>
      </c>
      <c r="C20" s="7" t="s">
        <v>26</v>
      </c>
      <c r="D20">
        <v>2</v>
      </c>
      <c r="E20">
        <v>1</v>
      </c>
      <c r="F20">
        <v>1</v>
      </c>
      <c r="G20" t="s">
        <v>35</v>
      </c>
      <c r="H20">
        <v>2</v>
      </c>
      <c r="I20" s="8">
        <v>0.29166666666666669</v>
      </c>
      <c r="J20" s="8">
        <v>0.41944444444444445</v>
      </c>
      <c r="K20" s="9">
        <f t="shared" si="0"/>
        <v>6.1333333333333329</v>
      </c>
      <c r="L20" t="s">
        <v>25</v>
      </c>
      <c r="M20" t="s">
        <v>29</v>
      </c>
      <c r="N20" t="s">
        <v>32</v>
      </c>
      <c r="O20" s="3">
        <v>0</v>
      </c>
      <c r="P20" s="4">
        <v>0</v>
      </c>
      <c r="Q20" s="5">
        <v>2</v>
      </c>
      <c r="R20" s="6">
        <v>0</v>
      </c>
      <c r="S20" s="3">
        <v>0</v>
      </c>
      <c r="T20" s="4">
        <v>0</v>
      </c>
      <c r="U20" s="5">
        <v>0</v>
      </c>
      <c r="V20" s="6">
        <v>0</v>
      </c>
    </row>
    <row r="21" spans="1:25" x14ac:dyDescent="0.3">
      <c r="A21" t="s">
        <v>25</v>
      </c>
      <c r="B21" s="7">
        <v>45161</v>
      </c>
      <c r="C21" s="7" t="s">
        <v>26</v>
      </c>
      <c r="D21">
        <v>3</v>
      </c>
      <c r="E21">
        <v>1</v>
      </c>
      <c r="F21">
        <v>1</v>
      </c>
      <c r="G21" t="s">
        <v>35</v>
      </c>
      <c r="H21">
        <v>3</v>
      </c>
      <c r="I21" s="8">
        <v>0.3125</v>
      </c>
      <c r="J21" s="8">
        <v>0.44444444444444442</v>
      </c>
      <c r="K21" s="9">
        <f t="shared" si="0"/>
        <v>9.4999999999999982</v>
      </c>
      <c r="L21" t="s">
        <v>25</v>
      </c>
      <c r="M21" t="s">
        <v>29</v>
      </c>
      <c r="N21" t="s">
        <v>32</v>
      </c>
      <c r="O21" s="3">
        <v>0</v>
      </c>
      <c r="P21" s="4">
        <v>0</v>
      </c>
      <c r="Q21" s="5">
        <v>18</v>
      </c>
      <c r="R21" s="6">
        <v>0</v>
      </c>
      <c r="S21" s="3">
        <v>0</v>
      </c>
      <c r="T21" s="4">
        <v>0</v>
      </c>
      <c r="U21" s="5">
        <v>0</v>
      </c>
      <c r="V21" s="6">
        <v>0</v>
      </c>
    </row>
    <row r="22" spans="1:25" x14ac:dyDescent="0.3">
      <c r="A22" t="s">
        <v>25</v>
      </c>
      <c r="B22" s="7">
        <v>45161</v>
      </c>
      <c r="C22" s="7" t="s">
        <v>26</v>
      </c>
      <c r="D22">
        <v>4</v>
      </c>
      <c r="E22">
        <v>1</v>
      </c>
      <c r="F22">
        <v>1</v>
      </c>
      <c r="G22" t="s">
        <v>35</v>
      </c>
      <c r="H22">
        <v>1</v>
      </c>
      <c r="I22" s="8">
        <v>0.25</v>
      </c>
      <c r="J22" s="8">
        <v>0.4513888888888889</v>
      </c>
      <c r="K22" s="9">
        <f t="shared" si="0"/>
        <v>4.8333333333333339</v>
      </c>
      <c r="L22" t="s">
        <v>25</v>
      </c>
      <c r="M22" t="s">
        <v>29</v>
      </c>
      <c r="N22" t="s">
        <v>32</v>
      </c>
      <c r="O22" s="3">
        <v>0</v>
      </c>
      <c r="P22" s="4">
        <v>0</v>
      </c>
      <c r="Q22" s="5">
        <v>6</v>
      </c>
      <c r="R22" s="6">
        <v>0</v>
      </c>
      <c r="S22" s="3">
        <v>0</v>
      </c>
      <c r="T22" s="4">
        <v>0</v>
      </c>
      <c r="U22" s="5">
        <v>0</v>
      </c>
      <c r="V22" s="6">
        <v>0</v>
      </c>
    </row>
    <row r="23" spans="1:25" x14ac:dyDescent="0.3">
      <c r="A23" t="s">
        <v>25</v>
      </c>
      <c r="B23" s="7">
        <v>45161</v>
      </c>
      <c r="C23" s="7" t="s">
        <v>26</v>
      </c>
      <c r="D23">
        <v>5</v>
      </c>
      <c r="E23">
        <v>1</v>
      </c>
      <c r="F23">
        <v>1</v>
      </c>
      <c r="G23" t="s">
        <v>35</v>
      </c>
      <c r="H23">
        <v>2</v>
      </c>
      <c r="I23" s="8">
        <v>0.3125</v>
      </c>
      <c r="J23" s="8">
        <v>0.46388888888888885</v>
      </c>
      <c r="K23" s="9">
        <f t="shared" si="0"/>
        <v>7.2666666666666648</v>
      </c>
      <c r="L23" t="s">
        <v>25</v>
      </c>
      <c r="M23" t="s">
        <v>29</v>
      </c>
      <c r="N23" t="s">
        <v>32</v>
      </c>
      <c r="O23" s="3">
        <v>0</v>
      </c>
      <c r="P23" s="4">
        <v>0</v>
      </c>
      <c r="Q23" s="5">
        <v>12</v>
      </c>
      <c r="R23" s="6">
        <v>0</v>
      </c>
      <c r="S23" s="3">
        <v>0</v>
      </c>
      <c r="T23" s="4">
        <v>0</v>
      </c>
      <c r="U23" s="5">
        <v>0</v>
      </c>
      <c r="V23" s="6">
        <v>0</v>
      </c>
    </row>
    <row r="24" spans="1:25" x14ac:dyDescent="0.3">
      <c r="A24" t="s">
        <v>25</v>
      </c>
      <c r="B24" s="7">
        <v>45161</v>
      </c>
      <c r="C24" s="7" t="s">
        <v>26</v>
      </c>
      <c r="D24">
        <v>6</v>
      </c>
      <c r="E24">
        <v>1</v>
      </c>
      <c r="F24">
        <v>1</v>
      </c>
      <c r="G24" t="s">
        <v>35</v>
      </c>
      <c r="H24">
        <v>1</v>
      </c>
      <c r="I24" s="8">
        <v>0.39583333333333331</v>
      </c>
      <c r="J24" s="8">
        <v>0.47916666666666669</v>
      </c>
      <c r="K24" s="9">
        <f t="shared" si="0"/>
        <v>2.0000000000000009</v>
      </c>
      <c r="L24" t="s">
        <v>25</v>
      </c>
      <c r="M24" t="s">
        <v>29</v>
      </c>
      <c r="N24" t="s">
        <v>32</v>
      </c>
      <c r="O24" s="3">
        <v>0</v>
      </c>
      <c r="P24" s="4">
        <v>0</v>
      </c>
      <c r="Q24" s="5">
        <v>6</v>
      </c>
      <c r="R24" s="6">
        <v>0</v>
      </c>
      <c r="S24" s="3">
        <v>0</v>
      </c>
      <c r="T24" s="4">
        <v>0</v>
      </c>
      <c r="U24" s="5">
        <v>0</v>
      </c>
      <c r="V24" s="6">
        <v>0</v>
      </c>
    </row>
    <row r="25" spans="1:25" x14ac:dyDescent="0.3">
      <c r="A25" t="s">
        <v>25</v>
      </c>
      <c r="B25" s="7">
        <v>45161</v>
      </c>
      <c r="C25" s="7" t="s">
        <v>26</v>
      </c>
      <c r="D25">
        <v>7</v>
      </c>
      <c r="E25">
        <v>1</v>
      </c>
      <c r="F25">
        <v>1</v>
      </c>
      <c r="G25" t="s">
        <v>35</v>
      </c>
      <c r="H25">
        <v>2</v>
      </c>
      <c r="I25" s="8">
        <v>0.27083333333333331</v>
      </c>
      <c r="J25" s="8">
        <v>0.47916666666666669</v>
      </c>
      <c r="K25" s="9">
        <f t="shared" si="0"/>
        <v>10.000000000000002</v>
      </c>
      <c r="L25" t="s">
        <v>25</v>
      </c>
      <c r="M25" t="s">
        <v>29</v>
      </c>
      <c r="N25" t="s">
        <v>32</v>
      </c>
      <c r="O25" s="3">
        <v>0</v>
      </c>
      <c r="P25" s="4">
        <v>0</v>
      </c>
      <c r="Q25" s="5">
        <v>12</v>
      </c>
      <c r="R25" s="6">
        <v>0</v>
      </c>
      <c r="S25" s="3">
        <v>0</v>
      </c>
      <c r="T25" s="4">
        <v>0</v>
      </c>
      <c r="U25" s="5">
        <v>0</v>
      </c>
      <c r="V25" s="6">
        <v>0</v>
      </c>
    </row>
    <row r="26" spans="1:25" x14ac:dyDescent="0.3">
      <c r="A26" t="s">
        <v>25</v>
      </c>
      <c r="B26" s="7">
        <v>45161</v>
      </c>
      <c r="C26" s="7" t="s">
        <v>42</v>
      </c>
      <c r="D26">
        <v>8</v>
      </c>
      <c r="E26">
        <v>2</v>
      </c>
      <c r="F26">
        <v>4</v>
      </c>
      <c r="G26" t="s">
        <v>27</v>
      </c>
      <c r="H26">
        <v>2</v>
      </c>
      <c r="I26" s="8">
        <v>0.69444444444444453</v>
      </c>
      <c r="J26" s="8">
        <v>0.71111111111111114</v>
      </c>
      <c r="K26" s="9">
        <f t="shared" si="0"/>
        <v>0.79999999999999716</v>
      </c>
      <c r="L26" t="s">
        <v>28</v>
      </c>
      <c r="M26" t="s">
        <v>49</v>
      </c>
      <c r="N26" t="s">
        <v>50</v>
      </c>
      <c r="O26" s="3">
        <v>0</v>
      </c>
      <c r="P26" s="4">
        <v>0</v>
      </c>
      <c r="Q26" s="5">
        <v>0</v>
      </c>
      <c r="R26" s="6">
        <v>0</v>
      </c>
      <c r="S26" s="3">
        <v>0</v>
      </c>
      <c r="T26" s="4">
        <v>0</v>
      </c>
      <c r="U26" s="5">
        <v>0</v>
      </c>
      <c r="V26" s="6">
        <v>0</v>
      </c>
    </row>
    <row r="27" spans="1:25" x14ac:dyDescent="0.3">
      <c r="A27" t="s">
        <v>25</v>
      </c>
      <c r="B27" s="7">
        <v>45161</v>
      </c>
      <c r="C27" s="7" t="s">
        <v>42</v>
      </c>
      <c r="D27">
        <v>9</v>
      </c>
      <c r="E27">
        <v>2</v>
      </c>
      <c r="F27">
        <v>4</v>
      </c>
      <c r="G27" t="s">
        <v>27</v>
      </c>
      <c r="H27">
        <v>3</v>
      </c>
      <c r="I27" s="8">
        <v>0.70833333333333337</v>
      </c>
      <c r="J27" s="8">
        <v>0.72013888888888899</v>
      </c>
      <c r="K27" s="9">
        <f t="shared" si="0"/>
        <v>0.85000000000000497</v>
      </c>
      <c r="L27" t="s">
        <v>28</v>
      </c>
      <c r="M27" t="s">
        <v>51</v>
      </c>
      <c r="N27" t="s">
        <v>50</v>
      </c>
      <c r="O27" s="3">
        <v>0</v>
      </c>
      <c r="P27" s="4">
        <v>0</v>
      </c>
      <c r="Q27" s="5">
        <v>0</v>
      </c>
      <c r="R27" s="6">
        <v>0</v>
      </c>
      <c r="S27" s="3">
        <v>0</v>
      </c>
      <c r="T27" s="4">
        <v>0</v>
      </c>
      <c r="U27" s="5">
        <v>0</v>
      </c>
      <c r="V27" s="6">
        <v>0</v>
      </c>
    </row>
    <row r="28" spans="1:25" x14ac:dyDescent="0.3">
      <c r="A28" t="s">
        <v>25</v>
      </c>
      <c r="B28" s="7">
        <v>45161</v>
      </c>
      <c r="C28" s="7" t="s">
        <v>42</v>
      </c>
      <c r="D28">
        <v>10</v>
      </c>
      <c r="E28">
        <v>2</v>
      </c>
      <c r="F28">
        <v>2</v>
      </c>
      <c r="G28" t="s">
        <v>27</v>
      </c>
      <c r="H28">
        <v>4</v>
      </c>
      <c r="I28" s="8">
        <v>0.68888888888888899</v>
      </c>
      <c r="J28" s="8">
        <v>0.77222222222222225</v>
      </c>
      <c r="K28" s="9">
        <f t="shared" si="0"/>
        <v>7.9999999999999929</v>
      </c>
      <c r="L28" t="s">
        <v>25</v>
      </c>
      <c r="M28" t="s">
        <v>47</v>
      </c>
      <c r="N28" t="s">
        <v>27</v>
      </c>
      <c r="O28" s="3">
        <v>0</v>
      </c>
      <c r="P28" s="4">
        <v>0</v>
      </c>
      <c r="Q28" s="5">
        <v>0</v>
      </c>
      <c r="R28" s="6">
        <v>0</v>
      </c>
      <c r="S28" s="3">
        <v>0</v>
      </c>
      <c r="T28" s="4">
        <v>0</v>
      </c>
      <c r="U28" s="5">
        <v>0</v>
      </c>
      <c r="V28" s="6">
        <v>0</v>
      </c>
    </row>
    <row r="29" spans="1:25" x14ac:dyDescent="0.3">
      <c r="A29" t="s">
        <v>25</v>
      </c>
      <c r="B29" s="7">
        <v>45161</v>
      </c>
      <c r="C29" s="7" t="s">
        <v>42</v>
      </c>
      <c r="D29">
        <v>11</v>
      </c>
      <c r="E29">
        <v>2</v>
      </c>
      <c r="F29">
        <v>1</v>
      </c>
      <c r="G29" t="s">
        <v>27</v>
      </c>
      <c r="H29">
        <v>1</v>
      </c>
      <c r="I29" s="8">
        <v>0.71875</v>
      </c>
      <c r="J29" s="8">
        <v>0.78125</v>
      </c>
      <c r="K29" s="9">
        <f t="shared" si="0"/>
        <v>1.5</v>
      </c>
      <c r="L29" t="s">
        <v>25</v>
      </c>
      <c r="M29" t="s">
        <v>51</v>
      </c>
      <c r="N29" t="s">
        <v>32</v>
      </c>
      <c r="O29" s="3">
        <v>0</v>
      </c>
      <c r="P29" s="4">
        <v>0</v>
      </c>
      <c r="Q29" s="5">
        <v>0</v>
      </c>
      <c r="R29" s="6">
        <v>0</v>
      </c>
      <c r="S29" s="3">
        <v>0</v>
      </c>
      <c r="T29" s="4">
        <v>0</v>
      </c>
      <c r="U29" s="5">
        <v>0</v>
      </c>
      <c r="V29" s="6">
        <v>0</v>
      </c>
    </row>
    <row r="30" spans="1:25" x14ac:dyDescent="0.3">
      <c r="A30" t="s">
        <v>25</v>
      </c>
      <c r="B30" s="7">
        <v>45161</v>
      </c>
      <c r="C30" s="7" t="s">
        <v>42</v>
      </c>
      <c r="D30">
        <v>12</v>
      </c>
      <c r="E30">
        <v>1</v>
      </c>
      <c r="F30">
        <v>4</v>
      </c>
      <c r="G30" t="s">
        <v>27</v>
      </c>
      <c r="H30">
        <v>3</v>
      </c>
      <c r="I30" s="8">
        <v>0.72916666666666663</v>
      </c>
      <c r="J30" s="8">
        <v>0.79513888888888884</v>
      </c>
      <c r="K30" s="9">
        <f t="shared" si="0"/>
        <v>4.7499999999999991</v>
      </c>
      <c r="L30" t="s">
        <v>25</v>
      </c>
      <c r="M30" t="s">
        <v>49</v>
      </c>
      <c r="N30" t="s">
        <v>27</v>
      </c>
      <c r="O30" s="3">
        <v>0</v>
      </c>
      <c r="P30" s="4">
        <v>0</v>
      </c>
      <c r="Q30" s="5">
        <v>0</v>
      </c>
      <c r="R30" s="6">
        <v>0</v>
      </c>
      <c r="S30" s="3">
        <v>0</v>
      </c>
      <c r="T30" s="4">
        <v>0</v>
      </c>
      <c r="U30" s="5">
        <v>0</v>
      </c>
      <c r="V30" s="6">
        <v>0</v>
      </c>
    </row>
    <row r="31" spans="1:25" x14ac:dyDescent="0.3">
      <c r="A31" t="s">
        <v>25</v>
      </c>
      <c r="B31" s="7">
        <v>45161</v>
      </c>
      <c r="C31" s="7" t="s">
        <v>42</v>
      </c>
      <c r="D31">
        <v>13</v>
      </c>
      <c r="E31">
        <v>1</v>
      </c>
      <c r="F31">
        <v>4</v>
      </c>
      <c r="G31" t="s">
        <v>27</v>
      </c>
      <c r="H31">
        <v>2</v>
      </c>
      <c r="I31" s="8">
        <v>0.72361111111111109</v>
      </c>
      <c r="J31" s="8">
        <v>0.80694444444444446</v>
      </c>
      <c r="K31" s="9">
        <f t="shared" si="0"/>
        <v>4.0000000000000018</v>
      </c>
      <c r="L31" t="s">
        <v>25</v>
      </c>
      <c r="M31" t="s">
        <v>29</v>
      </c>
      <c r="N31" t="s">
        <v>27</v>
      </c>
      <c r="O31" s="3">
        <v>0</v>
      </c>
      <c r="P31" s="4">
        <v>0</v>
      </c>
      <c r="Q31" s="5">
        <v>0</v>
      </c>
      <c r="R31" s="6">
        <v>0</v>
      </c>
      <c r="S31" s="3">
        <v>0</v>
      </c>
      <c r="T31" s="4">
        <v>0</v>
      </c>
      <c r="U31" s="5">
        <v>0</v>
      </c>
      <c r="V31" s="6">
        <v>0</v>
      </c>
    </row>
    <row r="32" spans="1:25" x14ac:dyDescent="0.3">
      <c r="A32" t="s">
        <v>25</v>
      </c>
      <c r="B32" s="7">
        <v>45161</v>
      </c>
      <c r="C32" s="7" t="s">
        <v>42</v>
      </c>
      <c r="D32">
        <v>14</v>
      </c>
      <c r="E32">
        <v>1</v>
      </c>
      <c r="F32">
        <v>2</v>
      </c>
      <c r="G32" t="s">
        <v>35</v>
      </c>
      <c r="H32">
        <v>2</v>
      </c>
      <c r="I32" s="8">
        <v>0.64583333333333337</v>
      </c>
      <c r="J32" s="8">
        <v>0.77083333333333337</v>
      </c>
      <c r="K32" s="9">
        <f t="shared" si="0"/>
        <v>6</v>
      </c>
      <c r="L32" t="s">
        <v>25</v>
      </c>
      <c r="M32" t="s">
        <v>29</v>
      </c>
      <c r="N32" t="s">
        <v>27</v>
      </c>
      <c r="O32" s="3">
        <v>0</v>
      </c>
      <c r="P32" s="4">
        <v>0</v>
      </c>
      <c r="Q32" s="5">
        <v>2</v>
      </c>
      <c r="R32" s="6">
        <v>0</v>
      </c>
      <c r="S32" s="3">
        <v>0</v>
      </c>
      <c r="T32" s="4">
        <v>0</v>
      </c>
      <c r="U32" s="5">
        <v>7</v>
      </c>
      <c r="V32" s="6">
        <v>0</v>
      </c>
      <c r="Y32" t="s">
        <v>52</v>
      </c>
    </row>
    <row r="33" spans="1:25" x14ac:dyDescent="0.3">
      <c r="A33" t="s">
        <v>25</v>
      </c>
      <c r="B33" s="7">
        <v>45161</v>
      </c>
      <c r="C33" s="7" t="s">
        <v>42</v>
      </c>
      <c r="D33">
        <v>15</v>
      </c>
      <c r="E33">
        <v>1</v>
      </c>
      <c r="F33">
        <v>2</v>
      </c>
      <c r="G33" t="s">
        <v>27</v>
      </c>
      <c r="H33">
        <v>1</v>
      </c>
      <c r="I33" s="8">
        <v>0.66666666666666663</v>
      </c>
      <c r="J33" s="8">
        <v>0.82291666666666663</v>
      </c>
      <c r="K33" s="9">
        <f t="shared" si="0"/>
        <v>3.75</v>
      </c>
      <c r="L33" t="s">
        <v>25</v>
      </c>
      <c r="M33" t="s">
        <v>29</v>
      </c>
      <c r="N33" t="s">
        <v>27</v>
      </c>
      <c r="O33" s="3">
        <v>0</v>
      </c>
      <c r="P33" s="4">
        <v>0</v>
      </c>
      <c r="Q33" s="5">
        <v>2</v>
      </c>
      <c r="R33" s="6">
        <v>0</v>
      </c>
      <c r="S33" s="3">
        <v>0</v>
      </c>
      <c r="T33" s="4">
        <v>0</v>
      </c>
      <c r="U33" s="5">
        <v>0</v>
      </c>
      <c r="V33" s="6">
        <v>0</v>
      </c>
      <c r="Y33" t="s">
        <v>52</v>
      </c>
    </row>
    <row r="34" spans="1:25" x14ac:dyDescent="0.3">
      <c r="A34" t="s">
        <v>25</v>
      </c>
      <c r="B34" s="7">
        <v>45161</v>
      </c>
      <c r="C34" s="7" t="s">
        <v>42</v>
      </c>
      <c r="D34">
        <v>16</v>
      </c>
      <c r="E34">
        <v>1</v>
      </c>
      <c r="F34">
        <v>2</v>
      </c>
      <c r="G34" t="s">
        <v>27</v>
      </c>
      <c r="H34">
        <v>2</v>
      </c>
      <c r="I34" s="8">
        <v>0.77083333333333337</v>
      </c>
      <c r="J34" s="8">
        <v>0.83333333333333337</v>
      </c>
      <c r="K34" s="9">
        <f t="shared" si="0"/>
        <v>3</v>
      </c>
      <c r="L34" t="s">
        <v>25</v>
      </c>
      <c r="M34" t="s">
        <v>29</v>
      </c>
      <c r="N34" t="s">
        <v>32</v>
      </c>
      <c r="O34" s="3">
        <v>0</v>
      </c>
      <c r="P34" s="4">
        <v>0</v>
      </c>
      <c r="Q34" s="5">
        <v>9</v>
      </c>
      <c r="R34" s="6">
        <v>0</v>
      </c>
      <c r="S34" s="3">
        <v>0</v>
      </c>
      <c r="T34" s="4">
        <v>0</v>
      </c>
      <c r="U34" s="5">
        <v>3</v>
      </c>
      <c r="V34" s="6">
        <v>0</v>
      </c>
      <c r="Y34" t="s">
        <v>53</v>
      </c>
    </row>
    <row r="35" spans="1:25" x14ac:dyDescent="0.3">
      <c r="A35" t="s">
        <v>25</v>
      </c>
      <c r="B35" s="7">
        <v>45161</v>
      </c>
      <c r="C35" s="7" t="s">
        <v>42</v>
      </c>
      <c r="D35">
        <v>17</v>
      </c>
      <c r="E35">
        <v>1</v>
      </c>
      <c r="F35">
        <v>1</v>
      </c>
      <c r="G35" t="s">
        <v>35</v>
      </c>
      <c r="H35">
        <v>2</v>
      </c>
      <c r="I35" s="8">
        <v>0.78125</v>
      </c>
      <c r="J35" s="8">
        <v>0.83333333333333337</v>
      </c>
      <c r="K35" s="9">
        <f t="shared" si="0"/>
        <v>2.5000000000000018</v>
      </c>
      <c r="L35" t="s">
        <v>25</v>
      </c>
      <c r="M35" t="s">
        <v>29</v>
      </c>
      <c r="N35" t="s">
        <v>48</v>
      </c>
      <c r="O35" s="3">
        <v>0</v>
      </c>
      <c r="P35" s="4">
        <v>0</v>
      </c>
      <c r="Q35" s="5">
        <v>10</v>
      </c>
      <c r="R35" s="6">
        <v>0</v>
      </c>
      <c r="S35" s="3">
        <v>0</v>
      </c>
      <c r="T35" s="4">
        <v>0</v>
      </c>
      <c r="U35" s="5">
        <v>5</v>
      </c>
      <c r="V35" s="6">
        <v>0</v>
      </c>
    </row>
    <row r="36" spans="1:25" x14ac:dyDescent="0.3">
      <c r="A36" t="s">
        <v>25</v>
      </c>
      <c r="B36" s="7">
        <v>45161</v>
      </c>
      <c r="C36" s="7" t="s">
        <v>42</v>
      </c>
      <c r="D36">
        <v>18</v>
      </c>
      <c r="E36">
        <v>1</v>
      </c>
      <c r="F36">
        <v>1</v>
      </c>
      <c r="G36" t="s">
        <v>35</v>
      </c>
      <c r="H36">
        <v>2</v>
      </c>
      <c r="I36" s="8">
        <v>0.75</v>
      </c>
      <c r="J36" s="8">
        <v>0.83333333333333337</v>
      </c>
      <c r="K36" s="9">
        <f t="shared" si="0"/>
        <v>4.0000000000000018</v>
      </c>
      <c r="L36" t="s">
        <v>25</v>
      </c>
      <c r="M36" t="s">
        <v>29</v>
      </c>
      <c r="N36" t="s">
        <v>32</v>
      </c>
      <c r="O36" s="3">
        <v>0</v>
      </c>
      <c r="P36" s="4">
        <v>0</v>
      </c>
      <c r="Q36" s="5">
        <v>12</v>
      </c>
      <c r="R36" s="6">
        <v>0</v>
      </c>
      <c r="S36" s="3">
        <v>0</v>
      </c>
      <c r="T36" s="4">
        <v>0</v>
      </c>
      <c r="U36" s="5">
        <v>5</v>
      </c>
      <c r="V36" s="6">
        <v>0</v>
      </c>
    </row>
    <row r="37" spans="1:25" x14ac:dyDescent="0.3">
      <c r="A37" t="s">
        <v>25</v>
      </c>
      <c r="B37" s="7">
        <v>45161</v>
      </c>
      <c r="C37" s="7" t="s">
        <v>42</v>
      </c>
      <c r="D37">
        <v>19</v>
      </c>
      <c r="E37">
        <v>1</v>
      </c>
      <c r="F37">
        <v>1</v>
      </c>
      <c r="G37" t="s">
        <v>35</v>
      </c>
      <c r="H37">
        <v>2</v>
      </c>
      <c r="I37" s="8">
        <v>0.64583333333333337</v>
      </c>
      <c r="J37" s="8">
        <v>0.85416666666666663</v>
      </c>
      <c r="K37" s="9">
        <f t="shared" si="0"/>
        <v>9.9999999999999964</v>
      </c>
      <c r="L37" t="s">
        <v>25</v>
      </c>
      <c r="M37" t="s">
        <v>29</v>
      </c>
      <c r="N37" t="s">
        <v>32</v>
      </c>
      <c r="O37" s="3">
        <v>0</v>
      </c>
      <c r="P37" s="4">
        <v>0</v>
      </c>
      <c r="Q37" s="5">
        <v>4</v>
      </c>
      <c r="R37" s="6">
        <v>0</v>
      </c>
      <c r="S37" s="3">
        <v>0</v>
      </c>
      <c r="T37" s="4">
        <v>0</v>
      </c>
      <c r="U37" s="5">
        <v>5</v>
      </c>
      <c r="V37" s="6">
        <v>0</v>
      </c>
    </row>
    <row r="38" spans="1:25" x14ac:dyDescent="0.3">
      <c r="A38" t="s">
        <v>25</v>
      </c>
      <c r="B38" s="7">
        <v>45162</v>
      </c>
      <c r="C38" s="7" t="s">
        <v>26</v>
      </c>
      <c r="D38">
        <v>1</v>
      </c>
      <c r="E38">
        <v>2</v>
      </c>
      <c r="F38">
        <v>2</v>
      </c>
      <c r="G38" t="s">
        <v>27</v>
      </c>
      <c r="H38">
        <v>1</v>
      </c>
      <c r="I38" s="8">
        <v>0.27083333333333331</v>
      </c>
      <c r="J38" s="8">
        <v>0.29166666666666669</v>
      </c>
      <c r="K38" s="9">
        <f t="shared" si="0"/>
        <v>0.50000000000000089</v>
      </c>
      <c r="L38" t="s">
        <v>25</v>
      </c>
      <c r="M38" t="s">
        <v>54</v>
      </c>
      <c r="N38" t="s">
        <v>27</v>
      </c>
      <c r="O38" s="3">
        <v>0</v>
      </c>
      <c r="P38" s="4">
        <v>0</v>
      </c>
      <c r="Q38" s="5">
        <v>0</v>
      </c>
      <c r="R38" s="6">
        <v>0</v>
      </c>
      <c r="S38" s="3">
        <v>0</v>
      </c>
      <c r="T38" s="4">
        <v>0</v>
      </c>
      <c r="U38" s="5">
        <v>0</v>
      </c>
      <c r="V38" s="6">
        <v>0</v>
      </c>
    </row>
    <row r="39" spans="1:25" x14ac:dyDescent="0.3">
      <c r="A39" t="s">
        <v>25</v>
      </c>
      <c r="B39" s="7">
        <v>45162</v>
      </c>
      <c r="C39" s="7" t="s">
        <v>26</v>
      </c>
      <c r="D39">
        <v>2</v>
      </c>
      <c r="E39">
        <v>2</v>
      </c>
      <c r="F39">
        <v>2</v>
      </c>
      <c r="G39" t="s">
        <v>27</v>
      </c>
      <c r="H39">
        <v>1</v>
      </c>
      <c r="I39" s="8">
        <v>0.22916666666666666</v>
      </c>
      <c r="J39" s="8">
        <v>0.29166666666666669</v>
      </c>
      <c r="K39" s="9">
        <f t="shared" si="0"/>
        <v>1.5000000000000007</v>
      </c>
      <c r="L39" t="s">
        <v>25</v>
      </c>
      <c r="M39" t="s">
        <v>49</v>
      </c>
      <c r="N39" t="s">
        <v>55</v>
      </c>
      <c r="O39" s="3">
        <v>1</v>
      </c>
      <c r="P39" s="4">
        <v>0</v>
      </c>
      <c r="Q39" s="5">
        <v>0</v>
      </c>
      <c r="R39" s="6">
        <v>0</v>
      </c>
      <c r="S39" s="3">
        <v>0</v>
      </c>
      <c r="T39" s="4">
        <v>0</v>
      </c>
      <c r="U39" s="5">
        <v>0</v>
      </c>
      <c r="V39" s="6">
        <v>0</v>
      </c>
    </row>
    <row r="40" spans="1:25" x14ac:dyDescent="0.3">
      <c r="A40" t="s">
        <v>25</v>
      </c>
      <c r="B40" s="7">
        <v>45162</v>
      </c>
      <c r="C40" s="7" t="s">
        <v>26</v>
      </c>
      <c r="D40">
        <v>3</v>
      </c>
      <c r="E40">
        <v>2</v>
      </c>
      <c r="F40">
        <v>2</v>
      </c>
      <c r="G40" t="s">
        <v>27</v>
      </c>
      <c r="H40">
        <v>1</v>
      </c>
      <c r="I40" s="8">
        <v>0.25694444444444448</v>
      </c>
      <c r="J40" s="8">
        <v>0.2986111111111111</v>
      </c>
      <c r="K40" s="9">
        <f t="shared" si="0"/>
        <v>0.99999999999999911</v>
      </c>
      <c r="L40" t="s">
        <v>25</v>
      </c>
      <c r="N40" t="s">
        <v>27</v>
      </c>
      <c r="O40" s="3">
        <v>0</v>
      </c>
      <c r="P40" s="4">
        <v>0</v>
      </c>
      <c r="Q40" s="5">
        <v>0</v>
      </c>
      <c r="R40" s="6">
        <v>0</v>
      </c>
      <c r="S40" s="3">
        <v>0</v>
      </c>
      <c r="T40" s="4">
        <v>0</v>
      </c>
      <c r="U40" s="5">
        <v>0</v>
      </c>
      <c r="V40" s="6">
        <v>0</v>
      </c>
    </row>
    <row r="41" spans="1:25" x14ac:dyDescent="0.3">
      <c r="A41" t="s">
        <v>25</v>
      </c>
      <c r="B41" s="7">
        <v>45162</v>
      </c>
      <c r="C41" s="7" t="s">
        <v>26</v>
      </c>
      <c r="D41">
        <v>4</v>
      </c>
      <c r="E41">
        <v>2</v>
      </c>
      <c r="F41">
        <v>2</v>
      </c>
      <c r="G41" t="s">
        <v>27</v>
      </c>
      <c r="H41">
        <v>1</v>
      </c>
      <c r="I41" s="8">
        <v>0.23958333333333334</v>
      </c>
      <c r="J41" s="8">
        <v>0.32291666666666669</v>
      </c>
      <c r="K41" s="9">
        <f t="shared" si="0"/>
        <v>2</v>
      </c>
      <c r="L41" t="s">
        <v>25</v>
      </c>
      <c r="M41" t="s">
        <v>54</v>
      </c>
      <c r="N41" t="s">
        <v>27</v>
      </c>
      <c r="O41" s="3">
        <v>1</v>
      </c>
      <c r="P41" s="4">
        <v>0</v>
      </c>
      <c r="Q41" s="5">
        <v>0</v>
      </c>
      <c r="R41" s="6">
        <v>0</v>
      </c>
      <c r="S41" s="3">
        <v>0</v>
      </c>
      <c r="T41" s="4">
        <v>0</v>
      </c>
      <c r="U41" s="5">
        <v>2</v>
      </c>
      <c r="V41" s="6">
        <v>0</v>
      </c>
    </row>
    <row r="42" spans="1:25" x14ac:dyDescent="0.3">
      <c r="A42" t="s">
        <v>25</v>
      </c>
      <c r="B42" s="7">
        <v>45162</v>
      </c>
      <c r="C42" s="7" t="s">
        <v>26</v>
      </c>
      <c r="D42">
        <v>5</v>
      </c>
      <c r="E42">
        <v>2</v>
      </c>
      <c r="F42">
        <v>2</v>
      </c>
      <c r="G42" t="s">
        <v>27</v>
      </c>
      <c r="H42">
        <v>1</v>
      </c>
      <c r="I42" s="8">
        <v>0.25</v>
      </c>
      <c r="J42" s="8">
        <v>0.33124999999999999</v>
      </c>
      <c r="K42" s="9">
        <f t="shared" si="0"/>
        <v>1.9499999999999997</v>
      </c>
      <c r="L42" t="s">
        <v>25</v>
      </c>
      <c r="M42" t="s">
        <v>56</v>
      </c>
      <c r="N42" t="s">
        <v>50</v>
      </c>
      <c r="O42" s="3">
        <v>0</v>
      </c>
      <c r="P42" s="4">
        <v>0</v>
      </c>
      <c r="Q42" s="5">
        <v>0</v>
      </c>
      <c r="R42" s="6">
        <v>0</v>
      </c>
      <c r="S42" s="3">
        <v>0</v>
      </c>
      <c r="T42" s="4">
        <v>0</v>
      </c>
      <c r="U42" s="5">
        <v>0</v>
      </c>
      <c r="V42" s="6">
        <v>0</v>
      </c>
    </row>
    <row r="43" spans="1:25" x14ac:dyDescent="0.3">
      <c r="A43" t="s">
        <v>25</v>
      </c>
      <c r="B43" s="7">
        <v>45162</v>
      </c>
      <c r="C43" s="7" t="s">
        <v>26</v>
      </c>
      <c r="D43">
        <v>6</v>
      </c>
      <c r="E43">
        <v>2</v>
      </c>
      <c r="F43">
        <v>4</v>
      </c>
      <c r="G43" t="s">
        <v>27</v>
      </c>
      <c r="H43">
        <v>2</v>
      </c>
      <c r="I43" s="8">
        <v>0.3125</v>
      </c>
      <c r="J43" s="8">
        <v>0.38263888888888892</v>
      </c>
      <c r="K43" s="9">
        <f t="shared" si="0"/>
        <v>3.366666666666668</v>
      </c>
      <c r="L43" t="s">
        <v>25</v>
      </c>
      <c r="M43" t="s">
        <v>56</v>
      </c>
      <c r="N43" t="s">
        <v>50</v>
      </c>
      <c r="O43" s="3">
        <v>1</v>
      </c>
      <c r="P43" s="4">
        <v>0</v>
      </c>
      <c r="Q43" s="5">
        <v>0</v>
      </c>
      <c r="R43" s="6">
        <v>0</v>
      </c>
      <c r="S43" s="3">
        <v>0</v>
      </c>
      <c r="T43" s="4">
        <v>0</v>
      </c>
      <c r="U43" s="5">
        <v>0</v>
      </c>
      <c r="V43" s="6">
        <v>0</v>
      </c>
      <c r="Y43" t="s">
        <v>57</v>
      </c>
    </row>
    <row r="44" spans="1:25" x14ac:dyDescent="0.3">
      <c r="A44" t="s">
        <v>25</v>
      </c>
      <c r="B44" s="7">
        <v>45162</v>
      </c>
      <c r="C44" s="7" t="s">
        <v>26</v>
      </c>
      <c r="D44">
        <v>7</v>
      </c>
      <c r="E44">
        <v>2</v>
      </c>
      <c r="F44">
        <v>4</v>
      </c>
      <c r="G44" t="s">
        <v>27</v>
      </c>
      <c r="H44">
        <v>1</v>
      </c>
      <c r="I44" s="8">
        <v>0.32291666666666669</v>
      </c>
      <c r="J44" s="8">
        <v>0.40486111111111112</v>
      </c>
      <c r="K44" s="9">
        <f t="shared" si="0"/>
        <v>1.9666666666666663</v>
      </c>
      <c r="L44" t="s">
        <v>25</v>
      </c>
      <c r="M44" t="s">
        <v>58</v>
      </c>
      <c r="N44" t="s">
        <v>27</v>
      </c>
      <c r="O44" s="3">
        <v>0</v>
      </c>
      <c r="P44" s="4">
        <v>0</v>
      </c>
      <c r="Q44" s="5">
        <v>0</v>
      </c>
      <c r="R44" s="6">
        <v>0</v>
      </c>
      <c r="S44" s="3">
        <v>0</v>
      </c>
      <c r="T44" s="4">
        <v>0</v>
      </c>
      <c r="U44" s="5">
        <v>0</v>
      </c>
      <c r="V44" s="6">
        <v>0</v>
      </c>
      <c r="Y44" t="s">
        <v>59</v>
      </c>
    </row>
    <row r="45" spans="1:25" x14ac:dyDescent="0.3">
      <c r="A45" t="s">
        <v>25</v>
      </c>
      <c r="B45" s="7">
        <v>45162</v>
      </c>
      <c r="C45" s="7" t="s">
        <v>26</v>
      </c>
      <c r="D45">
        <v>8</v>
      </c>
      <c r="E45">
        <v>2</v>
      </c>
      <c r="F45">
        <v>4</v>
      </c>
      <c r="G45" t="s">
        <v>27</v>
      </c>
      <c r="H45">
        <v>2</v>
      </c>
      <c r="I45" s="8">
        <v>0.34375</v>
      </c>
      <c r="J45" s="8">
        <v>0.40625</v>
      </c>
      <c r="K45" s="9">
        <f t="shared" si="0"/>
        <v>3</v>
      </c>
      <c r="L45" t="s">
        <v>25</v>
      </c>
      <c r="M45" t="s">
        <v>29</v>
      </c>
      <c r="N45" t="s">
        <v>27</v>
      </c>
      <c r="O45" s="3">
        <v>0</v>
      </c>
      <c r="P45" s="4">
        <v>0</v>
      </c>
      <c r="Q45" s="5">
        <v>0</v>
      </c>
      <c r="R45" s="6">
        <v>0</v>
      </c>
      <c r="S45" s="3">
        <v>0</v>
      </c>
      <c r="T45" s="4">
        <v>0</v>
      </c>
      <c r="U45" s="5">
        <v>0</v>
      </c>
      <c r="V45" s="6">
        <v>0</v>
      </c>
      <c r="Y45" t="s">
        <v>59</v>
      </c>
    </row>
    <row r="46" spans="1:25" x14ac:dyDescent="0.3">
      <c r="A46" t="s">
        <v>25</v>
      </c>
      <c r="B46" s="7">
        <v>45162</v>
      </c>
      <c r="C46" s="7" t="s">
        <v>26</v>
      </c>
      <c r="D46">
        <v>9</v>
      </c>
      <c r="E46">
        <v>2</v>
      </c>
      <c r="F46">
        <v>2</v>
      </c>
      <c r="G46" t="s">
        <v>27</v>
      </c>
      <c r="H46">
        <v>2</v>
      </c>
      <c r="I46" s="8">
        <v>0.20833333333333334</v>
      </c>
      <c r="J46" s="8">
        <v>0.42708333333333331</v>
      </c>
      <c r="K46" s="9">
        <f t="shared" si="0"/>
        <v>10.499999999999998</v>
      </c>
      <c r="L46" t="s">
        <v>25</v>
      </c>
      <c r="M46" t="s">
        <v>56</v>
      </c>
      <c r="N46" t="s">
        <v>55</v>
      </c>
      <c r="O46" s="3">
        <v>0</v>
      </c>
      <c r="P46" s="4">
        <v>0</v>
      </c>
      <c r="Q46" s="5">
        <v>0</v>
      </c>
      <c r="R46" s="6">
        <v>0</v>
      </c>
      <c r="S46" s="3">
        <v>0</v>
      </c>
      <c r="T46" s="4">
        <v>1</v>
      </c>
      <c r="U46" s="5">
        <v>22</v>
      </c>
      <c r="V46" s="6">
        <v>0</v>
      </c>
      <c r="Y46" t="s">
        <v>60</v>
      </c>
    </row>
    <row r="47" spans="1:25" x14ac:dyDescent="0.3">
      <c r="A47" t="s">
        <v>25</v>
      </c>
      <c r="B47" s="7">
        <v>45162</v>
      </c>
      <c r="C47" s="7" t="s">
        <v>26</v>
      </c>
      <c r="D47">
        <v>10</v>
      </c>
      <c r="E47">
        <v>2</v>
      </c>
      <c r="F47">
        <v>2</v>
      </c>
      <c r="G47" t="s">
        <v>27</v>
      </c>
      <c r="H47">
        <v>1</v>
      </c>
      <c r="I47" s="8">
        <v>0.28125</v>
      </c>
      <c r="J47" s="8">
        <v>0.42708333333333331</v>
      </c>
      <c r="K47" s="9">
        <f t="shared" si="0"/>
        <v>3.4999999999999996</v>
      </c>
      <c r="L47" t="s">
        <v>25</v>
      </c>
      <c r="M47" t="s">
        <v>29</v>
      </c>
      <c r="N47" t="s">
        <v>32</v>
      </c>
      <c r="O47" s="3">
        <v>0</v>
      </c>
      <c r="P47" s="4">
        <v>0</v>
      </c>
      <c r="Q47" s="5">
        <v>1</v>
      </c>
      <c r="R47" s="6">
        <v>0</v>
      </c>
      <c r="S47" s="3">
        <v>0</v>
      </c>
      <c r="T47" s="4">
        <v>0</v>
      </c>
      <c r="U47" s="5">
        <v>4</v>
      </c>
      <c r="V47" s="6">
        <v>0</v>
      </c>
      <c r="Y47" t="s">
        <v>60</v>
      </c>
    </row>
    <row r="48" spans="1:25" x14ac:dyDescent="0.3">
      <c r="A48" t="s">
        <v>25</v>
      </c>
      <c r="B48" s="7">
        <v>45162</v>
      </c>
      <c r="C48" t="s">
        <v>42</v>
      </c>
      <c r="D48">
        <v>11</v>
      </c>
      <c r="E48">
        <v>1</v>
      </c>
      <c r="F48">
        <v>2</v>
      </c>
      <c r="G48" t="s">
        <v>27</v>
      </c>
      <c r="H48">
        <v>2</v>
      </c>
      <c r="I48" s="8">
        <v>0.58333333333333337</v>
      </c>
      <c r="J48" s="8">
        <v>0.6875</v>
      </c>
      <c r="K48" s="9">
        <f t="shared" si="0"/>
        <v>4.9999999999999982</v>
      </c>
      <c r="L48" t="s">
        <v>25</v>
      </c>
      <c r="M48" t="s">
        <v>29</v>
      </c>
      <c r="N48" t="s">
        <v>32</v>
      </c>
      <c r="O48" s="3">
        <v>0</v>
      </c>
      <c r="P48" s="4">
        <v>0</v>
      </c>
      <c r="Q48" s="5">
        <v>3</v>
      </c>
      <c r="R48" s="6">
        <v>0</v>
      </c>
      <c r="S48" s="3">
        <v>0</v>
      </c>
      <c r="T48" s="4">
        <v>0</v>
      </c>
      <c r="U48" s="5">
        <v>3</v>
      </c>
      <c r="V48" s="6">
        <v>0</v>
      </c>
    </row>
    <row r="49" spans="1:25" x14ac:dyDescent="0.3">
      <c r="A49" t="s">
        <v>25</v>
      </c>
      <c r="B49" s="7">
        <v>45162</v>
      </c>
      <c r="C49" t="s">
        <v>42</v>
      </c>
      <c r="D49">
        <v>12</v>
      </c>
      <c r="E49">
        <v>1</v>
      </c>
      <c r="F49">
        <v>2</v>
      </c>
      <c r="G49" t="s">
        <v>27</v>
      </c>
      <c r="H49">
        <v>2</v>
      </c>
      <c r="I49" s="8">
        <v>0.5</v>
      </c>
      <c r="J49" s="8">
        <v>0.71527777777777779</v>
      </c>
      <c r="K49" s="9">
        <f t="shared" si="0"/>
        <v>10.333333333333334</v>
      </c>
      <c r="L49" t="s">
        <v>25</v>
      </c>
      <c r="M49" t="s">
        <v>29</v>
      </c>
      <c r="N49" t="s">
        <v>32</v>
      </c>
      <c r="O49" s="3">
        <v>0</v>
      </c>
      <c r="P49" s="4">
        <v>0</v>
      </c>
      <c r="Q49" s="5">
        <v>2</v>
      </c>
      <c r="R49" s="6">
        <v>0</v>
      </c>
      <c r="S49" s="3">
        <v>0</v>
      </c>
      <c r="T49" s="4">
        <v>0</v>
      </c>
      <c r="U49" s="5">
        <v>0</v>
      </c>
      <c r="V49" s="6">
        <v>0</v>
      </c>
      <c r="Y49" t="s">
        <v>52</v>
      </c>
    </row>
    <row r="50" spans="1:25" x14ac:dyDescent="0.3">
      <c r="A50" t="s">
        <v>25</v>
      </c>
      <c r="B50" s="7">
        <v>45162</v>
      </c>
      <c r="C50" t="s">
        <v>42</v>
      </c>
      <c r="D50">
        <v>13</v>
      </c>
      <c r="E50">
        <v>2</v>
      </c>
      <c r="F50">
        <v>1</v>
      </c>
      <c r="G50" t="s">
        <v>27</v>
      </c>
      <c r="H50">
        <v>1</v>
      </c>
      <c r="I50" s="8">
        <v>0.70833333333333337</v>
      </c>
      <c r="J50" s="8">
        <v>0.73611111111111116</v>
      </c>
      <c r="K50" s="9">
        <f t="shared" si="0"/>
        <v>0.66666666666666696</v>
      </c>
      <c r="L50" t="s">
        <v>25</v>
      </c>
      <c r="M50" t="s">
        <v>61</v>
      </c>
      <c r="N50" t="s">
        <v>27</v>
      </c>
      <c r="O50" s="3">
        <v>0</v>
      </c>
      <c r="P50" s="4">
        <v>0</v>
      </c>
      <c r="Q50" s="5">
        <v>0</v>
      </c>
      <c r="R50" s="6">
        <v>0</v>
      </c>
      <c r="S50" s="3">
        <v>0</v>
      </c>
      <c r="T50" s="4">
        <v>0</v>
      </c>
      <c r="U50" s="5">
        <v>0</v>
      </c>
      <c r="V50" s="6">
        <v>0</v>
      </c>
    </row>
    <row r="51" spans="1:25" x14ac:dyDescent="0.3">
      <c r="A51" t="s">
        <v>25</v>
      </c>
      <c r="B51" s="7">
        <v>45162</v>
      </c>
      <c r="C51" t="s">
        <v>42</v>
      </c>
      <c r="D51">
        <v>14</v>
      </c>
      <c r="E51">
        <v>2</v>
      </c>
      <c r="F51">
        <v>2</v>
      </c>
      <c r="G51" t="s">
        <v>27</v>
      </c>
      <c r="H51">
        <v>1</v>
      </c>
      <c r="I51" s="8">
        <v>0.70833333333333337</v>
      </c>
      <c r="J51" s="8">
        <v>0.75</v>
      </c>
      <c r="K51" s="9">
        <f t="shared" si="0"/>
        <v>0.99999999999999911</v>
      </c>
      <c r="L51" t="s">
        <v>25</v>
      </c>
      <c r="M51" t="s">
        <v>62</v>
      </c>
      <c r="N51" t="s">
        <v>50</v>
      </c>
      <c r="O51" s="3">
        <v>0</v>
      </c>
      <c r="P51" s="4">
        <v>0</v>
      </c>
      <c r="Q51" s="5">
        <v>0</v>
      </c>
      <c r="R51" s="6">
        <v>0</v>
      </c>
      <c r="S51" s="3">
        <v>0</v>
      </c>
      <c r="T51" s="4">
        <v>0</v>
      </c>
      <c r="U51" s="5">
        <v>0</v>
      </c>
      <c r="V51" s="6">
        <v>0</v>
      </c>
      <c r="Y51" t="s">
        <v>63</v>
      </c>
    </row>
    <row r="52" spans="1:25" x14ac:dyDescent="0.3">
      <c r="A52" t="s">
        <v>25</v>
      </c>
      <c r="B52" s="7">
        <v>45162</v>
      </c>
      <c r="C52" t="s">
        <v>42</v>
      </c>
      <c r="D52">
        <v>15</v>
      </c>
      <c r="E52">
        <v>2</v>
      </c>
      <c r="F52">
        <v>2</v>
      </c>
      <c r="G52" t="s">
        <v>27</v>
      </c>
      <c r="H52">
        <v>1</v>
      </c>
      <c r="I52" s="8">
        <v>0.72916666666666663</v>
      </c>
      <c r="J52" s="8">
        <v>0.75</v>
      </c>
      <c r="K52" s="9">
        <f t="shared" si="0"/>
        <v>0.50000000000000089</v>
      </c>
      <c r="L52" t="s">
        <v>25</v>
      </c>
      <c r="M52" t="s">
        <v>49</v>
      </c>
      <c r="N52" t="s">
        <v>27</v>
      </c>
      <c r="O52" s="3">
        <v>0</v>
      </c>
      <c r="P52" s="4">
        <v>0</v>
      </c>
      <c r="Q52" s="5">
        <v>0</v>
      </c>
      <c r="R52" s="6">
        <v>0</v>
      </c>
      <c r="S52" s="3">
        <v>0</v>
      </c>
      <c r="T52" s="4">
        <v>0</v>
      </c>
      <c r="U52" s="5">
        <v>0</v>
      </c>
      <c r="V52" s="6">
        <v>0</v>
      </c>
      <c r="Y52" t="s">
        <v>63</v>
      </c>
    </row>
    <row r="53" spans="1:25" x14ac:dyDescent="0.3">
      <c r="A53" t="s">
        <v>25</v>
      </c>
      <c r="B53" s="7">
        <v>45162</v>
      </c>
      <c r="C53" t="s">
        <v>42</v>
      </c>
      <c r="D53">
        <v>16</v>
      </c>
      <c r="E53">
        <v>2</v>
      </c>
      <c r="F53">
        <v>5</v>
      </c>
      <c r="G53" t="s">
        <v>27</v>
      </c>
      <c r="H53">
        <v>2</v>
      </c>
      <c r="I53" s="8">
        <v>0.70833333333333337</v>
      </c>
      <c r="J53" s="8">
        <v>0.79166666666666663</v>
      </c>
      <c r="K53" s="9">
        <f t="shared" si="0"/>
        <v>3.9999999999999964</v>
      </c>
      <c r="L53" t="s">
        <v>25</v>
      </c>
      <c r="M53" t="s">
        <v>49</v>
      </c>
      <c r="N53" t="s">
        <v>64</v>
      </c>
      <c r="O53" s="3">
        <v>0</v>
      </c>
      <c r="P53" s="4">
        <v>0</v>
      </c>
      <c r="Q53" s="5">
        <v>0</v>
      </c>
      <c r="R53" s="6">
        <v>0</v>
      </c>
      <c r="S53" s="3">
        <v>0</v>
      </c>
      <c r="T53" s="4">
        <v>0</v>
      </c>
      <c r="U53" s="5">
        <v>0</v>
      </c>
      <c r="V53" s="6">
        <v>0</v>
      </c>
      <c r="Y53" t="s">
        <v>65</v>
      </c>
    </row>
    <row r="54" spans="1:25" x14ac:dyDescent="0.3">
      <c r="A54" t="s">
        <v>25</v>
      </c>
      <c r="B54" s="7">
        <v>45162</v>
      </c>
      <c r="C54" t="s">
        <v>42</v>
      </c>
      <c r="D54">
        <v>17</v>
      </c>
      <c r="E54">
        <v>2</v>
      </c>
      <c r="F54">
        <v>5</v>
      </c>
      <c r="G54" t="s">
        <v>27</v>
      </c>
      <c r="H54">
        <v>1</v>
      </c>
      <c r="I54" s="8">
        <v>0.75</v>
      </c>
      <c r="J54" s="8">
        <v>0.79166666666666663</v>
      </c>
      <c r="K54" s="9">
        <f t="shared" si="0"/>
        <v>0.99999999999999911</v>
      </c>
      <c r="L54" t="s">
        <v>25</v>
      </c>
      <c r="M54" t="s">
        <v>29</v>
      </c>
      <c r="N54" t="s">
        <v>27</v>
      </c>
      <c r="O54" s="3">
        <v>0</v>
      </c>
      <c r="P54" s="4">
        <v>0</v>
      </c>
      <c r="Q54" s="5">
        <v>0</v>
      </c>
      <c r="R54" s="6">
        <v>0</v>
      </c>
      <c r="S54" s="3">
        <v>0</v>
      </c>
      <c r="T54" s="4">
        <v>0</v>
      </c>
      <c r="U54" s="5">
        <v>0</v>
      </c>
      <c r="V54" s="6">
        <v>0</v>
      </c>
      <c r="Y54" t="s">
        <v>66</v>
      </c>
    </row>
    <row r="55" spans="1:25" x14ac:dyDescent="0.3">
      <c r="A55" t="s">
        <v>25</v>
      </c>
      <c r="B55" s="7">
        <v>45162</v>
      </c>
      <c r="C55" t="s">
        <v>42</v>
      </c>
      <c r="D55">
        <v>18</v>
      </c>
      <c r="E55">
        <v>2</v>
      </c>
      <c r="F55">
        <v>4</v>
      </c>
      <c r="G55" t="s">
        <v>27</v>
      </c>
      <c r="H55">
        <v>1</v>
      </c>
      <c r="I55" s="8">
        <v>0.72222222222222221</v>
      </c>
      <c r="J55" s="8">
        <v>0.80555555555555547</v>
      </c>
      <c r="K55" s="9">
        <f t="shared" si="0"/>
        <v>1.9999999999999982</v>
      </c>
      <c r="L55" t="s">
        <v>25</v>
      </c>
      <c r="M55" t="s">
        <v>67</v>
      </c>
      <c r="N55" t="s">
        <v>27</v>
      </c>
      <c r="O55" s="3">
        <v>0</v>
      </c>
      <c r="P55" s="4">
        <v>0</v>
      </c>
      <c r="Q55" s="5">
        <v>0</v>
      </c>
      <c r="R55" s="6">
        <v>0</v>
      </c>
      <c r="S55" s="3">
        <v>0</v>
      </c>
      <c r="T55" s="4">
        <v>0</v>
      </c>
      <c r="U55" s="5">
        <v>0</v>
      </c>
      <c r="V55" s="6">
        <v>0</v>
      </c>
      <c r="Y55" t="s">
        <v>68</v>
      </c>
    </row>
    <row r="56" spans="1:25" x14ac:dyDescent="0.3">
      <c r="A56" t="s">
        <v>25</v>
      </c>
      <c r="B56" s="7">
        <v>45162</v>
      </c>
      <c r="C56" t="s">
        <v>42</v>
      </c>
      <c r="D56">
        <v>19</v>
      </c>
      <c r="E56">
        <v>1</v>
      </c>
      <c r="F56">
        <v>1</v>
      </c>
      <c r="G56" t="s">
        <v>35</v>
      </c>
      <c r="H56">
        <v>3</v>
      </c>
      <c r="I56" s="8">
        <v>0.66666666666666663</v>
      </c>
      <c r="J56" s="8">
        <v>0.84722222222222221</v>
      </c>
      <c r="K56" s="9">
        <f t="shared" si="0"/>
        <v>13.000000000000002</v>
      </c>
      <c r="L56" t="s">
        <v>25</v>
      </c>
      <c r="M56" t="s">
        <v>29</v>
      </c>
      <c r="N56" t="s">
        <v>32</v>
      </c>
      <c r="O56" s="3">
        <v>0</v>
      </c>
      <c r="P56" s="4">
        <v>0</v>
      </c>
      <c r="Q56" s="5">
        <v>10</v>
      </c>
      <c r="R56" s="6">
        <v>0</v>
      </c>
      <c r="S56" s="3">
        <v>0</v>
      </c>
      <c r="T56" s="4">
        <v>0</v>
      </c>
      <c r="U56" s="5">
        <v>4</v>
      </c>
      <c r="V56" s="6">
        <v>0</v>
      </c>
      <c r="Y56" t="s">
        <v>69</v>
      </c>
    </row>
    <row r="57" spans="1:25" x14ac:dyDescent="0.3">
      <c r="A57" t="s">
        <v>25</v>
      </c>
      <c r="B57" s="7">
        <v>45163</v>
      </c>
      <c r="C57" t="s">
        <v>26</v>
      </c>
      <c r="D57">
        <v>1</v>
      </c>
      <c r="E57">
        <v>1</v>
      </c>
      <c r="F57">
        <v>4</v>
      </c>
      <c r="G57" t="s">
        <v>27</v>
      </c>
      <c r="H57">
        <v>1</v>
      </c>
      <c r="I57" s="8">
        <v>0.27083333333333331</v>
      </c>
      <c r="J57" s="8">
        <v>0.29166666666666669</v>
      </c>
      <c r="K57" s="9">
        <f t="shared" si="0"/>
        <v>0.50000000000000089</v>
      </c>
      <c r="L57" t="s">
        <v>25</v>
      </c>
      <c r="M57" t="s">
        <v>70</v>
      </c>
      <c r="N57" t="s">
        <v>32</v>
      </c>
      <c r="O57" s="3">
        <v>0</v>
      </c>
      <c r="P57" s="4">
        <v>0</v>
      </c>
      <c r="Q57" s="5">
        <v>0</v>
      </c>
      <c r="R57" s="6">
        <v>0</v>
      </c>
      <c r="S57" s="3">
        <v>0</v>
      </c>
      <c r="T57" s="4">
        <v>0</v>
      </c>
      <c r="U57" s="5">
        <v>0</v>
      </c>
      <c r="V57" s="6">
        <v>0</v>
      </c>
      <c r="Y57" t="s">
        <v>71</v>
      </c>
    </row>
    <row r="58" spans="1:25" x14ac:dyDescent="0.3">
      <c r="A58" t="s">
        <v>25</v>
      </c>
      <c r="B58" s="7">
        <v>45163</v>
      </c>
      <c r="C58" t="s">
        <v>26</v>
      </c>
      <c r="D58">
        <v>2</v>
      </c>
      <c r="E58">
        <v>1</v>
      </c>
      <c r="F58">
        <v>4</v>
      </c>
      <c r="G58" t="s">
        <v>27</v>
      </c>
      <c r="H58">
        <v>1</v>
      </c>
      <c r="I58" s="8">
        <v>0.25</v>
      </c>
      <c r="J58" s="8">
        <v>0.2986111111111111</v>
      </c>
      <c r="K58" s="9">
        <f t="shared" si="0"/>
        <v>1.1666666666666665</v>
      </c>
      <c r="L58" t="s">
        <v>25</v>
      </c>
      <c r="M58" t="s">
        <v>47</v>
      </c>
      <c r="N58" t="s">
        <v>32</v>
      </c>
      <c r="O58" s="3">
        <v>0</v>
      </c>
      <c r="P58" s="4">
        <v>0</v>
      </c>
      <c r="Q58" s="5">
        <v>0</v>
      </c>
      <c r="R58" s="6">
        <v>0</v>
      </c>
      <c r="S58" s="3">
        <v>4</v>
      </c>
      <c r="T58" s="4">
        <v>0</v>
      </c>
      <c r="U58" s="5">
        <v>2</v>
      </c>
      <c r="V58" s="6">
        <v>0</v>
      </c>
      <c r="Y58" t="s">
        <v>71</v>
      </c>
    </row>
    <row r="59" spans="1:25" x14ac:dyDescent="0.3">
      <c r="A59" t="s">
        <v>25</v>
      </c>
      <c r="B59" s="7">
        <v>45163</v>
      </c>
      <c r="C59" t="s">
        <v>26</v>
      </c>
      <c r="D59">
        <v>3</v>
      </c>
      <c r="E59">
        <v>2</v>
      </c>
      <c r="F59">
        <v>1</v>
      </c>
      <c r="G59" t="s">
        <v>27</v>
      </c>
      <c r="H59">
        <v>4</v>
      </c>
      <c r="I59" s="8">
        <v>0.28125</v>
      </c>
      <c r="J59" s="8">
        <v>0.3034722222222222</v>
      </c>
      <c r="K59" s="9">
        <f t="shared" si="0"/>
        <v>2.1333333333333311</v>
      </c>
      <c r="L59" t="s">
        <v>28</v>
      </c>
      <c r="M59" t="s">
        <v>54</v>
      </c>
      <c r="N59" t="s">
        <v>27</v>
      </c>
      <c r="O59" s="3">
        <v>3</v>
      </c>
      <c r="P59" s="4">
        <v>0</v>
      </c>
      <c r="Q59" s="5">
        <v>0</v>
      </c>
      <c r="R59" s="6">
        <v>0</v>
      </c>
      <c r="S59" s="3">
        <v>3</v>
      </c>
      <c r="T59" s="4">
        <v>0</v>
      </c>
      <c r="U59" s="5">
        <v>0</v>
      </c>
      <c r="V59" s="6">
        <v>0</v>
      </c>
      <c r="Y59" t="s">
        <v>72</v>
      </c>
    </row>
    <row r="60" spans="1:25" x14ac:dyDescent="0.3">
      <c r="A60" t="s">
        <v>25</v>
      </c>
      <c r="B60" s="7">
        <v>45163</v>
      </c>
      <c r="C60" t="s">
        <v>26</v>
      </c>
      <c r="D60">
        <v>4</v>
      </c>
      <c r="E60">
        <v>2</v>
      </c>
      <c r="F60">
        <v>1</v>
      </c>
      <c r="G60" t="s">
        <v>27</v>
      </c>
      <c r="H60">
        <v>1</v>
      </c>
      <c r="I60" s="8">
        <v>0.28472222222222221</v>
      </c>
      <c r="J60" s="8">
        <v>0.30555555555555552</v>
      </c>
      <c r="K60" s="9">
        <f t="shared" si="0"/>
        <v>0.49999999999999956</v>
      </c>
      <c r="L60" t="s">
        <v>25</v>
      </c>
      <c r="M60" t="s">
        <v>73</v>
      </c>
      <c r="N60" t="s">
        <v>27</v>
      </c>
      <c r="O60" s="3">
        <v>0</v>
      </c>
      <c r="P60" s="4">
        <v>0</v>
      </c>
      <c r="Q60" s="5">
        <v>0</v>
      </c>
      <c r="R60" s="6">
        <v>0</v>
      </c>
      <c r="S60" s="3">
        <v>0</v>
      </c>
      <c r="T60" s="4">
        <v>0</v>
      </c>
      <c r="U60" s="5">
        <v>0</v>
      </c>
      <c r="V60" s="6">
        <v>0</v>
      </c>
      <c r="Y60" t="s">
        <v>72</v>
      </c>
    </row>
    <row r="61" spans="1:25" x14ac:dyDescent="0.3">
      <c r="A61" t="s">
        <v>25</v>
      </c>
      <c r="B61" s="7">
        <v>45163</v>
      </c>
      <c r="C61" t="s">
        <v>26</v>
      </c>
      <c r="D61">
        <v>5</v>
      </c>
      <c r="E61">
        <v>2</v>
      </c>
      <c r="F61">
        <v>2</v>
      </c>
      <c r="G61" t="s">
        <v>27</v>
      </c>
      <c r="H61">
        <v>1</v>
      </c>
      <c r="I61" s="8">
        <v>0.25</v>
      </c>
      <c r="J61" s="8">
        <v>0.34097222222222223</v>
      </c>
      <c r="K61" s="9">
        <f t="shared" si="0"/>
        <v>2.1833333333333336</v>
      </c>
      <c r="L61" t="s">
        <v>25</v>
      </c>
      <c r="M61" t="s">
        <v>54</v>
      </c>
      <c r="N61" t="s">
        <v>27</v>
      </c>
      <c r="O61" s="3">
        <v>2</v>
      </c>
      <c r="P61" s="4">
        <v>0</v>
      </c>
      <c r="Q61" s="5">
        <v>0</v>
      </c>
      <c r="R61" s="6">
        <v>0</v>
      </c>
      <c r="S61" s="3">
        <v>0</v>
      </c>
      <c r="T61" s="4">
        <v>0</v>
      </c>
      <c r="U61" s="5">
        <v>0</v>
      </c>
      <c r="V61" s="6">
        <v>0</v>
      </c>
      <c r="Y61" t="s">
        <v>72</v>
      </c>
    </row>
    <row r="62" spans="1:25" x14ac:dyDescent="0.3">
      <c r="A62" t="s">
        <v>25</v>
      </c>
      <c r="B62" s="7">
        <v>45163</v>
      </c>
      <c r="C62" t="s">
        <v>26</v>
      </c>
      <c r="D62">
        <v>6</v>
      </c>
      <c r="E62">
        <v>2</v>
      </c>
      <c r="F62">
        <v>2</v>
      </c>
      <c r="G62" t="s">
        <v>27</v>
      </c>
      <c r="H62">
        <v>1</v>
      </c>
      <c r="I62" s="8">
        <v>0.25</v>
      </c>
      <c r="J62" s="8">
        <v>0.34097222222222223</v>
      </c>
      <c r="K62" s="9">
        <f t="shared" si="0"/>
        <v>2.1833333333333336</v>
      </c>
      <c r="L62" t="s">
        <v>28</v>
      </c>
      <c r="M62" t="s">
        <v>54</v>
      </c>
      <c r="N62" t="s">
        <v>27</v>
      </c>
      <c r="O62" s="3">
        <v>0</v>
      </c>
      <c r="P62" s="4">
        <v>0</v>
      </c>
      <c r="Q62" s="5">
        <v>3</v>
      </c>
      <c r="R62" s="6">
        <v>0</v>
      </c>
      <c r="S62" s="3">
        <v>0</v>
      </c>
      <c r="T62" s="4">
        <v>0</v>
      </c>
      <c r="U62" s="5">
        <v>0</v>
      </c>
      <c r="V62" s="6">
        <v>0</v>
      </c>
      <c r="Y62" t="s">
        <v>63</v>
      </c>
    </row>
    <row r="63" spans="1:25" x14ac:dyDescent="0.3">
      <c r="A63" t="s">
        <v>25</v>
      </c>
      <c r="B63" s="7">
        <v>45163</v>
      </c>
      <c r="C63" t="s">
        <v>26</v>
      </c>
      <c r="D63">
        <v>7</v>
      </c>
      <c r="E63">
        <v>2</v>
      </c>
      <c r="F63">
        <v>3</v>
      </c>
      <c r="G63" t="s">
        <v>27</v>
      </c>
      <c r="H63">
        <v>3</v>
      </c>
      <c r="I63" s="8">
        <v>0.34375</v>
      </c>
      <c r="J63" s="8">
        <v>0.35416666666666669</v>
      </c>
      <c r="K63" s="9">
        <f t="shared" si="0"/>
        <v>0.75000000000000133</v>
      </c>
      <c r="L63" t="s">
        <v>28</v>
      </c>
      <c r="M63" t="s">
        <v>29</v>
      </c>
      <c r="N63" t="s">
        <v>32</v>
      </c>
      <c r="O63" s="3">
        <v>0</v>
      </c>
      <c r="P63" s="4">
        <v>0</v>
      </c>
      <c r="Q63" s="5">
        <v>1</v>
      </c>
      <c r="R63" s="6">
        <v>0</v>
      </c>
      <c r="S63" s="3">
        <v>0</v>
      </c>
      <c r="T63" s="4">
        <v>0</v>
      </c>
      <c r="U63" s="5">
        <v>0</v>
      </c>
      <c r="V63" s="6">
        <v>0</v>
      </c>
      <c r="Y63" t="s">
        <v>74</v>
      </c>
    </row>
    <row r="64" spans="1:25" x14ac:dyDescent="0.3">
      <c r="A64" t="s">
        <v>25</v>
      </c>
      <c r="B64" s="7">
        <v>45163</v>
      </c>
      <c r="C64" t="s">
        <v>26</v>
      </c>
      <c r="D64">
        <v>8</v>
      </c>
      <c r="E64">
        <v>2</v>
      </c>
      <c r="F64">
        <v>4</v>
      </c>
      <c r="G64" t="s">
        <v>27</v>
      </c>
      <c r="H64">
        <v>2</v>
      </c>
      <c r="I64" s="8">
        <v>0.28125</v>
      </c>
      <c r="J64" s="8">
        <v>0.375</v>
      </c>
      <c r="K64" s="9">
        <f t="shared" si="0"/>
        <v>4.5</v>
      </c>
      <c r="L64" t="s">
        <v>28</v>
      </c>
      <c r="M64" t="s">
        <v>58</v>
      </c>
      <c r="N64" t="s">
        <v>75</v>
      </c>
      <c r="O64" s="3">
        <v>0</v>
      </c>
      <c r="P64" s="4">
        <v>0</v>
      </c>
      <c r="Q64" s="5">
        <v>0</v>
      </c>
      <c r="R64" s="6">
        <v>0</v>
      </c>
      <c r="S64" s="3">
        <v>1</v>
      </c>
      <c r="T64" s="4">
        <v>0</v>
      </c>
      <c r="U64" s="5">
        <v>0</v>
      </c>
      <c r="V64" s="6">
        <v>0</v>
      </c>
      <c r="Y64" t="s">
        <v>76</v>
      </c>
    </row>
    <row r="65" spans="1:25" x14ac:dyDescent="0.3">
      <c r="A65" t="s">
        <v>25</v>
      </c>
      <c r="B65" s="7">
        <v>45163</v>
      </c>
      <c r="C65" t="s">
        <v>26</v>
      </c>
      <c r="D65">
        <v>9</v>
      </c>
      <c r="E65">
        <v>2</v>
      </c>
      <c r="F65">
        <v>5</v>
      </c>
      <c r="G65" t="s">
        <v>27</v>
      </c>
      <c r="H65">
        <v>1</v>
      </c>
      <c r="I65" s="8">
        <v>0.33333333333333331</v>
      </c>
      <c r="J65" s="8">
        <v>0.40972222222222227</v>
      </c>
      <c r="K65" s="9">
        <f t="shared" si="0"/>
        <v>1.8333333333333348</v>
      </c>
      <c r="L65" t="s">
        <v>28</v>
      </c>
      <c r="M65" t="s">
        <v>29</v>
      </c>
      <c r="N65" t="s">
        <v>32</v>
      </c>
      <c r="O65" s="3">
        <v>0</v>
      </c>
      <c r="P65" s="4">
        <v>0</v>
      </c>
      <c r="Q65" s="5">
        <v>4</v>
      </c>
      <c r="R65" s="6">
        <v>0</v>
      </c>
      <c r="S65" s="3">
        <v>0</v>
      </c>
      <c r="T65" s="4">
        <v>0</v>
      </c>
      <c r="U65" s="5">
        <v>6</v>
      </c>
      <c r="V65" s="6">
        <v>0</v>
      </c>
      <c r="Y65" t="s">
        <v>66</v>
      </c>
    </row>
    <row r="66" spans="1:25" x14ac:dyDescent="0.3">
      <c r="A66" t="s">
        <v>25</v>
      </c>
      <c r="B66" s="7">
        <v>45163</v>
      </c>
      <c r="C66" t="s">
        <v>26</v>
      </c>
      <c r="D66">
        <v>10</v>
      </c>
      <c r="E66">
        <v>2</v>
      </c>
      <c r="F66">
        <v>5</v>
      </c>
      <c r="G66" t="s">
        <v>27</v>
      </c>
      <c r="H66">
        <v>1</v>
      </c>
      <c r="I66" s="8">
        <v>0.35416666666666669</v>
      </c>
      <c r="J66" s="8">
        <v>0.40972222222222227</v>
      </c>
      <c r="K66" s="9">
        <f t="shared" si="0"/>
        <v>1.3333333333333339</v>
      </c>
      <c r="L66" t="s">
        <v>28</v>
      </c>
      <c r="M66" t="s">
        <v>51</v>
      </c>
      <c r="N66" t="s">
        <v>27</v>
      </c>
      <c r="O66" s="3">
        <v>0</v>
      </c>
      <c r="P66" s="4">
        <v>0</v>
      </c>
      <c r="Q66" s="5">
        <v>1</v>
      </c>
      <c r="R66" s="6">
        <v>0</v>
      </c>
      <c r="S66" s="3">
        <v>0</v>
      </c>
      <c r="T66" s="4">
        <v>0</v>
      </c>
      <c r="U66" s="5">
        <v>0</v>
      </c>
      <c r="V66" s="6">
        <v>0</v>
      </c>
      <c r="Y66" t="s">
        <v>66</v>
      </c>
    </row>
    <row r="67" spans="1:25" x14ac:dyDescent="0.3">
      <c r="A67" t="s">
        <v>25</v>
      </c>
      <c r="B67" s="7">
        <v>45163</v>
      </c>
      <c r="C67" t="s">
        <v>26</v>
      </c>
      <c r="D67">
        <v>11</v>
      </c>
      <c r="E67">
        <v>2</v>
      </c>
      <c r="F67">
        <v>2</v>
      </c>
      <c r="G67" t="s">
        <v>27</v>
      </c>
      <c r="H67">
        <v>2</v>
      </c>
      <c r="I67" s="8">
        <v>0.39583333333333331</v>
      </c>
      <c r="J67" s="8">
        <v>0.4604166666666667</v>
      </c>
      <c r="K67" s="9">
        <f t="shared" ref="K67:K130" si="1">(J67-I67)*24*H67</f>
        <v>3.1000000000000023</v>
      </c>
      <c r="L67" t="s">
        <v>25</v>
      </c>
      <c r="M67" t="s">
        <v>29</v>
      </c>
      <c r="N67" t="s">
        <v>32</v>
      </c>
      <c r="O67" s="3">
        <v>0</v>
      </c>
      <c r="P67" s="4">
        <v>0</v>
      </c>
      <c r="Q67" s="5">
        <v>0</v>
      </c>
      <c r="R67" s="6">
        <v>0</v>
      </c>
      <c r="S67" s="3">
        <v>0</v>
      </c>
      <c r="T67" s="4">
        <v>0</v>
      </c>
      <c r="U67" s="5">
        <v>0</v>
      </c>
      <c r="V67" s="6">
        <v>0</v>
      </c>
      <c r="Y67" t="s">
        <v>63</v>
      </c>
    </row>
    <row r="68" spans="1:25" x14ac:dyDescent="0.3">
      <c r="A68" t="s">
        <v>25</v>
      </c>
      <c r="B68" s="7">
        <v>45163</v>
      </c>
      <c r="C68" t="s">
        <v>42</v>
      </c>
      <c r="D68">
        <v>12</v>
      </c>
      <c r="E68">
        <v>1</v>
      </c>
      <c r="F68">
        <v>1</v>
      </c>
      <c r="G68" t="s">
        <v>35</v>
      </c>
      <c r="H68">
        <v>3</v>
      </c>
      <c r="I68" s="8">
        <v>0.39583333333333331</v>
      </c>
      <c r="J68" s="8">
        <v>0.6875</v>
      </c>
      <c r="K68" s="9">
        <f t="shared" si="1"/>
        <v>21</v>
      </c>
      <c r="L68" t="s">
        <v>25</v>
      </c>
      <c r="M68" t="s">
        <v>29</v>
      </c>
      <c r="N68" t="s">
        <v>32</v>
      </c>
      <c r="O68" s="3">
        <v>0</v>
      </c>
      <c r="P68" s="4">
        <v>0</v>
      </c>
      <c r="Q68" s="5">
        <v>13</v>
      </c>
      <c r="R68" s="6">
        <v>0</v>
      </c>
      <c r="S68" s="3">
        <v>0</v>
      </c>
      <c r="T68" s="4">
        <v>0</v>
      </c>
      <c r="U68" s="5">
        <v>1</v>
      </c>
      <c r="V68" s="6">
        <v>0</v>
      </c>
    </row>
    <row r="69" spans="1:25" x14ac:dyDescent="0.3">
      <c r="A69" t="s">
        <v>25</v>
      </c>
      <c r="B69" s="7">
        <v>45163</v>
      </c>
      <c r="C69" t="s">
        <v>42</v>
      </c>
      <c r="D69">
        <v>13</v>
      </c>
      <c r="E69">
        <v>1</v>
      </c>
      <c r="F69">
        <v>1</v>
      </c>
      <c r="G69" t="s">
        <v>35</v>
      </c>
      <c r="H69">
        <v>4</v>
      </c>
      <c r="I69" s="8">
        <v>0.625</v>
      </c>
      <c r="J69" s="8">
        <v>0.6875</v>
      </c>
      <c r="K69" s="9">
        <f t="shared" si="1"/>
        <v>6</v>
      </c>
      <c r="L69" t="s">
        <v>25</v>
      </c>
      <c r="M69" t="s">
        <v>29</v>
      </c>
      <c r="N69" t="s">
        <v>32</v>
      </c>
      <c r="O69" s="3">
        <v>0</v>
      </c>
      <c r="P69" s="4">
        <v>0</v>
      </c>
      <c r="Q69" s="5">
        <v>8</v>
      </c>
      <c r="R69" s="6">
        <v>0</v>
      </c>
      <c r="S69" s="3">
        <v>0</v>
      </c>
      <c r="T69" s="4">
        <v>0</v>
      </c>
      <c r="U69" s="5">
        <v>1</v>
      </c>
      <c r="V69" s="6">
        <v>0</v>
      </c>
    </row>
    <row r="70" spans="1:25" x14ac:dyDescent="0.3">
      <c r="A70" t="s">
        <v>25</v>
      </c>
      <c r="B70" s="7">
        <v>45163</v>
      </c>
      <c r="C70" t="s">
        <v>42</v>
      </c>
      <c r="D70">
        <v>14</v>
      </c>
      <c r="E70">
        <v>1</v>
      </c>
      <c r="F70">
        <v>1</v>
      </c>
      <c r="G70" t="s">
        <v>35</v>
      </c>
      <c r="H70">
        <v>3</v>
      </c>
      <c r="I70" s="8">
        <v>0.33333333333333331</v>
      </c>
      <c r="J70" s="8">
        <v>0.72916666666666663</v>
      </c>
      <c r="K70" s="9">
        <f t="shared" si="1"/>
        <v>28.5</v>
      </c>
      <c r="L70" t="s">
        <v>25</v>
      </c>
      <c r="M70" t="s">
        <v>29</v>
      </c>
      <c r="N70" t="s">
        <v>32</v>
      </c>
      <c r="O70" s="3">
        <v>0</v>
      </c>
      <c r="P70" s="4">
        <v>0</v>
      </c>
      <c r="Q70" s="5">
        <v>3</v>
      </c>
      <c r="R70" s="6">
        <v>0</v>
      </c>
      <c r="S70" s="3">
        <v>0</v>
      </c>
      <c r="T70" s="4">
        <v>0</v>
      </c>
      <c r="U70" s="5">
        <v>0</v>
      </c>
      <c r="V70" s="6">
        <v>0</v>
      </c>
    </row>
    <row r="71" spans="1:25" x14ac:dyDescent="0.3">
      <c r="A71" t="s">
        <v>25</v>
      </c>
      <c r="B71" s="7">
        <v>45163</v>
      </c>
      <c r="C71" t="s">
        <v>42</v>
      </c>
      <c r="D71">
        <v>15</v>
      </c>
      <c r="E71">
        <v>1</v>
      </c>
      <c r="F71">
        <v>1</v>
      </c>
      <c r="G71" t="s">
        <v>35</v>
      </c>
      <c r="H71">
        <v>3</v>
      </c>
      <c r="I71" s="8">
        <v>0.5</v>
      </c>
      <c r="J71" s="8">
        <v>0.74097222222222225</v>
      </c>
      <c r="K71" s="9">
        <f t="shared" si="1"/>
        <v>17.350000000000001</v>
      </c>
      <c r="L71" t="s">
        <v>25</v>
      </c>
      <c r="M71" t="s">
        <v>29</v>
      </c>
      <c r="N71" t="s">
        <v>48</v>
      </c>
      <c r="O71" s="3">
        <v>0</v>
      </c>
      <c r="P71" s="4">
        <v>0</v>
      </c>
      <c r="Q71" s="5">
        <v>1</v>
      </c>
      <c r="R71" s="6">
        <v>0</v>
      </c>
      <c r="S71" s="3">
        <v>0</v>
      </c>
      <c r="T71" s="4">
        <v>0</v>
      </c>
      <c r="U71" s="5">
        <v>0</v>
      </c>
      <c r="V71" s="6">
        <v>0</v>
      </c>
    </row>
    <row r="72" spans="1:25" x14ac:dyDescent="0.3">
      <c r="A72" t="s">
        <v>25</v>
      </c>
      <c r="B72" s="7">
        <v>45163</v>
      </c>
      <c r="C72" t="s">
        <v>42</v>
      </c>
      <c r="D72">
        <v>16</v>
      </c>
      <c r="E72">
        <v>1</v>
      </c>
      <c r="F72">
        <v>1</v>
      </c>
      <c r="G72" t="s">
        <v>35</v>
      </c>
      <c r="H72">
        <v>6</v>
      </c>
      <c r="I72" s="8">
        <v>0.6875</v>
      </c>
      <c r="J72" s="8">
        <v>0.77430555555555547</v>
      </c>
      <c r="K72" s="9">
        <f t="shared" si="1"/>
        <v>12.499999999999988</v>
      </c>
      <c r="L72" t="s">
        <v>25</v>
      </c>
      <c r="M72" t="s">
        <v>29</v>
      </c>
      <c r="N72" t="s">
        <v>32</v>
      </c>
      <c r="O72" s="3">
        <v>0</v>
      </c>
      <c r="P72" s="4">
        <v>0</v>
      </c>
      <c r="Q72" s="5">
        <v>5</v>
      </c>
      <c r="R72" s="6">
        <v>0</v>
      </c>
      <c r="S72" s="3">
        <v>0</v>
      </c>
      <c r="T72" s="4">
        <v>0</v>
      </c>
      <c r="U72" s="5">
        <v>4</v>
      </c>
      <c r="V72" s="6">
        <v>0</v>
      </c>
      <c r="Y72" t="s">
        <v>77</v>
      </c>
    </row>
    <row r="73" spans="1:25" x14ac:dyDescent="0.3">
      <c r="A73" t="s">
        <v>25</v>
      </c>
      <c r="B73" s="7">
        <v>45163</v>
      </c>
      <c r="C73" t="s">
        <v>42</v>
      </c>
      <c r="D73">
        <v>17</v>
      </c>
      <c r="E73">
        <v>1</v>
      </c>
      <c r="F73">
        <v>1</v>
      </c>
      <c r="G73" t="s">
        <v>35</v>
      </c>
      <c r="H73">
        <v>2</v>
      </c>
      <c r="I73" s="8">
        <v>0.72916666666666663</v>
      </c>
      <c r="J73" s="8">
        <v>0.80555555555555547</v>
      </c>
      <c r="K73" s="9">
        <f t="shared" si="1"/>
        <v>3.6666666666666643</v>
      </c>
      <c r="L73" t="s">
        <v>25</v>
      </c>
      <c r="M73" t="s">
        <v>29</v>
      </c>
      <c r="N73" t="s">
        <v>32</v>
      </c>
      <c r="O73" s="3">
        <v>0</v>
      </c>
      <c r="P73" s="4">
        <v>0</v>
      </c>
      <c r="Q73" s="5">
        <v>1</v>
      </c>
      <c r="R73" s="6">
        <v>0</v>
      </c>
      <c r="S73" s="3">
        <v>0</v>
      </c>
      <c r="T73" s="4">
        <v>0</v>
      </c>
      <c r="U73" s="5">
        <v>3</v>
      </c>
      <c r="V73" s="6">
        <v>0</v>
      </c>
    </row>
    <row r="74" spans="1:25" x14ac:dyDescent="0.3">
      <c r="A74" t="s">
        <v>25</v>
      </c>
      <c r="B74" s="7">
        <v>45163</v>
      </c>
      <c r="C74" t="s">
        <v>42</v>
      </c>
      <c r="D74">
        <v>18</v>
      </c>
      <c r="E74">
        <v>1</v>
      </c>
      <c r="F74">
        <v>1</v>
      </c>
      <c r="G74" t="s">
        <v>35</v>
      </c>
      <c r="H74">
        <v>3</v>
      </c>
      <c r="I74" s="8">
        <v>0.70833333333333337</v>
      </c>
      <c r="J74" s="8">
        <v>0.80555555555555547</v>
      </c>
      <c r="K74" s="9">
        <f t="shared" si="1"/>
        <v>6.9999999999999911</v>
      </c>
      <c r="L74" t="s">
        <v>25</v>
      </c>
      <c r="M74" t="s">
        <v>29</v>
      </c>
      <c r="N74" t="s">
        <v>32</v>
      </c>
      <c r="O74" s="3">
        <v>0</v>
      </c>
      <c r="P74" s="4">
        <v>0</v>
      </c>
      <c r="Q74" s="5">
        <v>12</v>
      </c>
      <c r="R74" s="6">
        <v>0</v>
      </c>
      <c r="S74" s="3">
        <v>0</v>
      </c>
      <c r="T74" s="4">
        <v>0</v>
      </c>
      <c r="U74" s="5">
        <v>0</v>
      </c>
      <c r="V74" s="6">
        <v>0</v>
      </c>
    </row>
    <row r="75" spans="1:25" x14ac:dyDescent="0.3">
      <c r="A75" t="s">
        <v>25</v>
      </c>
      <c r="B75" s="7">
        <v>45163</v>
      </c>
      <c r="C75" t="s">
        <v>42</v>
      </c>
      <c r="D75">
        <v>19</v>
      </c>
      <c r="E75">
        <v>1</v>
      </c>
      <c r="F75">
        <v>1</v>
      </c>
      <c r="G75" t="s">
        <v>35</v>
      </c>
      <c r="H75">
        <v>2</v>
      </c>
      <c r="I75" s="8">
        <v>0.64583333333333337</v>
      </c>
      <c r="J75" s="8">
        <v>0.81944444444444453</v>
      </c>
      <c r="K75" s="9">
        <f t="shared" si="1"/>
        <v>8.3333333333333357</v>
      </c>
      <c r="L75" t="s">
        <v>25</v>
      </c>
      <c r="M75" t="s">
        <v>29</v>
      </c>
      <c r="N75" t="s">
        <v>32</v>
      </c>
      <c r="O75" s="3">
        <v>0</v>
      </c>
      <c r="P75" s="4">
        <v>0</v>
      </c>
      <c r="Q75" s="5">
        <v>10</v>
      </c>
      <c r="R75" s="6">
        <v>0</v>
      </c>
      <c r="S75" s="3">
        <v>0</v>
      </c>
      <c r="T75" s="4">
        <v>0</v>
      </c>
      <c r="U75" s="5">
        <v>0</v>
      </c>
      <c r="V75" s="6">
        <v>0</v>
      </c>
    </row>
    <row r="76" spans="1:25" x14ac:dyDescent="0.3">
      <c r="A76" t="s">
        <v>25</v>
      </c>
      <c r="B76" s="7">
        <v>45163</v>
      </c>
      <c r="C76" t="s">
        <v>42</v>
      </c>
      <c r="D76">
        <v>20</v>
      </c>
      <c r="E76">
        <v>1</v>
      </c>
      <c r="F76">
        <v>1</v>
      </c>
      <c r="G76" t="s">
        <v>35</v>
      </c>
      <c r="H76">
        <v>1</v>
      </c>
      <c r="I76" s="8">
        <v>0.6875</v>
      </c>
      <c r="J76" s="8">
        <v>0.82291666666666663</v>
      </c>
      <c r="K76" s="9">
        <f t="shared" si="1"/>
        <v>3.2499999999999991</v>
      </c>
      <c r="L76" t="s">
        <v>25</v>
      </c>
      <c r="M76" t="s">
        <v>29</v>
      </c>
      <c r="N76" t="s">
        <v>32</v>
      </c>
      <c r="O76" s="3">
        <v>0</v>
      </c>
      <c r="P76" s="4">
        <v>0</v>
      </c>
      <c r="Q76" s="5">
        <v>6</v>
      </c>
      <c r="R76" s="6">
        <v>0</v>
      </c>
      <c r="S76" s="3">
        <v>0</v>
      </c>
      <c r="T76" s="4">
        <v>0</v>
      </c>
      <c r="U76" s="5">
        <v>9</v>
      </c>
      <c r="V76" s="6">
        <v>0</v>
      </c>
    </row>
    <row r="77" spans="1:25" x14ac:dyDescent="0.3">
      <c r="A77" t="s">
        <v>25</v>
      </c>
      <c r="B77" s="7">
        <v>45163</v>
      </c>
      <c r="C77" t="s">
        <v>42</v>
      </c>
      <c r="D77">
        <v>21</v>
      </c>
      <c r="E77">
        <v>1</v>
      </c>
      <c r="F77">
        <v>1</v>
      </c>
      <c r="G77" t="s">
        <v>35</v>
      </c>
      <c r="H77">
        <v>3</v>
      </c>
      <c r="I77" s="8">
        <v>0.66666666666666663</v>
      </c>
      <c r="J77" s="8">
        <v>0.82708333333333339</v>
      </c>
      <c r="K77" s="9">
        <f t="shared" si="1"/>
        <v>11.550000000000008</v>
      </c>
      <c r="L77" t="s">
        <v>25</v>
      </c>
      <c r="M77" t="s">
        <v>29</v>
      </c>
      <c r="N77" t="s">
        <v>32</v>
      </c>
      <c r="O77" s="3">
        <v>0</v>
      </c>
      <c r="P77" s="4">
        <v>0</v>
      </c>
      <c r="Q77" s="5">
        <v>14</v>
      </c>
      <c r="R77" s="6">
        <v>0</v>
      </c>
      <c r="S77" s="3">
        <v>0</v>
      </c>
      <c r="T77" s="4">
        <v>0</v>
      </c>
      <c r="U77" s="5">
        <v>0</v>
      </c>
      <c r="V77" s="6">
        <v>0</v>
      </c>
    </row>
    <row r="78" spans="1:25" x14ac:dyDescent="0.3">
      <c r="A78" t="s">
        <v>25</v>
      </c>
      <c r="B78" s="7">
        <v>45163</v>
      </c>
      <c r="C78" t="s">
        <v>42</v>
      </c>
      <c r="D78">
        <v>22</v>
      </c>
      <c r="E78">
        <v>1</v>
      </c>
      <c r="F78">
        <v>1</v>
      </c>
      <c r="G78" t="s">
        <v>35</v>
      </c>
      <c r="H78">
        <v>3</v>
      </c>
      <c r="I78" s="8">
        <v>0.64583333333333337</v>
      </c>
      <c r="J78" s="8">
        <v>0.83333333333333337</v>
      </c>
      <c r="K78" s="9">
        <f t="shared" si="1"/>
        <v>13.5</v>
      </c>
      <c r="L78" t="s">
        <v>25</v>
      </c>
      <c r="M78" t="s">
        <v>29</v>
      </c>
      <c r="N78" t="s">
        <v>32</v>
      </c>
      <c r="O78" s="3">
        <v>0</v>
      </c>
      <c r="P78" s="4">
        <v>0</v>
      </c>
      <c r="Q78" s="5">
        <v>3</v>
      </c>
      <c r="R78" s="6">
        <v>0</v>
      </c>
      <c r="S78" s="3">
        <v>0</v>
      </c>
      <c r="T78" s="4">
        <v>0</v>
      </c>
      <c r="U78" s="5">
        <v>3</v>
      </c>
      <c r="V78" s="6">
        <v>0</v>
      </c>
    </row>
    <row r="79" spans="1:25" x14ac:dyDescent="0.3">
      <c r="A79" t="s">
        <v>25</v>
      </c>
      <c r="B79" s="7">
        <v>45163</v>
      </c>
      <c r="C79" t="s">
        <v>42</v>
      </c>
      <c r="D79">
        <v>23</v>
      </c>
      <c r="E79">
        <v>1</v>
      </c>
      <c r="F79">
        <v>1</v>
      </c>
      <c r="G79" t="s">
        <v>35</v>
      </c>
      <c r="H79">
        <v>1</v>
      </c>
      <c r="I79" s="8">
        <v>0.70833333333333337</v>
      </c>
      <c r="J79" s="8">
        <v>0.84375</v>
      </c>
      <c r="K79" s="9">
        <f t="shared" si="1"/>
        <v>3.2499999999999991</v>
      </c>
      <c r="L79" t="s">
        <v>25</v>
      </c>
      <c r="M79" t="s">
        <v>49</v>
      </c>
      <c r="N79" t="s">
        <v>50</v>
      </c>
      <c r="O79" s="3">
        <v>0</v>
      </c>
      <c r="P79" s="4">
        <v>0</v>
      </c>
      <c r="Q79" s="5">
        <v>0</v>
      </c>
      <c r="R79" s="6">
        <v>0</v>
      </c>
      <c r="S79" s="3">
        <v>1</v>
      </c>
      <c r="T79" s="4">
        <v>0</v>
      </c>
      <c r="U79" s="5">
        <v>1</v>
      </c>
      <c r="V79" s="6">
        <v>0</v>
      </c>
      <c r="Y79" t="s">
        <v>78</v>
      </c>
    </row>
    <row r="80" spans="1:25" x14ac:dyDescent="0.3">
      <c r="A80" t="s">
        <v>25</v>
      </c>
      <c r="B80" s="7">
        <v>45163</v>
      </c>
      <c r="C80" t="s">
        <v>42</v>
      </c>
      <c r="D80">
        <v>24</v>
      </c>
      <c r="E80">
        <v>1</v>
      </c>
      <c r="F80">
        <v>1</v>
      </c>
      <c r="G80" t="s">
        <v>35</v>
      </c>
      <c r="H80">
        <v>1</v>
      </c>
      <c r="I80" s="8">
        <v>0.66666666666666663</v>
      </c>
      <c r="J80" s="8">
        <v>0.85416666666666663</v>
      </c>
      <c r="K80" s="9">
        <f t="shared" si="1"/>
        <v>4.5</v>
      </c>
      <c r="L80" t="s">
        <v>25</v>
      </c>
      <c r="M80" t="s">
        <v>29</v>
      </c>
      <c r="N80" t="s">
        <v>48</v>
      </c>
      <c r="O80" s="3">
        <v>0</v>
      </c>
      <c r="P80" s="4">
        <v>0</v>
      </c>
      <c r="Q80" s="5">
        <v>6</v>
      </c>
      <c r="R80" s="6">
        <v>0</v>
      </c>
      <c r="S80" s="3">
        <v>0</v>
      </c>
      <c r="T80" s="4">
        <v>0</v>
      </c>
      <c r="U80" s="5">
        <v>1</v>
      </c>
      <c r="V80" s="6">
        <v>0</v>
      </c>
    </row>
    <row r="81" spans="1:25" x14ac:dyDescent="0.3">
      <c r="A81" t="s">
        <v>25</v>
      </c>
      <c r="B81" s="7">
        <v>45163</v>
      </c>
      <c r="C81" t="s">
        <v>42</v>
      </c>
      <c r="D81">
        <v>25</v>
      </c>
      <c r="E81">
        <v>1</v>
      </c>
      <c r="F81">
        <v>1</v>
      </c>
      <c r="G81" t="s">
        <v>35</v>
      </c>
      <c r="H81">
        <v>2</v>
      </c>
      <c r="I81" s="8">
        <v>0.75</v>
      </c>
      <c r="J81" s="8">
        <v>0.85416666666666663</v>
      </c>
      <c r="K81" s="9">
        <f t="shared" si="1"/>
        <v>4.9999999999999982</v>
      </c>
      <c r="L81" t="s">
        <v>25</v>
      </c>
      <c r="M81" t="s">
        <v>29</v>
      </c>
      <c r="N81" t="s">
        <v>32</v>
      </c>
      <c r="O81" s="3">
        <v>0</v>
      </c>
      <c r="P81" s="4">
        <v>0</v>
      </c>
      <c r="Q81" s="5">
        <v>12</v>
      </c>
      <c r="R81" s="6">
        <v>0</v>
      </c>
      <c r="S81" s="3">
        <v>0</v>
      </c>
      <c r="T81" s="4">
        <v>0</v>
      </c>
      <c r="U81" s="5">
        <v>0</v>
      </c>
      <c r="V81" s="6">
        <v>0</v>
      </c>
    </row>
    <row r="82" spans="1:25" x14ac:dyDescent="0.3">
      <c r="A82" t="s">
        <v>25</v>
      </c>
      <c r="B82" s="7">
        <v>45163</v>
      </c>
      <c r="C82" t="s">
        <v>42</v>
      </c>
      <c r="D82">
        <v>26</v>
      </c>
      <c r="E82">
        <v>1</v>
      </c>
      <c r="F82">
        <v>1</v>
      </c>
      <c r="G82" t="s">
        <v>35</v>
      </c>
      <c r="H82">
        <v>1</v>
      </c>
      <c r="I82" s="8">
        <v>0.64583333333333337</v>
      </c>
      <c r="J82" s="8">
        <v>0.85763888888888884</v>
      </c>
      <c r="K82" s="9">
        <f t="shared" si="1"/>
        <v>5.0833333333333313</v>
      </c>
      <c r="L82" t="s">
        <v>25</v>
      </c>
      <c r="M82" t="s">
        <v>29</v>
      </c>
      <c r="N82" t="s">
        <v>32</v>
      </c>
      <c r="O82" s="3">
        <v>0</v>
      </c>
      <c r="P82" s="4">
        <v>0</v>
      </c>
      <c r="Q82" s="5">
        <v>2</v>
      </c>
      <c r="R82" s="6">
        <v>0</v>
      </c>
      <c r="S82" s="3">
        <v>0</v>
      </c>
      <c r="T82" s="4">
        <v>0</v>
      </c>
      <c r="U82" s="5">
        <v>3</v>
      </c>
      <c r="V82" s="6">
        <v>0</v>
      </c>
    </row>
    <row r="83" spans="1:25" x14ac:dyDescent="0.3">
      <c r="A83" t="s">
        <v>25</v>
      </c>
      <c r="B83" s="7">
        <v>45163</v>
      </c>
      <c r="C83" t="s">
        <v>42</v>
      </c>
      <c r="D83">
        <v>27</v>
      </c>
      <c r="E83">
        <v>1</v>
      </c>
      <c r="F83">
        <v>1</v>
      </c>
      <c r="G83" t="s">
        <v>35</v>
      </c>
      <c r="H83">
        <v>2</v>
      </c>
      <c r="I83" s="8">
        <v>0.70833333333333337</v>
      </c>
      <c r="J83" s="8">
        <v>0.85763888888888884</v>
      </c>
      <c r="K83" s="9">
        <f t="shared" si="1"/>
        <v>7.1666666666666625</v>
      </c>
      <c r="L83" t="s">
        <v>25</v>
      </c>
      <c r="M83" t="s">
        <v>29</v>
      </c>
      <c r="N83" t="s">
        <v>32</v>
      </c>
      <c r="O83" s="3">
        <v>0</v>
      </c>
      <c r="P83" s="4">
        <v>0</v>
      </c>
      <c r="Q83" s="5">
        <v>1</v>
      </c>
      <c r="R83" s="6">
        <v>0</v>
      </c>
      <c r="S83" s="3">
        <v>0</v>
      </c>
      <c r="T83" s="4">
        <v>0</v>
      </c>
      <c r="U83" s="5">
        <v>3</v>
      </c>
      <c r="V83" s="6">
        <v>0</v>
      </c>
    </row>
    <row r="84" spans="1:25" x14ac:dyDescent="0.3">
      <c r="A84" t="s">
        <v>25</v>
      </c>
      <c r="B84" s="7">
        <v>45163</v>
      </c>
      <c r="C84" t="s">
        <v>42</v>
      </c>
      <c r="D84">
        <v>28</v>
      </c>
      <c r="E84">
        <v>1</v>
      </c>
      <c r="F84">
        <v>1</v>
      </c>
      <c r="G84" t="s">
        <v>35</v>
      </c>
      <c r="H84">
        <v>2</v>
      </c>
      <c r="I84" s="8">
        <v>0.75</v>
      </c>
      <c r="J84" s="8">
        <v>0.86111111111111116</v>
      </c>
      <c r="K84" s="9">
        <f t="shared" si="1"/>
        <v>5.3333333333333357</v>
      </c>
      <c r="L84" t="s">
        <v>25</v>
      </c>
      <c r="M84" t="s">
        <v>29</v>
      </c>
      <c r="N84" t="s">
        <v>32</v>
      </c>
      <c r="O84" s="3">
        <v>0</v>
      </c>
      <c r="P84" s="4">
        <v>0</v>
      </c>
      <c r="Q84" s="5">
        <v>9</v>
      </c>
      <c r="R84" s="6">
        <v>0</v>
      </c>
      <c r="S84" s="3">
        <v>0</v>
      </c>
      <c r="T84" s="4">
        <v>0</v>
      </c>
      <c r="U84" s="5">
        <v>0</v>
      </c>
      <c r="V84" s="6">
        <v>0</v>
      </c>
    </row>
    <row r="85" spans="1:25" x14ac:dyDescent="0.3">
      <c r="A85" t="s">
        <v>25</v>
      </c>
      <c r="B85" s="7">
        <v>45164</v>
      </c>
      <c r="C85" t="s">
        <v>26</v>
      </c>
      <c r="D85">
        <v>1</v>
      </c>
      <c r="E85">
        <v>2</v>
      </c>
      <c r="F85">
        <v>1</v>
      </c>
      <c r="G85" t="s">
        <v>27</v>
      </c>
      <c r="H85">
        <v>7</v>
      </c>
      <c r="I85" s="8">
        <v>0.25</v>
      </c>
      <c r="J85" s="8">
        <v>0.3444444444444445</v>
      </c>
      <c r="K85" s="9">
        <f t="shared" si="1"/>
        <v>15.866666666666676</v>
      </c>
      <c r="L85" t="s">
        <v>28</v>
      </c>
      <c r="M85" t="s">
        <v>79</v>
      </c>
      <c r="N85" t="s">
        <v>80</v>
      </c>
      <c r="O85" s="3">
        <v>4</v>
      </c>
      <c r="P85" s="4">
        <v>0</v>
      </c>
      <c r="Q85" s="5">
        <v>4</v>
      </c>
      <c r="R85" s="6">
        <v>0</v>
      </c>
      <c r="S85" s="3">
        <v>0</v>
      </c>
      <c r="T85" s="4">
        <v>0</v>
      </c>
      <c r="U85" s="5">
        <v>15</v>
      </c>
      <c r="V85" s="6">
        <v>0</v>
      </c>
      <c r="Y85" t="s">
        <v>72</v>
      </c>
    </row>
    <row r="86" spans="1:25" x14ac:dyDescent="0.3">
      <c r="A86" t="s">
        <v>25</v>
      </c>
      <c r="B86" s="7">
        <v>45164</v>
      </c>
      <c r="C86" t="s">
        <v>26</v>
      </c>
      <c r="D86">
        <v>2</v>
      </c>
      <c r="E86">
        <v>2</v>
      </c>
      <c r="F86">
        <v>2</v>
      </c>
      <c r="G86" t="s">
        <v>27</v>
      </c>
      <c r="H86">
        <v>1</v>
      </c>
      <c r="I86" s="8">
        <v>0.25</v>
      </c>
      <c r="J86" s="8">
        <v>0.35416666666666669</v>
      </c>
      <c r="K86" s="9">
        <f t="shared" si="1"/>
        <v>2.5000000000000004</v>
      </c>
      <c r="L86" t="s">
        <v>25</v>
      </c>
      <c r="M86" t="s">
        <v>54</v>
      </c>
      <c r="N86" t="s">
        <v>75</v>
      </c>
      <c r="O86" s="3">
        <v>0</v>
      </c>
      <c r="P86" s="4">
        <v>0</v>
      </c>
      <c r="Q86" s="5">
        <v>0</v>
      </c>
      <c r="R86" s="6">
        <v>0</v>
      </c>
      <c r="S86" s="3">
        <v>0</v>
      </c>
      <c r="T86" s="4">
        <v>0</v>
      </c>
      <c r="U86" s="5">
        <v>0</v>
      </c>
      <c r="V86" s="6">
        <v>0</v>
      </c>
      <c r="Y86" t="s">
        <v>63</v>
      </c>
    </row>
    <row r="87" spans="1:25" x14ac:dyDescent="0.3">
      <c r="A87" t="s">
        <v>25</v>
      </c>
      <c r="B87" s="7">
        <v>45164</v>
      </c>
      <c r="C87" t="s">
        <v>26</v>
      </c>
      <c r="D87">
        <v>3</v>
      </c>
      <c r="E87">
        <v>2</v>
      </c>
      <c r="F87">
        <v>2</v>
      </c>
      <c r="G87" t="s">
        <v>27</v>
      </c>
      <c r="H87">
        <v>1</v>
      </c>
      <c r="I87" s="8">
        <v>0.25</v>
      </c>
      <c r="J87" s="8">
        <v>0.3659722222222222</v>
      </c>
      <c r="K87" s="9">
        <f t="shared" si="1"/>
        <v>2.7833333333333328</v>
      </c>
      <c r="L87" t="s">
        <v>25</v>
      </c>
      <c r="M87" t="s">
        <v>56</v>
      </c>
      <c r="N87" t="s">
        <v>50</v>
      </c>
      <c r="O87" s="3">
        <v>0</v>
      </c>
      <c r="P87" s="4">
        <v>0</v>
      </c>
      <c r="Q87" s="5">
        <v>0</v>
      </c>
      <c r="R87" s="6">
        <v>0</v>
      </c>
      <c r="S87" s="3">
        <v>0</v>
      </c>
      <c r="T87" s="4">
        <v>0</v>
      </c>
      <c r="U87" s="5">
        <v>0</v>
      </c>
      <c r="V87" s="6">
        <v>0</v>
      </c>
      <c r="Y87" t="s">
        <v>81</v>
      </c>
    </row>
    <row r="88" spans="1:25" x14ac:dyDescent="0.3">
      <c r="A88" t="s">
        <v>25</v>
      </c>
      <c r="B88" s="7">
        <v>45164</v>
      </c>
      <c r="C88" t="s">
        <v>26</v>
      </c>
      <c r="D88">
        <v>4</v>
      </c>
      <c r="E88">
        <v>2</v>
      </c>
      <c r="F88">
        <v>2</v>
      </c>
      <c r="G88" t="s">
        <v>27</v>
      </c>
      <c r="H88">
        <v>1</v>
      </c>
      <c r="I88" s="8">
        <v>0.28125</v>
      </c>
      <c r="J88" s="8">
        <v>0.36805555555555558</v>
      </c>
      <c r="K88" s="9">
        <f t="shared" si="1"/>
        <v>2.0833333333333339</v>
      </c>
      <c r="L88" t="s">
        <v>25</v>
      </c>
      <c r="M88" t="s">
        <v>51</v>
      </c>
      <c r="N88" t="s">
        <v>50</v>
      </c>
      <c r="O88" s="3">
        <v>2</v>
      </c>
      <c r="P88" s="4">
        <v>0</v>
      </c>
      <c r="Q88" s="5">
        <v>0</v>
      </c>
      <c r="R88" s="6">
        <v>0</v>
      </c>
      <c r="S88" s="3">
        <v>0</v>
      </c>
      <c r="T88" s="4">
        <v>0</v>
      </c>
      <c r="U88" s="5">
        <v>4</v>
      </c>
      <c r="V88" s="6">
        <v>0</v>
      </c>
      <c r="Y88" t="s">
        <v>63</v>
      </c>
    </row>
    <row r="89" spans="1:25" x14ac:dyDescent="0.3">
      <c r="A89" t="s">
        <v>25</v>
      </c>
      <c r="B89" s="7">
        <v>45164</v>
      </c>
      <c r="C89" t="s">
        <v>26</v>
      </c>
      <c r="D89">
        <v>5</v>
      </c>
      <c r="E89">
        <v>2</v>
      </c>
      <c r="F89">
        <v>3</v>
      </c>
      <c r="G89" t="s">
        <v>27</v>
      </c>
      <c r="H89">
        <v>2</v>
      </c>
      <c r="I89" s="8">
        <v>0.27083333333333331</v>
      </c>
      <c r="J89" s="8">
        <v>0.3972222222222222</v>
      </c>
      <c r="K89" s="9">
        <f t="shared" si="1"/>
        <v>6.0666666666666664</v>
      </c>
      <c r="L89" t="s">
        <v>28</v>
      </c>
      <c r="M89" t="s">
        <v>82</v>
      </c>
      <c r="N89" t="s">
        <v>75</v>
      </c>
      <c r="O89" s="3">
        <v>1</v>
      </c>
      <c r="P89" s="4">
        <v>0</v>
      </c>
      <c r="Q89" s="5">
        <v>7</v>
      </c>
      <c r="R89" s="6">
        <v>0</v>
      </c>
      <c r="S89" s="3">
        <v>0</v>
      </c>
      <c r="T89" s="4">
        <v>0</v>
      </c>
      <c r="U89" s="5">
        <v>6</v>
      </c>
      <c r="V89" s="6">
        <v>0</v>
      </c>
      <c r="Y89" t="s">
        <v>83</v>
      </c>
    </row>
    <row r="90" spans="1:25" x14ac:dyDescent="0.3">
      <c r="A90" t="s">
        <v>25</v>
      </c>
      <c r="B90" s="7">
        <v>45164</v>
      </c>
      <c r="C90" t="s">
        <v>26</v>
      </c>
      <c r="D90">
        <v>6</v>
      </c>
      <c r="E90">
        <v>2</v>
      </c>
      <c r="F90">
        <v>3</v>
      </c>
      <c r="G90" t="s">
        <v>27</v>
      </c>
      <c r="H90">
        <v>1</v>
      </c>
      <c r="I90" s="8">
        <v>0.29166666666666669</v>
      </c>
      <c r="J90" s="8">
        <v>0.4291666666666667</v>
      </c>
      <c r="K90" s="9">
        <f t="shared" si="1"/>
        <v>3.3000000000000003</v>
      </c>
      <c r="L90" t="s">
        <v>25</v>
      </c>
      <c r="M90" t="s">
        <v>56</v>
      </c>
      <c r="N90" t="s">
        <v>50</v>
      </c>
      <c r="O90" s="3">
        <v>0</v>
      </c>
      <c r="P90" s="4">
        <v>0</v>
      </c>
      <c r="Q90" s="5">
        <v>0</v>
      </c>
      <c r="R90" s="6">
        <v>0</v>
      </c>
      <c r="S90" s="3">
        <v>0</v>
      </c>
      <c r="T90" s="4">
        <v>0</v>
      </c>
      <c r="U90" s="5">
        <v>0</v>
      </c>
      <c r="V90" s="6">
        <v>0</v>
      </c>
      <c r="Y90" t="s">
        <v>84</v>
      </c>
    </row>
    <row r="91" spans="1:25" x14ac:dyDescent="0.3">
      <c r="A91" t="s">
        <v>25</v>
      </c>
      <c r="B91" s="7">
        <v>45164</v>
      </c>
      <c r="C91" t="s">
        <v>42</v>
      </c>
      <c r="D91">
        <v>7</v>
      </c>
      <c r="E91">
        <v>2</v>
      </c>
      <c r="F91">
        <v>2</v>
      </c>
      <c r="G91" t="s">
        <v>27</v>
      </c>
      <c r="H91">
        <v>2</v>
      </c>
      <c r="I91" s="8">
        <v>0.69791666666666663</v>
      </c>
      <c r="J91" s="8">
        <v>0.75</v>
      </c>
      <c r="K91" s="9">
        <f t="shared" si="1"/>
        <v>2.5000000000000018</v>
      </c>
      <c r="L91" t="s">
        <v>28</v>
      </c>
      <c r="M91" t="s">
        <v>56</v>
      </c>
      <c r="N91" t="s">
        <v>50</v>
      </c>
      <c r="O91" s="3">
        <v>0</v>
      </c>
      <c r="P91" s="4">
        <v>0</v>
      </c>
      <c r="Q91" s="5">
        <v>0</v>
      </c>
      <c r="R91" s="6">
        <v>0</v>
      </c>
      <c r="S91" s="3">
        <v>0</v>
      </c>
      <c r="T91" s="4">
        <v>0</v>
      </c>
      <c r="U91" s="5">
        <v>0</v>
      </c>
      <c r="V91" s="6">
        <v>0</v>
      </c>
      <c r="Y91" t="s">
        <v>81</v>
      </c>
    </row>
    <row r="92" spans="1:25" x14ac:dyDescent="0.3">
      <c r="A92" t="s">
        <v>25</v>
      </c>
      <c r="B92" s="7">
        <v>45164</v>
      </c>
      <c r="C92" t="s">
        <v>42</v>
      </c>
      <c r="D92">
        <v>8</v>
      </c>
      <c r="E92">
        <v>2</v>
      </c>
      <c r="F92">
        <v>2</v>
      </c>
      <c r="G92" t="s">
        <v>27</v>
      </c>
      <c r="H92">
        <v>1</v>
      </c>
      <c r="I92" s="8">
        <v>0.70833333333333337</v>
      </c>
      <c r="J92" s="8">
        <v>0.75</v>
      </c>
      <c r="K92" s="9">
        <f t="shared" si="1"/>
        <v>0.99999999999999911</v>
      </c>
      <c r="L92" t="s">
        <v>28</v>
      </c>
      <c r="M92" t="s">
        <v>29</v>
      </c>
      <c r="N92" t="s">
        <v>50</v>
      </c>
      <c r="O92" s="3">
        <v>0</v>
      </c>
      <c r="P92" s="4">
        <v>0</v>
      </c>
      <c r="Q92" s="5">
        <v>0</v>
      </c>
      <c r="R92" s="6">
        <v>0</v>
      </c>
      <c r="S92" s="3">
        <v>0</v>
      </c>
      <c r="T92" s="4">
        <v>0</v>
      </c>
      <c r="U92" s="5">
        <v>0</v>
      </c>
      <c r="V92" s="6">
        <v>0</v>
      </c>
      <c r="Y92" t="s">
        <v>81</v>
      </c>
    </row>
    <row r="93" spans="1:25" x14ac:dyDescent="0.3">
      <c r="A93" t="s">
        <v>25</v>
      </c>
      <c r="B93" s="7">
        <v>45164</v>
      </c>
      <c r="C93" t="s">
        <v>42</v>
      </c>
      <c r="D93">
        <v>9</v>
      </c>
      <c r="E93">
        <v>2</v>
      </c>
      <c r="F93">
        <v>3</v>
      </c>
      <c r="G93" t="s">
        <v>27</v>
      </c>
      <c r="H93">
        <v>1</v>
      </c>
      <c r="I93" s="8">
        <v>0.625</v>
      </c>
      <c r="J93" s="8">
        <v>0.79791666666666661</v>
      </c>
      <c r="K93" s="9">
        <f t="shared" si="1"/>
        <v>4.1499999999999986</v>
      </c>
      <c r="L93" t="s">
        <v>25</v>
      </c>
      <c r="M93" t="s">
        <v>29</v>
      </c>
      <c r="N93" t="s">
        <v>32</v>
      </c>
      <c r="O93" s="3">
        <v>0</v>
      </c>
      <c r="P93" s="4">
        <v>0</v>
      </c>
      <c r="Q93" s="5">
        <v>4</v>
      </c>
      <c r="R93" s="6">
        <v>0</v>
      </c>
      <c r="S93" s="3">
        <v>0</v>
      </c>
      <c r="T93" s="4">
        <v>0</v>
      </c>
      <c r="U93" s="5">
        <v>0</v>
      </c>
      <c r="V93" s="6">
        <v>0</v>
      </c>
      <c r="Y93" t="s">
        <v>83</v>
      </c>
    </row>
    <row r="94" spans="1:25" x14ac:dyDescent="0.3">
      <c r="A94" t="s">
        <v>25</v>
      </c>
      <c r="B94" s="7">
        <v>45164</v>
      </c>
      <c r="C94" t="s">
        <v>42</v>
      </c>
      <c r="D94">
        <v>10</v>
      </c>
      <c r="E94">
        <v>2</v>
      </c>
      <c r="F94">
        <v>3</v>
      </c>
      <c r="G94" t="s">
        <v>27</v>
      </c>
      <c r="H94">
        <v>2</v>
      </c>
      <c r="I94" s="8">
        <v>0.73611111111111116</v>
      </c>
      <c r="J94" s="8">
        <v>0.82013888888888886</v>
      </c>
      <c r="K94" s="9">
        <f t="shared" si="1"/>
        <v>4.0333333333333297</v>
      </c>
      <c r="L94" t="s">
        <v>25</v>
      </c>
      <c r="M94" t="s">
        <v>29</v>
      </c>
      <c r="N94" t="s">
        <v>32</v>
      </c>
      <c r="O94" s="3">
        <v>0</v>
      </c>
      <c r="P94" s="4">
        <v>0</v>
      </c>
      <c r="Q94" s="5">
        <v>0</v>
      </c>
      <c r="R94" s="6">
        <v>0</v>
      </c>
      <c r="S94" s="3">
        <v>0</v>
      </c>
      <c r="T94" s="4">
        <v>0</v>
      </c>
      <c r="U94" s="5">
        <v>2</v>
      </c>
      <c r="V94" s="6">
        <v>0</v>
      </c>
      <c r="Y94" t="s">
        <v>85</v>
      </c>
    </row>
    <row r="95" spans="1:25" x14ac:dyDescent="0.3">
      <c r="A95" t="s">
        <v>25</v>
      </c>
      <c r="B95" s="7">
        <v>45168</v>
      </c>
      <c r="C95" t="s">
        <v>26</v>
      </c>
      <c r="D95">
        <v>1</v>
      </c>
      <c r="E95">
        <v>2</v>
      </c>
      <c r="F95">
        <v>5</v>
      </c>
      <c r="G95" t="s">
        <v>27</v>
      </c>
      <c r="H95">
        <v>1</v>
      </c>
      <c r="I95" s="8">
        <v>0.26041666666666669</v>
      </c>
      <c r="J95" s="8">
        <v>0.27430555555555552</v>
      </c>
      <c r="K95" s="9">
        <f t="shared" si="1"/>
        <v>0.33333333333333215</v>
      </c>
      <c r="L95" t="s">
        <v>28</v>
      </c>
      <c r="M95" t="s">
        <v>29</v>
      </c>
      <c r="N95" t="s">
        <v>27</v>
      </c>
      <c r="O95" s="3">
        <v>0</v>
      </c>
      <c r="P95" s="4">
        <v>0</v>
      </c>
      <c r="Q95" s="5">
        <v>0</v>
      </c>
      <c r="R95" s="6">
        <v>0</v>
      </c>
      <c r="S95" s="3">
        <v>0</v>
      </c>
      <c r="T95" s="4">
        <v>0</v>
      </c>
      <c r="U95" s="5">
        <v>0</v>
      </c>
      <c r="V95" s="6">
        <v>0</v>
      </c>
      <c r="Y95" t="s">
        <v>66</v>
      </c>
    </row>
    <row r="96" spans="1:25" x14ac:dyDescent="0.3">
      <c r="A96" t="s">
        <v>25</v>
      </c>
      <c r="B96" s="7">
        <v>45168</v>
      </c>
      <c r="C96" t="s">
        <v>26</v>
      </c>
      <c r="D96">
        <v>2</v>
      </c>
      <c r="E96">
        <v>2</v>
      </c>
      <c r="F96">
        <v>4</v>
      </c>
      <c r="G96" t="s">
        <v>27</v>
      </c>
      <c r="H96">
        <v>1</v>
      </c>
      <c r="I96" s="8">
        <v>0.31597222222222221</v>
      </c>
      <c r="J96" s="8">
        <v>0.31944444444444448</v>
      </c>
      <c r="K96" s="9">
        <f t="shared" si="1"/>
        <v>8.333333333333437E-2</v>
      </c>
      <c r="L96" t="s">
        <v>28</v>
      </c>
      <c r="M96" t="s">
        <v>29</v>
      </c>
      <c r="N96" t="s">
        <v>32</v>
      </c>
      <c r="O96" s="3">
        <v>0</v>
      </c>
      <c r="P96" s="4">
        <v>0</v>
      </c>
      <c r="Q96" s="5">
        <v>0</v>
      </c>
      <c r="R96" s="6">
        <v>0</v>
      </c>
      <c r="S96" s="3">
        <v>0</v>
      </c>
      <c r="T96" s="4">
        <v>0</v>
      </c>
      <c r="U96" s="5">
        <v>0</v>
      </c>
      <c r="V96" s="6">
        <v>0</v>
      </c>
      <c r="Y96" t="s">
        <v>86</v>
      </c>
    </row>
    <row r="97" spans="1:25" x14ac:dyDescent="0.3">
      <c r="A97" t="s">
        <v>25</v>
      </c>
      <c r="B97" s="7">
        <v>45168</v>
      </c>
      <c r="C97" t="s">
        <v>26</v>
      </c>
      <c r="D97">
        <v>3</v>
      </c>
      <c r="E97">
        <v>2</v>
      </c>
      <c r="F97">
        <v>4</v>
      </c>
      <c r="G97" t="s">
        <v>27</v>
      </c>
      <c r="H97">
        <v>2</v>
      </c>
      <c r="I97" s="8">
        <v>0.3125</v>
      </c>
      <c r="J97" s="8">
        <v>0.3347222222222222</v>
      </c>
      <c r="K97" s="9">
        <f t="shared" si="1"/>
        <v>1.0666666666666655</v>
      </c>
      <c r="L97" t="s">
        <v>28</v>
      </c>
      <c r="M97" t="s">
        <v>56</v>
      </c>
      <c r="N97" t="s">
        <v>50</v>
      </c>
      <c r="O97" s="3">
        <v>0</v>
      </c>
      <c r="P97" s="4">
        <v>0</v>
      </c>
      <c r="Q97" s="5">
        <v>0</v>
      </c>
      <c r="R97" s="6">
        <v>0</v>
      </c>
      <c r="S97" s="3">
        <v>0</v>
      </c>
      <c r="T97" s="4">
        <v>0</v>
      </c>
      <c r="U97" s="5">
        <v>0</v>
      </c>
      <c r="V97" s="6">
        <v>0</v>
      </c>
      <c r="Y97" t="s">
        <v>84</v>
      </c>
    </row>
    <row r="98" spans="1:25" x14ac:dyDescent="0.3">
      <c r="A98" t="s">
        <v>25</v>
      </c>
      <c r="B98" s="7">
        <v>45168</v>
      </c>
      <c r="C98" t="s">
        <v>26</v>
      </c>
      <c r="D98">
        <v>4</v>
      </c>
      <c r="E98">
        <v>2</v>
      </c>
      <c r="F98">
        <v>2</v>
      </c>
      <c r="G98" t="s">
        <v>27</v>
      </c>
      <c r="H98">
        <v>1</v>
      </c>
      <c r="I98" s="8">
        <v>0.29166666666666669</v>
      </c>
      <c r="J98" s="8">
        <v>0.375</v>
      </c>
      <c r="K98" s="9">
        <f t="shared" si="1"/>
        <v>1.9999999999999996</v>
      </c>
      <c r="L98" t="s">
        <v>25</v>
      </c>
      <c r="M98" t="s">
        <v>29</v>
      </c>
      <c r="N98" t="s">
        <v>32</v>
      </c>
      <c r="O98" s="3">
        <v>0</v>
      </c>
      <c r="P98" s="4">
        <v>0</v>
      </c>
      <c r="Q98" s="5">
        <v>0</v>
      </c>
      <c r="R98" s="6">
        <v>0</v>
      </c>
      <c r="S98" s="3">
        <v>0</v>
      </c>
      <c r="T98" s="4">
        <v>0</v>
      </c>
      <c r="U98" s="5">
        <v>0</v>
      </c>
      <c r="V98" s="6">
        <v>0</v>
      </c>
      <c r="Y98" t="s">
        <v>87</v>
      </c>
    </row>
    <row r="99" spans="1:25" x14ac:dyDescent="0.3">
      <c r="A99" t="s">
        <v>25</v>
      </c>
      <c r="B99" s="7">
        <v>45168</v>
      </c>
      <c r="C99" t="s">
        <v>26</v>
      </c>
      <c r="D99">
        <v>5</v>
      </c>
      <c r="E99">
        <v>2</v>
      </c>
      <c r="F99">
        <v>2</v>
      </c>
      <c r="G99" t="s">
        <v>27</v>
      </c>
      <c r="H99">
        <v>2</v>
      </c>
      <c r="I99" s="8">
        <v>0.22916666666666666</v>
      </c>
      <c r="J99" s="8">
        <v>0.4069444444444445</v>
      </c>
      <c r="K99" s="9">
        <f t="shared" si="1"/>
        <v>8.5333333333333368</v>
      </c>
      <c r="L99" t="s">
        <v>28</v>
      </c>
      <c r="M99" t="s">
        <v>51</v>
      </c>
      <c r="N99" t="s">
        <v>50</v>
      </c>
      <c r="O99" s="3">
        <v>1</v>
      </c>
      <c r="P99" s="4">
        <v>0</v>
      </c>
      <c r="Q99" s="5">
        <v>0</v>
      </c>
      <c r="R99" s="6">
        <v>0</v>
      </c>
      <c r="S99" s="3">
        <v>0</v>
      </c>
      <c r="T99" s="4">
        <v>0</v>
      </c>
      <c r="U99" s="5">
        <v>0</v>
      </c>
      <c r="V99" s="6">
        <v>0</v>
      </c>
      <c r="Y99" t="s">
        <v>63</v>
      </c>
    </row>
    <row r="100" spans="1:25" x14ac:dyDescent="0.3">
      <c r="A100" t="s">
        <v>25</v>
      </c>
      <c r="B100" s="7">
        <v>45168</v>
      </c>
      <c r="C100" t="s">
        <v>26</v>
      </c>
      <c r="D100">
        <v>6</v>
      </c>
      <c r="E100">
        <v>2</v>
      </c>
      <c r="F100">
        <v>2</v>
      </c>
      <c r="G100" t="s">
        <v>27</v>
      </c>
      <c r="H100">
        <v>1</v>
      </c>
      <c r="I100" s="8">
        <v>0.29166666666666669</v>
      </c>
      <c r="J100" s="8">
        <v>0.41666666666666669</v>
      </c>
      <c r="K100" s="9">
        <f t="shared" si="1"/>
        <v>3</v>
      </c>
      <c r="L100" t="s">
        <v>25</v>
      </c>
      <c r="M100" t="s">
        <v>56</v>
      </c>
      <c r="N100" t="s">
        <v>50</v>
      </c>
      <c r="O100" s="3">
        <v>1</v>
      </c>
      <c r="P100" s="4">
        <v>0</v>
      </c>
      <c r="Q100" s="5">
        <v>0</v>
      </c>
      <c r="R100" s="6">
        <v>0</v>
      </c>
      <c r="S100" s="3">
        <v>0</v>
      </c>
      <c r="T100" s="4">
        <v>0</v>
      </c>
      <c r="U100" s="5">
        <v>0</v>
      </c>
      <c r="V100" s="6">
        <v>0</v>
      </c>
      <c r="Y100" t="s">
        <v>63</v>
      </c>
    </row>
    <row r="101" spans="1:25" x14ac:dyDescent="0.3">
      <c r="A101" t="s">
        <v>25</v>
      </c>
      <c r="B101" s="7">
        <v>45168</v>
      </c>
      <c r="C101" t="s">
        <v>26</v>
      </c>
      <c r="D101">
        <v>7</v>
      </c>
      <c r="E101">
        <v>2</v>
      </c>
      <c r="F101">
        <v>2</v>
      </c>
      <c r="G101" t="s">
        <v>27</v>
      </c>
      <c r="H101">
        <v>1</v>
      </c>
      <c r="I101" s="8">
        <v>0.21875</v>
      </c>
      <c r="J101" s="8">
        <v>0.42083333333333334</v>
      </c>
      <c r="K101" s="9">
        <f t="shared" si="1"/>
        <v>4.8499999999999996</v>
      </c>
      <c r="L101" t="s">
        <v>28</v>
      </c>
      <c r="M101" t="s">
        <v>56</v>
      </c>
      <c r="N101" t="s">
        <v>75</v>
      </c>
      <c r="O101" s="3">
        <v>1</v>
      </c>
      <c r="P101" s="4">
        <v>0</v>
      </c>
      <c r="Q101" s="5">
        <v>0</v>
      </c>
      <c r="R101" s="6">
        <v>0</v>
      </c>
      <c r="S101" s="3">
        <v>0</v>
      </c>
      <c r="T101" s="4">
        <v>0</v>
      </c>
      <c r="U101" s="5">
        <v>1</v>
      </c>
      <c r="V101" s="6">
        <v>0</v>
      </c>
      <c r="Y101" t="s">
        <v>63</v>
      </c>
    </row>
    <row r="102" spans="1:25" x14ac:dyDescent="0.3">
      <c r="A102" t="s">
        <v>25</v>
      </c>
      <c r="B102" s="7">
        <v>45168</v>
      </c>
      <c r="C102" t="s">
        <v>26</v>
      </c>
      <c r="D102">
        <v>8</v>
      </c>
      <c r="E102">
        <v>1</v>
      </c>
      <c r="F102">
        <v>2</v>
      </c>
      <c r="G102" t="s">
        <v>27</v>
      </c>
      <c r="H102">
        <v>2</v>
      </c>
      <c r="I102" s="8">
        <v>0.4375</v>
      </c>
      <c r="J102" s="8">
        <v>0.45833333333333331</v>
      </c>
      <c r="K102" s="9">
        <f t="shared" si="1"/>
        <v>0.99999999999999911</v>
      </c>
      <c r="L102" t="s">
        <v>28</v>
      </c>
      <c r="M102" t="s">
        <v>29</v>
      </c>
      <c r="N102" t="s">
        <v>32</v>
      </c>
      <c r="O102" s="3">
        <v>0</v>
      </c>
      <c r="P102" s="4">
        <v>0</v>
      </c>
      <c r="Q102" s="5">
        <v>2</v>
      </c>
      <c r="R102" s="6">
        <v>0</v>
      </c>
      <c r="S102" s="3">
        <v>0</v>
      </c>
      <c r="T102" s="4">
        <v>0</v>
      </c>
      <c r="U102" s="5">
        <v>0</v>
      </c>
      <c r="V102" s="6">
        <v>0</v>
      </c>
      <c r="Y102" t="s">
        <v>53</v>
      </c>
    </row>
    <row r="103" spans="1:25" x14ac:dyDescent="0.3">
      <c r="A103" t="s">
        <v>25</v>
      </c>
      <c r="B103" s="7">
        <v>45168</v>
      </c>
      <c r="C103" t="s">
        <v>26</v>
      </c>
      <c r="D103">
        <v>9</v>
      </c>
      <c r="E103">
        <v>1</v>
      </c>
      <c r="F103">
        <v>2</v>
      </c>
      <c r="G103" t="s">
        <v>35</v>
      </c>
      <c r="H103">
        <v>1</v>
      </c>
      <c r="I103" s="8">
        <v>0.29166666666666669</v>
      </c>
      <c r="J103" s="8">
        <v>0.45833333333333331</v>
      </c>
      <c r="K103" s="9">
        <f t="shared" si="1"/>
        <v>3.9999999999999991</v>
      </c>
      <c r="L103" t="s">
        <v>25</v>
      </c>
      <c r="M103" t="s">
        <v>29</v>
      </c>
      <c r="N103" t="s">
        <v>32</v>
      </c>
      <c r="O103" s="3">
        <v>0</v>
      </c>
      <c r="P103" s="4">
        <v>0</v>
      </c>
      <c r="Q103" s="5">
        <v>3</v>
      </c>
      <c r="R103" s="6">
        <v>0</v>
      </c>
      <c r="S103" s="3">
        <v>0</v>
      </c>
      <c r="T103" s="4">
        <v>0</v>
      </c>
      <c r="U103" s="5">
        <v>7</v>
      </c>
      <c r="V103" s="6">
        <v>0</v>
      </c>
      <c r="Y103" t="s">
        <v>88</v>
      </c>
    </row>
    <row r="104" spans="1:25" x14ac:dyDescent="0.3">
      <c r="A104" t="s">
        <v>25</v>
      </c>
      <c r="B104" s="7">
        <v>45168</v>
      </c>
      <c r="C104" t="s">
        <v>26</v>
      </c>
      <c r="D104">
        <v>10</v>
      </c>
      <c r="E104">
        <v>1</v>
      </c>
      <c r="F104">
        <v>1</v>
      </c>
      <c r="G104" t="s">
        <v>27</v>
      </c>
      <c r="H104">
        <v>1</v>
      </c>
      <c r="I104" s="8">
        <v>0.4375</v>
      </c>
      <c r="J104" s="8">
        <v>0.47916666666666669</v>
      </c>
      <c r="K104" s="9">
        <f t="shared" si="1"/>
        <v>1.0000000000000004</v>
      </c>
      <c r="L104" t="s">
        <v>28</v>
      </c>
      <c r="M104" t="s">
        <v>29</v>
      </c>
      <c r="N104" t="s">
        <v>32</v>
      </c>
      <c r="O104" s="3">
        <v>0</v>
      </c>
      <c r="P104" s="4">
        <v>0</v>
      </c>
      <c r="Q104" s="5">
        <v>0</v>
      </c>
      <c r="R104" s="6">
        <v>0</v>
      </c>
      <c r="S104" s="3">
        <v>0</v>
      </c>
      <c r="T104" s="4">
        <v>0</v>
      </c>
      <c r="U104" s="5">
        <v>0</v>
      </c>
      <c r="V104" s="6">
        <v>0</v>
      </c>
      <c r="Y104" t="s">
        <v>89</v>
      </c>
    </row>
    <row r="105" spans="1:25" x14ac:dyDescent="0.3">
      <c r="A105" t="s">
        <v>25</v>
      </c>
      <c r="B105" s="7">
        <v>45168</v>
      </c>
      <c r="C105" t="s">
        <v>42</v>
      </c>
      <c r="D105">
        <v>11</v>
      </c>
      <c r="E105">
        <v>1</v>
      </c>
      <c r="F105">
        <v>1</v>
      </c>
      <c r="G105" t="s">
        <v>35</v>
      </c>
      <c r="H105">
        <v>2</v>
      </c>
      <c r="I105" s="8">
        <v>0.60416666666666663</v>
      </c>
      <c r="J105" s="8">
        <v>0.66666666666666663</v>
      </c>
      <c r="K105" s="9">
        <f t="shared" si="1"/>
        <v>3</v>
      </c>
      <c r="L105" t="s">
        <v>25</v>
      </c>
      <c r="M105" t="s">
        <v>29</v>
      </c>
      <c r="N105" t="s">
        <v>32</v>
      </c>
      <c r="O105" s="3">
        <v>0</v>
      </c>
      <c r="P105" s="4">
        <v>0</v>
      </c>
      <c r="Q105" s="5">
        <v>12</v>
      </c>
      <c r="R105" s="6">
        <v>0</v>
      </c>
      <c r="S105" s="3">
        <v>0</v>
      </c>
      <c r="T105" s="4">
        <v>0</v>
      </c>
      <c r="U105" s="5">
        <v>0</v>
      </c>
      <c r="V105" s="6">
        <v>0</v>
      </c>
    </row>
    <row r="106" spans="1:25" x14ac:dyDescent="0.3">
      <c r="A106" t="s">
        <v>25</v>
      </c>
      <c r="B106" s="7">
        <v>45168</v>
      </c>
      <c r="C106" t="s">
        <v>42</v>
      </c>
      <c r="D106">
        <v>12</v>
      </c>
      <c r="E106">
        <v>1</v>
      </c>
      <c r="F106">
        <v>1</v>
      </c>
      <c r="G106" t="s">
        <v>35</v>
      </c>
      <c r="H106">
        <v>2</v>
      </c>
      <c r="I106" s="8">
        <v>0.5</v>
      </c>
      <c r="J106" s="8">
        <v>0.6875</v>
      </c>
      <c r="K106" s="9">
        <f t="shared" si="1"/>
        <v>9</v>
      </c>
      <c r="L106" t="s">
        <v>25</v>
      </c>
      <c r="M106" t="s">
        <v>29</v>
      </c>
      <c r="N106" t="s">
        <v>32</v>
      </c>
      <c r="O106" s="3">
        <v>0</v>
      </c>
      <c r="P106" s="4">
        <v>0</v>
      </c>
      <c r="Q106" s="5">
        <v>11</v>
      </c>
      <c r="R106" s="6">
        <v>0</v>
      </c>
      <c r="S106" s="3">
        <v>0</v>
      </c>
      <c r="T106" s="4">
        <v>0</v>
      </c>
      <c r="U106" s="5">
        <v>0</v>
      </c>
      <c r="V106" s="6">
        <v>0</v>
      </c>
    </row>
    <row r="107" spans="1:25" x14ac:dyDescent="0.3">
      <c r="A107" t="s">
        <v>25</v>
      </c>
      <c r="B107" s="7">
        <v>45168</v>
      </c>
      <c r="C107" t="s">
        <v>42</v>
      </c>
      <c r="D107">
        <v>13</v>
      </c>
      <c r="E107">
        <v>1</v>
      </c>
      <c r="F107">
        <v>1</v>
      </c>
      <c r="G107" t="s">
        <v>35</v>
      </c>
      <c r="H107">
        <v>2</v>
      </c>
      <c r="I107" s="8">
        <v>0.58333333333333337</v>
      </c>
      <c r="J107" s="8">
        <v>0.6875</v>
      </c>
      <c r="K107" s="9">
        <f t="shared" si="1"/>
        <v>4.9999999999999982</v>
      </c>
      <c r="L107" t="s">
        <v>25</v>
      </c>
      <c r="M107" t="s">
        <v>29</v>
      </c>
      <c r="N107" t="s">
        <v>32</v>
      </c>
      <c r="O107" s="3">
        <v>0</v>
      </c>
      <c r="P107" s="4">
        <v>0</v>
      </c>
      <c r="Q107" s="5">
        <v>5</v>
      </c>
      <c r="R107" s="6">
        <v>0</v>
      </c>
      <c r="S107" s="3">
        <v>0</v>
      </c>
      <c r="T107" s="4">
        <v>0</v>
      </c>
      <c r="U107" s="5">
        <v>3</v>
      </c>
      <c r="V107" s="6">
        <v>0</v>
      </c>
    </row>
    <row r="108" spans="1:25" x14ac:dyDescent="0.3">
      <c r="A108" t="s">
        <v>25</v>
      </c>
      <c r="B108" s="7">
        <v>45168</v>
      </c>
      <c r="C108" t="s">
        <v>42</v>
      </c>
      <c r="D108">
        <v>14</v>
      </c>
      <c r="E108">
        <v>1</v>
      </c>
      <c r="F108">
        <v>1</v>
      </c>
      <c r="G108" t="s">
        <v>35</v>
      </c>
      <c r="H108">
        <v>3</v>
      </c>
      <c r="I108" s="8">
        <v>0.61111111111111105</v>
      </c>
      <c r="J108" s="8">
        <v>0.69444444444444453</v>
      </c>
      <c r="K108" s="9">
        <f t="shared" si="1"/>
        <v>6.0000000000000107</v>
      </c>
      <c r="L108" t="s">
        <v>25</v>
      </c>
      <c r="M108" t="s">
        <v>29</v>
      </c>
      <c r="N108" t="s">
        <v>32</v>
      </c>
      <c r="O108" s="3">
        <v>0</v>
      </c>
      <c r="P108" s="4">
        <v>0</v>
      </c>
      <c r="Q108" s="5">
        <v>1</v>
      </c>
      <c r="R108" s="6">
        <v>0</v>
      </c>
      <c r="S108" s="3">
        <v>0</v>
      </c>
      <c r="T108" s="4">
        <v>0</v>
      </c>
      <c r="U108" s="5">
        <v>0</v>
      </c>
      <c r="V108" s="6">
        <v>0</v>
      </c>
      <c r="Y108" t="s">
        <v>90</v>
      </c>
    </row>
    <row r="109" spans="1:25" x14ac:dyDescent="0.3">
      <c r="A109" t="s">
        <v>25</v>
      </c>
      <c r="B109" s="7">
        <v>45168</v>
      </c>
      <c r="C109" t="s">
        <v>42</v>
      </c>
      <c r="D109">
        <v>15</v>
      </c>
      <c r="E109">
        <v>1</v>
      </c>
      <c r="F109">
        <v>1</v>
      </c>
      <c r="G109" t="s">
        <v>35</v>
      </c>
      <c r="H109">
        <v>4</v>
      </c>
      <c r="I109" s="8">
        <v>0.45833333333333331</v>
      </c>
      <c r="J109" s="8">
        <v>0.67708333333333337</v>
      </c>
      <c r="K109" s="9">
        <f t="shared" si="1"/>
        <v>21.000000000000007</v>
      </c>
      <c r="L109" t="s">
        <v>25</v>
      </c>
      <c r="M109" t="s">
        <v>29</v>
      </c>
      <c r="N109" t="s">
        <v>32</v>
      </c>
      <c r="O109" s="3">
        <v>0</v>
      </c>
      <c r="P109" s="4">
        <v>0</v>
      </c>
      <c r="Q109" s="5">
        <v>24</v>
      </c>
      <c r="R109" s="6">
        <v>0</v>
      </c>
      <c r="S109" s="3">
        <v>0</v>
      </c>
      <c r="T109" s="4">
        <v>0</v>
      </c>
      <c r="U109" s="5">
        <v>2</v>
      </c>
      <c r="V109" s="6">
        <v>0</v>
      </c>
    </row>
    <row r="110" spans="1:25" x14ac:dyDescent="0.3">
      <c r="A110" t="s">
        <v>25</v>
      </c>
      <c r="B110" s="7">
        <v>45168</v>
      </c>
      <c r="C110" t="s">
        <v>42</v>
      </c>
      <c r="D110">
        <v>16</v>
      </c>
      <c r="E110">
        <v>1</v>
      </c>
      <c r="F110">
        <v>1</v>
      </c>
      <c r="G110" t="s">
        <v>35</v>
      </c>
      <c r="H110">
        <v>2</v>
      </c>
      <c r="I110" s="8">
        <v>0.5</v>
      </c>
      <c r="J110" s="8">
        <v>0.72916666666666663</v>
      </c>
      <c r="K110" s="9">
        <f t="shared" si="1"/>
        <v>10.999999999999998</v>
      </c>
      <c r="L110" t="s">
        <v>25</v>
      </c>
      <c r="M110" t="s">
        <v>29</v>
      </c>
      <c r="N110" t="s">
        <v>32</v>
      </c>
      <c r="O110" s="3">
        <v>0</v>
      </c>
      <c r="P110" s="4">
        <v>0</v>
      </c>
      <c r="Q110" s="5">
        <v>5</v>
      </c>
      <c r="R110" s="6">
        <v>0</v>
      </c>
      <c r="S110" s="3">
        <v>1</v>
      </c>
      <c r="T110" s="4">
        <v>0</v>
      </c>
      <c r="U110" s="5">
        <v>0</v>
      </c>
      <c r="V110" s="6">
        <v>0</v>
      </c>
    </row>
    <row r="111" spans="1:25" x14ac:dyDescent="0.3">
      <c r="A111" t="s">
        <v>25</v>
      </c>
      <c r="B111" s="7">
        <v>45168</v>
      </c>
      <c r="C111" t="s">
        <v>42</v>
      </c>
      <c r="D111">
        <v>17</v>
      </c>
      <c r="E111">
        <v>1</v>
      </c>
      <c r="F111">
        <v>1</v>
      </c>
      <c r="G111" t="s">
        <v>35</v>
      </c>
      <c r="H111">
        <v>5</v>
      </c>
      <c r="I111" s="8">
        <v>0.54166666666666663</v>
      </c>
      <c r="J111" s="8">
        <v>0.72916666666666663</v>
      </c>
      <c r="K111" s="9">
        <f t="shared" si="1"/>
        <v>22.5</v>
      </c>
      <c r="L111" t="s">
        <v>25</v>
      </c>
      <c r="M111" t="s">
        <v>29</v>
      </c>
      <c r="N111" t="s">
        <v>32</v>
      </c>
      <c r="O111" s="3">
        <v>0</v>
      </c>
      <c r="P111" s="4">
        <v>0</v>
      </c>
      <c r="Q111" s="5">
        <v>9</v>
      </c>
      <c r="R111" s="6">
        <v>0</v>
      </c>
      <c r="S111" s="3">
        <v>0</v>
      </c>
      <c r="T111" s="4">
        <v>0</v>
      </c>
      <c r="U111" s="5">
        <v>0</v>
      </c>
      <c r="V111" s="6">
        <v>0</v>
      </c>
    </row>
    <row r="112" spans="1:25" x14ac:dyDescent="0.3">
      <c r="A112" t="s">
        <v>25</v>
      </c>
      <c r="B112" s="7">
        <v>45168</v>
      </c>
      <c r="C112" t="s">
        <v>42</v>
      </c>
      <c r="D112">
        <v>18</v>
      </c>
      <c r="E112">
        <v>1</v>
      </c>
      <c r="F112">
        <v>1</v>
      </c>
      <c r="G112" t="s">
        <v>35</v>
      </c>
      <c r="H112">
        <v>2</v>
      </c>
      <c r="I112" s="8">
        <v>0.33333333333333331</v>
      </c>
      <c r="J112" s="8">
        <v>0.74305555555555547</v>
      </c>
      <c r="K112" s="9">
        <f t="shared" si="1"/>
        <v>19.666666666666664</v>
      </c>
      <c r="L112" t="s">
        <v>25</v>
      </c>
      <c r="M112" t="s">
        <v>29</v>
      </c>
      <c r="N112" t="s">
        <v>32</v>
      </c>
      <c r="O112" s="3">
        <v>0</v>
      </c>
      <c r="P112" s="4">
        <v>0</v>
      </c>
      <c r="Q112" s="5">
        <v>5</v>
      </c>
      <c r="R112" s="6">
        <v>0</v>
      </c>
      <c r="S112" s="3">
        <v>0</v>
      </c>
      <c r="T112" s="4">
        <v>0</v>
      </c>
      <c r="U112" s="5">
        <v>0</v>
      </c>
      <c r="V112" s="6">
        <v>0</v>
      </c>
    </row>
    <row r="113" spans="1:25" x14ac:dyDescent="0.3">
      <c r="A113" t="s">
        <v>25</v>
      </c>
      <c r="B113" s="7">
        <v>45168</v>
      </c>
      <c r="C113" t="s">
        <v>42</v>
      </c>
      <c r="D113">
        <v>19</v>
      </c>
      <c r="E113">
        <v>1</v>
      </c>
      <c r="F113">
        <v>1</v>
      </c>
      <c r="G113" t="s">
        <v>35</v>
      </c>
      <c r="H113">
        <v>2</v>
      </c>
      <c r="I113" s="8">
        <v>0.60416666666666663</v>
      </c>
      <c r="J113" s="8">
        <v>0.74513888888888891</v>
      </c>
      <c r="K113" s="9">
        <f t="shared" si="1"/>
        <v>6.7666666666666693</v>
      </c>
      <c r="L113" t="s">
        <v>25</v>
      </c>
      <c r="M113" t="s">
        <v>29</v>
      </c>
      <c r="N113" t="s">
        <v>32</v>
      </c>
      <c r="O113" s="3">
        <v>0</v>
      </c>
      <c r="P113" s="4">
        <v>0</v>
      </c>
      <c r="Q113" s="5">
        <v>0</v>
      </c>
      <c r="R113" s="6">
        <v>0</v>
      </c>
      <c r="S113" s="3">
        <v>0</v>
      </c>
      <c r="T113" s="4">
        <v>0</v>
      </c>
      <c r="U113" s="5">
        <v>35</v>
      </c>
      <c r="V113" s="6">
        <v>0</v>
      </c>
    </row>
    <row r="114" spans="1:25" x14ac:dyDescent="0.3">
      <c r="A114" t="s">
        <v>25</v>
      </c>
      <c r="B114" s="7">
        <v>45168</v>
      </c>
      <c r="C114" t="s">
        <v>42</v>
      </c>
      <c r="D114">
        <v>20</v>
      </c>
      <c r="E114">
        <v>1</v>
      </c>
      <c r="F114">
        <v>1</v>
      </c>
      <c r="G114" t="s">
        <v>35</v>
      </c>
      <c r="H114">
        <v>1</v>
      </c>
      <c r="I114" s="8">
        <v>0.54166666666666663</v>
      </c>
      <c r="J114" s="8">
        <v>0.75</v>
      </c>
      <c r="K114" s="9">
        <f t="shared" si="1"/>
        <v>5.0000000000000009</v>
      </c>
      <c r="L114" t="s">
        <v>25</v>
      </c>
      <c r="M114" t="s">
        <v>29</v>
      </c>
      <c r="N114" t="s">
        <v>32</v>
      </c>
      <c r="O114" s="3">
        <v>0</v>
      </c>
      <c r="P114" s="4">
        <v>0</v>
      </c>
      <c r="Q114" s="5">
        <v>6</v>
      </c>
      <c r="R114" s="6">
        <v>0</v>
      </c>
      <c r="S114" s="3">
        <v>0</v>
      </c>
      <c r="T114" s="4">
        <v>0</v>
      </c>
      <c r="U114" s="5">
        <v>0</v>
      </c>
      <c r="V114" s="6">
        <v>0</v>
      </c>
    </row>
    <row r="115" spans="1:25" x14ac:dyDescent="0.3">
      <c r="A115" t="s">
        <v>25</v>
      </c>
      <c r="B115" s="7">
        <v>45168</v>
      </c>
      <c r="C115" t="s">
        <v>42</v>
      </c>
      <c r="D115">
        <v>21</v>
      </c>
      <c r="E115">
        <v>1</v>
      </c>
      <c r="F115">
        <v>1</v>
      </c>
      <c r="G115" t="s">
        <v>35</v>
      </c>
      <c r="H115">
        <v>2</v>
      </c>
      <c r="I115" s="8">
        <v>0.64583333333333337</v>
      </c>
      <c r="J115" s="8">
        <v>0.77500000000000002</v>
      </c>
      <c r="K115" s="9">
        <f t="shared" si="1"/>
        <v>6.1999999999999993</v>
      </c>
      <c r="L115" t="s">
        <v>25</v>
      </c>
      <c r="M115" t="s">
        <v>29</v>
      </c>
      <c r="N115" t="s">
        <v>32</v>
      </c>
      <c r="O115" s="3">
        <v>0</v>
      </c>
      <c r="P115" s="4">
        <v>0</v>
      </c>
      <c r="Q115" s="5">
        <v>6</v>
      </c>
      <c r="R115" s="6">
        <v>0</v>
      </c>
      <c r="S115" s="3">
        <v>0</v>
      </c>
      <c r="T115" s="4">
        <v>0</v>
      </c>
      <c r="U115" s="5">
        <v>2</v>
      </c>
      <c r="V115" s="6">
        <v>0</v>
      </c>
    </row>
    <row r="116" spans="1:25" x14ac:dyDescent="0.3">
      <c r="A116" t="s">
        <v>25</v>
      </c>
      <c r="B116" s="7">
        <v>45168</v>
      </c>
      <c r="C116" t="s">
        <v>42</v>
      </c>
      <c r="D116">
        <v>22</v>
      </c>
      <c r="E116">
        <v>1</v>
      </c>
      <c r="F116">
        <v>1</v>
      </c>
      <c r="G116" t="s">
        <v>35</v>
      </c>
      <c r="H116">
        <v>3</v>
      </c>
      <c r="I116" s="8">
        <v>0.47916666666666669</v>
      </c>
      <c r="J116" s="8">
        <v>0.79305555555555562</v>
      </c>
      <c r="K116" s="9">
        <f t="shared" si="1"/>
        <v>22.600000000000005</v>
      </c>
      <c r="L116" t="s">
        <v>25</v>
      </c>
      <c r="M116" t="s">
        <v>29</v>
      </c>
      <c r="N116" t="s">
        <v>32</v>
      </c>
      <c r="O116" s="3">
        <v>0</v>
      </c>
      <c r="P116" s="4">
        <v>0</v>
      </c>
      <c r="Q116" s="5">
        <v>0</v>
      </c>
      <c r="R116" s="6">
        <v>0</v>
      </c>
      <c r="S116" s="3">
        <v>0</v>
      </c>
      <c r="T116" s="4">
        <v>0</v>
      </c>
      <c r="U116" s="5">
        <v>25</v>
      </c>
      <c r="V116" s="6">
        <v>0</v>
      </c>
    </row>
    <row r="117" spans="1:25" x14ac:dyDescent="0.3">
      <c r="A117" t="s">
        <v>25</v>
      </c>
      <c r="B117" s="7">
        <v>45168</v>
      </c>
      <c r="C117" t="s">
        <v>42</v>
      </c>
      <c r="D117">
        <v>23</v>
      </c>
      <c r="E117">
        <v>1</v>
      </c>
      <c r="F117">
        <v>1</v>
      </c>
      <c r="G117" t="s">
        <v>35</v>
      </c>
      <c r="H117">
        <v>1</v>
      </c>
      <c r="I117" s="8">
        <v>0.6875</v>
      </c>
      <c r="J117" s="8">
        <v>0.79583333333333339</v>
      </c>
      <c r="K117" s="9">
        <f t="shared" si="1"/>
        <v>2.6000000000000014</v>
      </c>
      <c r="L117" t="s">
        <v>25</v>
      </c>
      <c r="M117" t="s">
        <v>29</v>
      </c>
      <c r="N117" t="s">
        <v>32</v>
      </c>
      <c r="O117" s="3">
        <v>0</v>
      </c>
      <c r="P117" s="4">
        <v>0</v>
      </c>
      <c r="Q117" s="5">
        <v>6</v>
      </c>
      <c r="R117" s="6">
        <v>0</v>
      </c>
      <c r="S117" s="3">
        <v>0</v>
      </c>
      <c r="T117" s="4">
        <v>0</v>
      </c>
      <c r="U117" s="5">
        <v>10</v>
      </c>
      <c r="V117" s="6">
        <v>0</v>
      </c>
    </row>
    <row r="118" spans="1:25" x14ac:dyDescent="0.3">
      <c r="A118" t="s">
        <v>25</v>
      </c>
      <c r="B118" s="7">
        <v>45168</v>
      </c>
      <c r="C118" t="s">
        <v>42</v>
      </c>
      <c r="D118">
        <v>24</v>
      </c>
      <c r="E118">
        <v>1</v>
      </c>
      <c r="F118">
        <v>1</v>
      </c>
      <c r="G118" t="s">
        <v>35</v>
      </c>
      <c r="H118">
        <v>1</v>
      </c>
      <c r="I118" s="8">
        <v>0.625</v>
      </c>
      <c r="J118" s="8">
        <v>0.79722222222222217</v>
      </c>
      <c r="K118" s="9">
        <f t="shared" si="1"/>
        <v>4.133333333333332</v>
      </c>
      <c r="L118" t="s">
        <v>25</v>
      </c>
      <c r="M118" t="s">
        <v>29</v>
      </c>
      <c r="N118" t="s">
        <v>32</v>
      </c>
      <c r="O118" s="3">
        <v>0</v>
      </c>
      <c r="P118" s="4">
        <v>0</v>
      </c>
      <c r="Q118" s="5">
        <v>2</v>
      </c>
      <c r="R118" s="6">
        <v>0</v>
      </c>
      <c r="S118" s="3">
        <v>0</v>
      </c>
      <c r="T118" s="4">
        <v>0</v>
      </c>
      <c r="U118" s="5">
        <v>4</v>
      </c>
      <c r="V118" s="6">
        <v>0</v>
      </c>
    </row>
    <row r="119" spans="1:25" x14ac:dyDescent="0.3">
      <c r="A119" t="s">
        <v>25</v>
      </c>
      <c r="B119" s="7">
        <v>45168</v>
      </c>
      <c r="C119" t="s">
        <v>42</v>
      </c>
      <c r="D119">
        <v>25</v>
      </c>
      <c r="E119">
        <v>1</v>
      </c>
      <c r="F119">
        <v>1</v>
      </c>
      <c r="G119" t="s">
        <v>35</v>
      </c>
      <c r="H119">
        <v>2</v>
      </c>
      <c r="I119" s="8">
        <v>0.3125</v>
      </c>
      <c r="J119" s="8">
        <v>0.80138888888888893</v>
      </c>
      <c r="K119" s="9">
        <f t="shared" si="1"/>
        <v>23.466666666666669</v>
      </c>
      <c r="L119" t="s">
        <v>25</v>
      </c>
      <c r="M119" t="s">
        <v>29</v>
      </c>
      <c r="N119" t="s">
        <v>32</v>
      </c>
      <c r="O119" s="3">
        <v>0</v>
      </c>
      <c r="P119" s="4">
        <v>0</v>
      </c>
      <c r="Q119" s="5">
        <v>11</v>
      </c>
      <c r="R119" s="6">
        <v>0</v>
      </c>
      <c r="S119" s="3">
        <v>0</v>
      </c>
      <c r="T119" s="4">
        <v>0</v>
      </c>
      <c r="U119" s="5">
        <v>10</v>
      </c>
      <c r="V119" s="6">
        <v>0</v>
      </c>
    </row>
    <row r="120" spans="1:25" x14ac:dyDescent="0.3">
      <c r="A120" t="s">
        <v>25</v>
      </c>
      <c r="B120" s="7">
        <v>45168</v>
      </c>
      <c r="C120" t="s">
        <v>42</v>
      </c>
      <c r="D120">
        <v>26</v>
      </c>
      <c r="E120">
        <v>1</v>
      </c>
      <c r="F120">
        <v>1</v>
      </c>
      <c r="G120" t="s">
        <v>35</v>
      </c>
      <c r="H120">
        <v>2</v>
      </c>
      <c r="I120" s="8">
        <v>0.70833333333333337</v>
      </c>
      <c r="J120" s="8">
        <v>0.83333333333333337</v>
      </c>
      <c r="K120" s="9">
        <f t="shared" si="1"/>
        <v>6</v>
      </c>
      <c r="L120" t="s">
        <v>25</v>
      </c>
      <c r="M120" t="s">
        <v>91</v>
      </c>
      <c r="N120" t="s">
        <v>92</v>
      </c>
      <c r="O120" s="3">
        <v>0</v>
      </c>
      <c r="P120" s="4">
        <v>0</v>
      </c>
      <c r="Q120" s="5">
        <v>0</v>
      </c>
      <c r="R120" s="6">
        <v>0</v>
      </c>
      <c r="S120" s="3">
        <v>0</v>
      </c>
      <c r="T120" s="4">
        <v>1</v>
      </c>
      <c r="U120" s="5">
        <v>4</v>
      </c>
      <c r="V120" s="6">
        <v>0</v>
      </c>
      <c r="Y120" t="s">
        <v>93</v>
      </c>
    </row>
    <row r="121" spans="1:25" x14ac:dyDescent="0.3">
      <c r="A121" t="s">
        <v>25</v>
      </c>
      <c r="B121" s="7">
        <v>45168</v>
      </c>
      <c r="C121" t="s">
        <v>42</v>
      </c>
      <c r="D121">
        <v>27</v>
      </c>
      <c r="E121">
        <v>1</v>
      </c>
      <c r="F121">
        <v>1</v>
      </c>
      <c r="G121" t="s">
        <v>35</v>
      </c>
      <c r="H121">
        <v>2</v>
      </c>
      <c r="I121" s="8">
        <v>0.66666666666666663</v>
      </c>
      <c r="J121" s="8">
        <v>0.8354166666666667</v>
      </c>
      <c r="K121" s="9">
        <f t="shared" si="1"/>
        <v>8.1000000000000032</v>
      </c>
      <c r="L121" t="s">
        <v>25</v>
      </c>
      <c r="M121" t="s">
        <v>29</v>
      </c>
      <c r="N121" t="s">
        <v>32</v>
      </c>
      <c r="O121" s="3">
        <v>0</v>
      </c>
      <c r="P121" s="4">
        <v>0</v>
      </c>
      <c r="Q121" s="5">
        <v>11</v>
      </c>
      <c r="R121" s="6">
        <v>0</v>
      </c>
      <c r="S121" s="3">
        <v>0</v>
      </c>
      <c r="T121" s="4">
        <v>0</v>
      </c>
      <c r="U121" s="5">
        <v>0</v>
      </c>
      <c r="V121" s="6">
        <v>0</v>
      </c>
    </row>
    <row r="122" spans="1:25" x14ac:dyDescent="0.3">
      <c r="A122" t="s">
        <v>25</v>
      </c>
      <c r="B122" s="7">
        <v>45168</v>
      </c>
      <c r="C122" t="s">
        <v>42</v>
      </c>
      <c r="D122">
        <v>28</v>
      </c>
      <c r="E122">
        <v>1</v>
      </c>
      <c r="F122">
        <v>1</v>
      </c>
      <c r="G122" t="s">
        <v>35</v>
      </c>
      <c r="H122">
        <v>4</v>
      </c>
      <c r="I122" s="8">
        <v>0.77083333333333337</v>
      </c>
      <c r="J122" s="8">
        <v>0.83680555555555547</v>
      </c>
      <c r="K122" s="9">
        <f t="shared" si="1"/>
        <v>6.3333333333333215</v>
      </c>
      <c r="L122" t="s">
        <v>25</v>
      </c>
      <c r="M122" t="s">
        <v>29</v>
      </c>
      <c r="N122" t="s">
        <v>32</v>
      </c>
      <c r="O122" s="3">
        <v>0</v>
      </c>
      <c r="P122" s="4">
        <v>0</v>
      </c>
      <c r="Q122" s="5">
        <v>11</v>
      </c>
      <c r="R122" s="6">
        <v>0</v>
      </c>
      <c r="S122" s="3">
        <v>0</v>
      </c>
      <c r="T122" s="4">
        <v>0</v>
      </c>
      <c r="U122" s="5">
        <v>0</v>
      </c>
      <c r="V122" s="6">
        <v>0</v>
      </c>
    </row>
    <row r="123" spans="1:25" x14ac:dyDescent="0.3">
      <c r="A123" t="s">
        <v>25</v>
      </c>
      <c r="B123" s="7">
        <v>45168</v>
      </c>
      <c r="C123" t="s">
        <v>42</v>
      </c>
      <c r="D123">
        <v>29</v>
      </c>
      <c r="E123">
        <v>1</v>
      </c>
      <c r="F123">
        <v>1</v>
      </c>
      <c r="G123" t="s">
        <v>35</v>
      </c>
      <c r="H123">
        <v>2</v>
      </c>
      <c r="I123" s="8">
        <v>0.625</v>
      </c>
      <c r="J123" s="8">
        <v>0.83888888888888891</v>
      </c>
      <c r="K123" s="9">
        <f t="shared" si="1"/>
        <v>10.266666666666667</v>
      </c>
      <c r="L123" t="s">
        <v>25</v>
      </c>
      <c r="M123" t="s">
        <v>29</v>
      </c>
      <c r="N123" t="s">
        <v>32</v>
      </c>
      <c r="O123" s="3">
        <v>0</v>
      </c>
      <c r="P123" s="4">
        <v>0</v>
      </c>
      <c r="Q123" s="5">
        <v>2</v>
      </c>
      <c r="R123" s="6">
        <v>0</v>
      </c>
      <c r="S123" s="3">
        <v>0</v>
      </c>
      <c r="T123" s="4">
        <v>0</v>
      </c>
      <c r="U123" s="5">
        <v>10</v>
      </c>
      <c r="V123" s="6">
        <v>0</v>
      </c>
    </row>
    <row r="124" spans="1:25" x14ac:dyDescent="0.3">
      <c r="A124" t="s">
        <v>25</v>
      </c>
      <c r="B124" s="7">
        <v>45168</v>
      </c>
      <c r="C124" t="s">
        <v>42</v>
      </c>
      <c r="D124">
        <v>30</v>
      </c>
      <c r="E124">
        <v>1</v>
      </c>
      <c r="F124">
        <v>1</v>
      </c>
      <c r="G124" t="s">
        <v>35</v>
      </c>
      <c r="H124">
        <v>3</v>
      </c>
      <c r="I124" s="8">
        <v>0.70833333333333337</v>
      </c>
      <c r="J124" s="8">
        <v>0.84375</v>
      </c>
      <c r="K124" s="9">
        <f t="shared" si="1"/>
        <v>9.7499999999999964</v>
      </c>
      <c r="L124" t="s">
        <v>25</v>
      </c>
      <c r="M124" t="s">
        <v>29</v>
      </c>
      <c r="N124" t="s">
        <v>32</v>
      </c>
      <c r="O124" s="3">
        <v>0</v>
      </c>
      <c r="P124" s="4">
        <v>0</v>
      </c>
      <c r="Q124" s="5">
        <v>4</v>
      </c>
      <c r="R124" s="6">
        <v>0</v>
      </c>
      <c r="S124" s="3">
        <v>0</v>
      </c>
      <c r="T124" s="4">
        <v>0</v>
      </c>
      <c r="U124" s="5">
        <v>2</v>
      </c>
      <c r="V124" s="6">
        <v>0</v>
      </c>
    </row>
    <row r="125" spans="1:25" x14ac:dyDescent="0.3">
      <c r="A125" t="s">
        <v>25</v>
      </c>
      <c r="B125" s="7">
        <v>45168</v>
      </c>
      <c r="C125" t="s">
        <v>42</v>
      </c>
      <c r="D125">
        <v>31</v>
      </c>
      <c r="E125">
        <v>1</v>
      </c>
      <c r="F125">
        <v>1</v>
      </c>
      <c r="G125" t="s">
        <v>35</v>
      </c>
      <c r="H125">
        <v>2</v>
      </c>
      <c r="I125" s="8">
        <v>0.70833333333333337</v>
      </c>
      <c r="J125" s="8">
        <v>0.84861111111111109</v>
      </c>
      <c r="K125" s="9">
        <f t="shared" si="1"/>
        <v>6.7333333333333307</v>
      </c>
      <c r="L125" t="s">
        <v>25</v>
      </c>
      <c r="M125" t="s">
        <v>29</v>
      </c>
      <c r="N125" t="s">
        <v>32</v>
      </c>
      <c r="O125" s="3">
        <v>0</v>
      </c>
      <c r="P125" s="4">
        <v>0</v>
      </c>
      <c r="Q125" s="5">
        <v>2</v>
      </c>
      <c r="R125" s="6">
        <v>0</v>
      </c>
      <c r="S125" s="3">
        <v>0</v>
      </c>
      <c r="T125" s="4">
        <v>0</v>
      </c>
      <c r="U125" s="5">
        <v>0</v>
      </c>
      <c r="V125" s="6">
        <v>0</v>
      </c>
    </row>
    <row r="126" spans="1:25" x14ac:dyDescent="0.3">
      <c r="A126" t="s">
        <v>25</v>
      </c>
      <c r="B126" s="7">
        <v>45168</v>
      </c>
      <c r="C126" t="s">
        <v>42</v>
      </c>
      <c r="D126">
        <v>32</v>
      </c>
      <c r="E126">
        <v>1</v>
      </c>
      <c r="F126">
        <v>1</v>
      </c>
      <c r="G126" t="s">
        <v>35</v>
      </c>
      <c r="H126">
        <v>3</v>
      </c>
      <c r="I126" s="8">
        <v>0.78125</v>
      </c>
      <c r="J126" s="8">
        <v>0.8520833333333333</v>
      </c>
      <c r="K126" s="9">
        <f t="shared" si="1"/>
        <v>5.0999999999999979</v>
      </c>
      <c r="L126" t="s">
        <v>25</v>
      </c>
      <c r="M126" t="s">
        <v>29</v>
      </c>
      <c r="N126" t="s">
        <v>32</v>
      </c>
      <c r="O126" s="3">
        <v>0</v>
      </c>
      <c r="P126" s="4">
        <v>0</v>
      </c>
      <c r="Q126" s="5">
        <v>7</v>
      </c>
      <c r="R126" s="6">
        <v>0</v>
      </c>
      <c r="S126" s="3">
        <v>0</v>
      </c>
      <c r="T126" s="4">
        <v>0</v>
      </c>
      <c r="U126" s="5">
        <v>0</v>
      </c>
      <c r="V126" s="6">
        <v>0</v>
      </c>
    </row>
    <row r="127" spans="1:25" x14ac:dyDescent="0.3">
      <c r="A127" t="s">
        <v>25</v>
      </c>
      <c r="B127" s="7">
        <v>45169</v>
      </c>
      <c r="C127" t="s">
        <v>26</v>
      </c>
      <c r="D127">
        <v>1</v>
      </c>
      <c r="E127">
        <v>1</v>
      </c>
      <c r="F127">
        <v>2</v>
      </c>
      <c r="G127" t="s">
        <v>27</v>
      </c>
      <c r="H127">
        <v>2</v>
      </c>
      <c r="I127" s="8">
        <v>0.28125</v>
      </c>
      <c r="J127" s="8">
        <v>0.30833333333333335</v>
      </c>
      <c r="K127" s="9">
        <f t="shared" si="1"/>
        <v>1.3000000000000007</v>
      </c>
      <c r="L127" t="s">
        <v>28</v>
      </c>
      <c r="M127" t="s">
        <v>29</v>
      </c>
      <c r="N127" t="s">
        <v>32</v>
      </c>
      <c r="O127" s="3">
        <v>0</v>
      </c>
      <c r="P127" s="4">
        <v>0</v>
      </c>
      <c r="Q127" s="5">
        <v>1</v>
      </c>
      <c r="R127" s="6">
        <v>0</v>
      </c>
      <c r="S127" s="3">
        <v>0</v>
      </c>
      <c r="T127" s="4">
        <v>0</v>
      </c>
      <c r="U127" s="5">
        <v>0</v>
      </c>
      <c r="V127" s="6">
        <v>0</v>
      </c>
      <c r="Y127" t="s">
        <v>52</v>
      </c>
    </row>
    <row r="128" spans="1:25" x14ac:dyDescent="0.3">
      <c r="A128" t="s">
        <v>25</v>
      </c>
      <c r="B128" s="7">
        <v>45169</v>
      </c>
      <c r="C128" t="s">
        <v>26</v>
      </c>
      <c r="D128">
        <v>2</v>
      </c>
      <c r="E128">
        <v>2</v>
      </c>
      <c r="F128">
        <v>2</v>
      </c>
      <c r="G128" t="s">
        <v>27</v>
      </c>
      <c r="H128">
        <v>1</v>
      </c>
      <c r="I128" s="8">
        <v>0.29166666666666669</v>
      </c>
      <c r="J128" s="8">
        <v>0.33333333333333331</v>
      </c>
      <c r="K128" s="9">
        <f t="shared" si="1"/>
        <v>0.99999999999999911</v>
      </c>
      <c r="L128" t="s">
        <v>28</v>
      </c>
      <c r="M128" t="s">
        <v>56</v>
      </c>
      <c r="N128" t="s">
        <v>55</v>
      </c>
      <c r="O128" s="3">
        <v>0</v>
      </c>
      <c r="P128" s="4">
        <v>0</v>
      </c>
      <c r="Q128" s="5">
        <v>0</v>
      </c>
      <c r="R128" s="6">
        <v>0</v>
      </c>
      <c r="S128" s="3">
        <v>0</v>
      </c>
      <c r="T128" s="4">
        <v>0</v>
      </c>
      <c r="U128" s="5">
        <v>0</v>
      </c>
      <c r="V128" s="6">
        <v>0</v>
      </c>
      <c r="Y128" t="s">
        <v>94</v>
      </c>
    </row>
    <row r="129" spans="1:25" x14ac:dyDescent="0.3">
      <c r="A129" t="s">
        <v>25</v>
      </c>
      <c r="B129" s="7">
        <v>45169</v>
      </c>
      <c r="C129" t="s">
        <v>26</v>
      </c>
      <c r="D129">
        <v>3</v>
      </c>
      <c r="E129">
        <v>2</v>
      </c>
      <c r="F129">
        <v>1</v>
      </c>
      <c r="G129" t="s">
        <v>27</v>
      </c>
      <c r="H129">
        <v>2</v>
      </c>
      <c r="I129" s="8">
        <v>0.25</v>
      </c>
      <c r="J129" s="8">
        <v>0.34722222222222227</v>
      </c>
      <c r="K129" s="9">
        <f t="shared" si="1"/>
        <v>4.6666666666666687</v>
      </c>
      <c r="L129" t="s">
        <v>28</v>
      </c>
      <c r="M129" t="s">
        <v>51</v>
      </c>
      <c r="N129" t="s">
        <v>27</v>
      </c>
      <c r="O129" s="3">
        <v>0</v>
      </c>
      <c r="P129" s="4">
        <v>0</v>
      </c>
      <c r="Q129" s="5">
        <v>0</v>
      </c>
      <c r="R129" s="6">
        <v>0</v>
      </c>
      <c r="S129" s="3">
        <v>0</v>
      </c>
      <c r="T129" s="4">
        <v>0</v>
      </c>
      <c r="U129" s="5">
        <v>0</v>
      </c>
      <c r="V129" s="6">
        <v>0</v>
      </c>
      <c r="Y129" t="s">
        <v>72</v>
      </c>
    </row>
    <row r="130" spans="1:25" x14ac:dyDescent="0.3">
      <c r="A130" t="s">
        <v>25</v>
      </c>
      <c r="B130" s="7">
        <v>45169</v>
      </c>
      <c r="C130" t="s">
        <v>26</v>
      </c>
      <c r="D130">
        <v>4</v>
      </c>
      <c r="E130">
        <v>2</v>
      </c>
      <c r="F130">
        <v>2</v>
      </c>
      <c r="G130" t="s">
        <v>27</v>
      </c>
      <c r="H130">
        <v>1</v>
      </c>
      <c r="I130" s="8">
        <v>0.3125</v>
      </c>
      <c r="J130" s="8">
        <v>0.34722222222222227</v>
      </c>
      <c r="K130" s="9">
        <f t="shared" si="1"/>
        <v>0.83333333333333437</v>
      </c>
      <c r="L130" t="s">
        <v>28</v>
      </c>
      <c r="M130" t="s">
        <v>29</v>
      </c>
      <c r="N130" t="s">
        <v>32</v>
      </c>
      <c r="O130" s="3">
        <v>0</v>
      </c>
      <c r="P130" s="4">
        <v>0</v>
      </c>
      <c r="Q130" s="5">
        <v>1</v>
      </c>
      <c r="R130" s="6">
        <v>0</v>
      </c>
      <c r="S130" s="3">
        <v>0</v>
      </c>
      <c r="T130" s="4">
        <v>0</v>
      </c>
      <c r="U130" s="5">
        <v>0</v>
      </c>
      <c r="V130" s="6">
        <v>0</v>
      </c>
      <c r="Y130" t="s">
        <v>94</v>
      </c>
    </row>
    <row r="131" spans="1:25" x14ac:dyDescent="0.3">
      <c r="A131" t="s">
        <v>25</v>
      </c>
      <c r="B131" s="7">
        <v>45169</v>
      </c>
      <c r="C131" t="s">
        <v>26</v>
      </c>
      <c r="D131">
        <v>5</v>
      </c>
      <c r="E131">
        <v>2</v>
      </c>
      <c r="F131">
        <v>2</v>
      </c>
      <c r="G131" t="s">
        <v>27</v>
      </c>
      <c r="H131">
        <v>1</v>
      </c>
      <c r="I131" s="8">
        <v>0.25</v>
      </c>
      <c r="J131" s="8">
        <v>0.35833333333333334</v>
      </c>
      <c r="K131" s="9">
        <f t="shared" ref="K131:K194" si="2">(J131-I131)*24*H131</f>
        <v>2.6</v>
      </c>
      <c r="L131" t="s">
        <v>25</v>
      </c>
      <c r="M131" t="s">
        <v>73</v>
      </c>
      <c r="N131" t="s">
        <v>50</v>
      </c>
      <c r="O131" s="3">
        <v>0</v>
      </c>
      <c r="P131" s="4">
        <v>0</v>
      </c>
      <c r="Q131" s="5">
        <v>0</v>
      </c>
      <c r="R131" s="6">
        <v>0</v>
      </c>
      <c r="S131" s="3">
        <v>0</v>
      </c>
      <c r="T131" s="4">
        <v>0</v>
      </c>
      <c r="U131" s="5">
        <v>4</v>
      </c>
      <c r="V131" s="6">
        <v>0</v>
      </c>
      <c r="Y131" t="s">
        <v>63</v>
      </c>
    </row>
    <row r="132" spans="1:25" x14ac:dyDescent="0.3">
      <c r="A132" t="s">
        <v>25</v>
      </c>
      <c r="B132" s="7">
        <v>45169</v>
      </c>
      <c r="C132" t="s">
        <v>26</v>
      </c>
      <c r="D132">
        <v>6</v>
      </c>
      <c r="E132">
        <v>2</v>
      </c>
      <c r="F132">
        <v>2</v>
      </c>
      <c r="G132" t="s">
        <v>27</v>
      </c>
      <c r="H132">
        <v>2</v>
      </c>
      <c r="I132" s="8">
        <v>0.27083333333333331</v>
      </c>
      <c r="J132" s="8">
        <v>0.37847222222222227</v>
      </c>
      <c r="K132" s="9">
        <f t="shared" si="2"/>
        <v>5.1666666666666696</v>
      </c>
      <c r="L132" t="s">
        <v>25</v>
      </c>
      <c r="M132" t="s">
        <v>29</v>
      </c>
      <c r="N132" t="s">
        <v>32</v>
      </c>
      <c r="O132" s="3">
        <v>0</v>
      </c>
      <c r="P132" s="4">
        <v>0</v>
      </c>
      <c r="Q132" s="5">
        <v>7</v>
      </c>
      <c r="R132" s="6">
        <v>0</v>
      </c>
      <c r="S132" s="3">
        <v>0</v>
      </c>
      <c r="T132" s="4">
        <v>0</v>
      </c>
      <c r="U132" s="5">
        <v>3</v>
      </c>
      <c r="V132" s="6">
        <v>0</v>
      </c>
      <c r="Y132" t="s">
        <v>63</v>
      </c>
    </row>
    <row r="133" spans="1:25" x14ac:dyDescent="0.3">
      <c r="A133" t="s">
        <v>25</v>
      </c>
      <c r="B133" s="7">
        <v>45169</v>
      </c>
      <c r="C133" t="s">
        <v>26</v>
      </c>
      <c r="D133">
        <v>7</v>
      </c>
      <c r="E133">
        <v>2</v>
      </c>
      <c r="F133">
        <v>4</v>
      </c>
      <c r="G133" t="s">
        <v>27</v>
      </c>
      <c r="H133">
        <v>1</v>
      </c>
      <c r="I133" s="8">
        <v>0.29166666666666669</v>
      </c>
      <c r="J133" s="8">
        <v>0.40138888888888885</v>
      </c>
      <c r="K133" s="9">
        <f t="shared" si="2"/>
        <v>2.633333333333332</v>
      </c>
      <c r="L133" t="s">
        <v>28</v>
      </c>
      <c r="M133" t="s">
        <v>29</v>
      </c>
      <c r="N133" t="s">
        <v>32</v>
      </c>
      <c r="O133" s="3">
        <v>0</v>
      </c>
      <c r="P133" s="4">
        <v>0</v>
      </c>
      <c r="Q133" s="5">
        <v>1</v>
      </c>
      <c r="R133" s="6">
        <v>0</v>
      </c>
      <c r="S133" s="3">
        <v>0</v>
      </c>
      <c r="T133" s="4">
        <v>0</v>
      </c>
      <c r="U133" s="5">
        <v>1</v>
      </c>
      <c r="V133" s="6">
        <v>0</v>
      </c>
      <c r="Y133" t="s">
        <v>84</v>
      </c>
    </row>
    <row r="134" spans="1:25" x14ac:dyDescent="0.3">
      <c r="A134" t="s">
        <v>25</v>
      </c>
      <c r="B134" s="7">
        <v>45169</v>
      </c>
      <c r="C134" t="s">
        <v>26</v>
      </c>
      <c r="D134">
        <v>8</v>
      </c>
      <c r="E134">
        <v>2</v>
      </c>
      <c r="F134">
        <v>3</v>
      </c>
      <c r="G134" t="s">
        <v>27</v>
      </c>
      <c r="H134">
        <v>3</v>
      </c>
      <c r="I134" s="8">
        <v>0.375</v>
      </c>
      <c r="J134" s="8">
        <v>0.4291666666666667</v>
      </c>
      <c r="K134" s="9">
        <f t="shared" si="2"/>
        <v>3.9000000000000021</v>
      </c>
      <c r="L134" t="s">
        <v>25</v>
      </c>
      <c r="M134" t="s">
        <v>29</v>
      </c>
      <c r="N134" t="s">
        <v>32</v>
      </c>
      <c r="O134" s="3">
        <v>0</v>
      </c>
      <c r="P134" s="4">
        <v>0</v>
      </c>
      <c r="Q134" s="5">
        <v>0</v>
      </c>
      <c r="R134" s="6">
        <v>0</v>
      </c>
      <c r="S134" s="3">
        <v>0</v>
      </c>
      <c r="T134" s="4">
        <v>0</v>
      </c>
      <c r="U134" s="5">
        <v>0</v>
      </c>
      <c r="V134" s="6">
        <v>0</v>
      </c>
      <c r="Y134" t="s">
        <v>95</v>
      </c>
    </row>
    <row r="135" spans="1:25" x14ac:dyDescent="0.3">
      <c r="A135" t="s">
        <v>25</v>
      </c>
      <c r="B135" s="7">
        <v>45169</v>
      </c>
      <c r="C135" t="s">
        <v>26</v>
      </c>
      <c r="D135">
        <v>9</v>
      </c>
      <c r="E135">
        <v>2</v>
      </c>
      <c r="F135">
        <v>4</v>
      </c>
      <c r="G135" t="s">
        <v>27</v>
      </c>
      <c r="H135">
        <v>1</v>
      </c>
      <c r="I135" s="8">
        <v>0.42708333333333331</v>
      </c>
      <c r="J135" s="8">
        <v>0.45833333333333331</v>
      </c>
      <c r="K135" s="9">
        <f t="shared" si="2"/>
        <v>0.75</v>
      </c>
      <c r="L135" t="s">
        <v>25</v>
      </c>
      <c r="M135" t="s">
        <v>29</v>
      </c>
      <c r="N135" t="s">
        <v>32</v>
      </c>
      <c r="O135" s="3">
        <v>0</v>
      </c>
      <c r="P135" s="4">
        <v>0</v>
      </c>
      <c r="Q135" s="5">
        <v>1</v>
      </c>
      <c r="R135" s="6">
        <v>0</v>
      </c>
      <c r="S135" s="3">
        <v>0</v>
      </c>
      <c r="T135" s="4">
        <v>0</v>
      </c>
      <c r="U135" s="5">
        <v>0</v>
      </c>
      <c r="V135" s="6">
        <v>0</v>
      </c>
      <c r="Y135" t="s">
        <v>96</v>
      </c>
    </row>
    <row r="136" spans="1:25" x14ac:dyDescent="0.3">
      <c r="A136" t="s">
        <v>25</v>
      </c>
      <c r="B136" s="7">
        <v>45169</v>
      </c>
      <c r="C136" t="s">
        <v>26</v>
      </c>
      <c r="D136">
        <v>10</v>
      </c>
      <c r="E136">
        <v>2</v>
      </c>
      <c r="F136">
        <v>4</v>
      </c>
      <c r="G136" t="s">
        <v>27</v>
      </c>
      <c r="H136">
        <v>1</v>
      </c>
      <c r="I136" s="8">
        <v>0.4375</v>
      </c>
      <c r="J136" s="8">
        <v>0.45833333333333331</v>
      </c>
      <c r="K136" s="9">
        <f t="shared" si="2"/>
        <v>0.49999999999999956</v>
      </c>
      <c r="L136" t="s">
        <v>25</v>
      </c>
      <c r="M136" t="s">
        <v>51</v>
      </c>
      <c r="N136" t="s">
        <v>27</v>
      </c>
      <c r="O136" s="3">
        <v>0</v>
      </c>
      <c r="P136" s="4">
        <v>0</v>
      </c>
      <c r="Q136" s="5">
        <v>6</v>
      </c>
      <c r="R136" s="6">
        <v>0</v>
      </c>
      <c r="S136" s="3">
        <v>0</v>
      </c>
      <c r="T136" s="4">
        <v>0</v>
      </c>
      <c r="U136" s="5">
        <v>0</v>
      </c>
      <c r="V136" s="6">
        <v>0</v>
      </c>
      <c r="Y136" t="s">
        <v>96</v>
      </c>
    </row>
    <row r="137" spans="1:25" x14ac:dyDescent="0.3">
      <c r="A137" t="s">
        <v>25</v>
      </c>
      <c r="B137" s="7">
        <v>45169</v>
      </c>
      <c r="C137" t="s">
        <v>26</v>
      </c>
      <c r="D137">
        <v>11</v>
      </c>
      <c r="E137">
        <v>2</v>
      </c>
      <c r="F137">
        <v>5</v>
      </c>
      <c r="G137" t="s">
        <v>27</v>
      </c>
      <c r="H137">
        <v>1</v>
      </c>
      <c r="I137" s="8">
        <v>0.41666666666666669</v>
      </c>
      <c r="J137" s="8">
        <v>0.48402777777777778</v>
      </c>
      <c r="K137" s="9">
        <f t="shared" si="2"/>
        <v>1.6166666666666663</v>
      </c>
      <c r="L137" t="s">
        <v>28</v>
      </c>
      <c r="M137" t="s">
        <v>29</v>
      </c>
      <c r="N137" t="s">
        <v>50</v>
      </c>
      <c r="O137" s="3">
        <v>1</v>
      </c>
      <c r="P137" s="4">
        <v>0</v>
      </c>
      <c r="Q137" s="5">
        <v>3</v>
      </c>
      <c r="R137" s="6">
        <v>0</v>
      </c>
      <c r="S137" s="3">
        <v>0</v>
      </c>
      <c r="T137" s="4">
        <v>0</v>
      </c>
      <c r="U137" s="5">
        <v>2</v>
      </c>
      <c r="V137" s="6">
        <v>0</v>
      </c>
      <c r="Y137" t="s">
        <v>97</v>
      </c>
    </row>
    <row r="138" spans="1:25" x14ac:dyDescent="0.3">
      <c r="A138" t="s">
        <v>25</v>
      </c>
      <c r="B138" s="7">
        <v>45169</v>
      </c>
      <c r="C138" t="s">
        <v>42</v>
      </c>
      <c r="D138">
        <v>12</v>
      </c>
      <c r="E138">
        <v>2</v>
      </c>
      <c r="F138">
        <v>2</v>
      </c>
      <c r="G138" t="s">
        <v>27</v>
      </c>
      <c r="H138">
        <v>1</v>
      </c>
      <c r="I138" s="8">
        <v>0.64583333333333337</v>
      </c>
      <c r="J138" s="8">
        <v>0.67708333333333337</v>
      </c>
      <c r="K138" s="9">
        <f t="shared" si="2"/>
        <v>0.75</v>
      </c>
      <c r="L138" t="s">
        <v>25</v>
      </c>
      <c r="M138" t="s">
        <v>29</v>
      </c>
      <c r="N138" t="s">
        <v>32</v>
      </c>
      <c r="O138" s="3">
        <v>0</v>
      </c>
      <c r="P138" s="4">
        <v>0</v>
      </c>
      <c r="Q138" s="5">
        <v>0</v>
      </c>
      <c r="R138" s="6">
        <v>0</v>
      </c>
      <c r="S138" s="3">
        <v>0</v>
      </c>
      <c r="T138" s="4">
        <v>0</v>
      </c>
      <c r="U138" s="5">
        <v>1</v>
      </c>
      <c r="V138" s="6">
        <v>0</v>
      </c>
      <c r="Y138" t="s">
        <v>94</v>
      </c>
    </row>
    <row r="139" spans="1:25" x14ac:dyDescent="0.3">
      <c r="A139" t="s">
        <v>25</v>
      </c>
      <c r="B139" s="7">
        <v>45169</v>
      </c>
      <c r="C139" t="s">
        <v>42</v>
      </c>
      <c r="D139">
        <v>13</v>
      </c>
      <c r="E139">
        <v>2</v>
      </c>
      <c r="F139">
        <v>1</v>
      </c>
      <c r="G139" t="s">
        <v>27</v>
      </c>
      <c r="H139">
        <v>1</v>
      </c>
      <c r="I139" s="8">
        <v>0.64583333333333337</v>
      </c>
      <c r="J139" s="8">
        <v>0.6875</v>
      </c>
      <c r="K139" s="9">
        <f t="shared" si="2"/>
        <v>0.99999999999999911</v>
      </c>
      <c r="L139" t="s">
        <v>28</v>
      </c>
      <c r="M139" t="s">
        <v>29</v>
      </c>
      <c r="N139" t="s">
        <v>27</v>
      </c>
      <c r="O139" s="3">
        <v>0</v>
      </c>
      <c r="P139" s="4">
        <v>0</v>
      </c>
      <c r="Q139" s="5">
        <v>1</v>
      </c>
      <c r="R139" s="6">
        <v>0</v>
      </c>
      <c r="S139" s="3">
        <v>0</v>
      </c>
      <c r="T139" s="4">
        <v>0</v>
      </c>
      <c r="U139" s="5">
        <v>0</v>
      </c>
      <c r="V139" s="6">
        <v>0</v>
      </c>
      <c r="Y139" t="s">
        <v>72</v>
      </c>
    </row>
    <row r="140" spans="1:25" x14ac:dyDescent="0.3">
      <c r="A140" t="s">
        <v>25</v>
      </c>
      <c r="B140" s="7">
        <v>45169</v>
      </c>
      <c r="C140" t="s">
        <v>42</v>
      </c>
      <c r="D140">
        <v>14</v>
      </c>
      <c r="E140">
        <v>2</v>
      </c>
      <c r="F140">
        <v>1</v>
      </c>
      <c r="G140" t="s">
        <v>27</v>
      </c>
      <c r="H140">
        <v>1</v>
      </c>
      <c r="I140" s="8">
        <v>0.625</v>
      </c>
      <c r="J140" s="8">
        <v>0.6875</v>
      </c>
      <c r="K140" s="9">
        <f t="shared" si="2"/>
        <v>1.5</v>
      </c>
      <c r="L140" t="s">
        <v>28</v>
      </c>
      <c r="M140" t="s">
        <v>51</v>
      </c>
      <c r="N140" t="s">
        <v>50</v>
      </c>
      <c r="O140" s="3">
        <v>0</v>
      </c>
      <c r="P140" s="4">
        <v>0</v>
      </c>
      <c r="Q140" s="5">
        <v>0</v>
      </c>
      <c r="R140" s="6">
        <v>0</v>
      </c>
      <c r="S140" s="3">
        <v>0</v>
      </c>
      <c r="T140" s="4">
        <v>0</v>
      </c>
      <c r="U140" s="5">
        <v>4</v>
      </c>
      <c r="V140" s="6">
        <v>0</v>
      </c>
      <c r="Y140" t="s">
        <v>72</v>
      </c>
    </row>
    <row r="141" spans="1:25" x14ac:dyDescent="0.3">
      <c r="A141" t="s">
        <v>25</v>
      </c>
      <c r="B141" s="7">
        <v>45169</v>
      </c>
      <c r="C141" t="s">
        <v>42</v>
      </c>
      <c r="D141">
        <v>15</v>
      </c>
      <c r="E141">
        <v>2</v>
      </c>
      <c r="F141">
        <v>2</v>
      </c>
      <c r="G141" t="s">
        <v>35</v>
      </c>
      <c r="H141">
        <v>2</v>
      </c>
      <c r="I141" s="8">
        <v>0.5625</v>
      </c>
      <c r="J141" s="8">
        <v>0.69236111111111109</v>
      </c>
      <c r="K141" s="9">
        <f t="shared" si="2"/>
        <v>6.2333333333333325</v>
      </c>
      <c r="L141" t="s">
        <v>25</v>
      </c>
      <c r="M141" t="s">
        <v>56</v>
      </c>
      <c r="N141" t="s">
        <v>50</v>
      </c>
      <c r="O141" s="3">
        <v>0</v>
      </c>
      <c r="P141" s="4">
        <v>0</v>
      </c>
      <c r="Q141" s="5">
        <v>0</v>
      </c>
      <c r="R141" s="6">
        <v>0</v>
      </c>
      <c r="S141" s="3">
        <v>0</v>
      </c>
      <c r="T141" s="4">
        <v>0</v>
      </c>
      <c r="U141" s="5">
        <v>2</v>
      </c>
      <c r="V141" s="6">
        <v>0</v>
      </c>
      <c r="Y141" t="s">
        <v>98</v>
      </c>
    </row>
    <row r="142" spans="1:25" x14ac:dyDescent="0.3">
      <c r="A142" t="s">
        <v>25</v>
      </c>
      <c r="B142" s="7">
        <v>45169</v>
      </c>
      <c r="C142" t="s">
        <v>42</v>
      </c>
      <c r="D142">
        <v>16</v>
      </c>
      <c r="E142">
        <v>2</v>
      </c>
      <c r="F142">
        <v>2</v>
      </c>
      <c r="G142" t="s">
        <v>27</v>
      </c>
      <c r="H142">
        <v>1</v>
      </c>
      <c r="I142" s="8">
        <v>0.65277777777777779</v>
      </c>
      <c r="J142" s="8">
        <v>0.69444444444444453</v>
      </c>
      <c r="K142" s="9">
        <f t="shared" si="2"/>
        <v>1.0000000000000018</v>
      </c>
      <c r="L142" t="s">
        <v>25</v>
      </c>
      <c r="M142" t="s">
        <v>29</v>
      </c>
      <c r="N142" t="s">
        <v>32</v>
      </c>
      <c r="O142" s="3">
        <v>0</v>
      </c>
      <c r="P142" s="4">
        <v>0</v>
      </c>
      <c r="Q142" s="5">
        <v>0</v>
      </c>
      <c r="R142" s="6">
        <v>0</v>
      </c>
      <c r="S142" s="3">
        <v>0</v>
      </c>
      <c r="T142" s="4">
        <v>0</v>
      </c>
      <c r="U142" s="5">
        <v>0</v>
      </c>
      <c r="V142" s="6">
        <v>0</v>
      </c>
      <c r="Y142" t="s">
        <v>63</v>
      </c>
    </row>
    <row r="143" spans="1:25" x14ac:dyDescent="0.3">
      <c r="A143" t="s">
        <v>25</v>
      </c>
      <c r="B143" s="7">
        <v>45169</v>
      </c>
      <c r="C143" t="s">
        <v>42</v>
      </c>
      <c r="D143">
        <v>17</v>
      </c>
      <c r="E143">
        <v>2</v>
      </c>
      <c r="F143">
        <v>2</v>
      </c>
      <c r="G143" t="s">
        <v>27</v>
      </c>
      <c r="H143">
        <v>3</v>
      </c>
      <c r="I143" s="8">
        <v>0.66666666666666663</v>
      </c>
      <c r="J143" s="8">
        <v>0.72916666666666663</v>
      </c>
      <c r="K143" s="9">
        <f t="shared" si="2"/>
        <v>4.5</v>
      </c>
      <c r="L143" t="s">
        <v>28</v>
      </c>
      <c r="M143" t="s">
        <v>29</v>
      </c>
      <c r="N143" t="s">
        <v>50</v>
      </c>
      <c r="O143" s="3">
        <v>0</v>
      </c>
      <c r="P143" s="4">
        <v>0</v>
      </c>
      <c r="Q143" s="5">
        <v>0</v>
      </c>
      <c r="R143" s="6">
        <v>0</v>
      </c>
      <c r="S143" s="3">
        <v>0</v>
      </c>
      <c r="T143" s="4">
        <v>0</v>
      </c>
      <c r="U143" s="5">
        <v>15</v>
      </c>
      <c r="V143" s="6">
        <v>0</v>
      </c>
      <c r="Y143" t="s">
        <v>81</v>
      </c>
    </row>
    <row r="144" spans="1:25" x14ac:dyDescent="0.3">
      <c r="A144" t="s">
        <v>25</v>
      </c>
      <c r="B144" s="7">
        <v>45169</v>
      </c>
      <c r="C144" t="s">
        <v>42</v>
      </c>
      <c r="D144">
        <v>18</v>
      </c>
      <c r="E144">
        <v>2</v>
      </c>
      <c r="F144">
        <v>2</v>
      </c>
      <c r="G144" t="s">
        <v>27</v>
      </c>
      <c r="H144">
        <v>1</v>
      </c>
      <c r="I144" s="8">
        <v>0.67708333333333337</v>
      </c>
      <c r="J144" s="8">
        <v>0.73958333333333337</v>
      </c>
      <c r="K144" s="9">
        <f t="shared" si="2"/>
        <v>1.5</v>
      </c>
      <c r="L144" t="s">
        <v>25</v>
      </c>
      <c r="M144" t="s">
        <v>29</v>
      </c>
      <c r="N144" t="s">
        <v>92</v>
      </c>
      <c r="O144" s="3">
        <v>0</v>
      </c>
      <c r="P144" s="4">
        <v>0</v>
      </c>
      <c r="Q144" s="5">
        <v>2</v>
      </c>
      <c r="R144" s="6">
        <v>0</v>
      </c>
      <c r="S144" s="3">
        <v>0</v>
      </c>
      <c r="T144" s="4">
        <v>0</v>
      </c>
      <c r="U144" s="5">
        <v>1</v>
      </c>
      <c r="V144" s="6">
        <v>0</v>
      </c>
    </row>
    <row r="145" spans="1:25" x14ac:dyDescent="0.3">
      <c r="A145" t="s">
        <v>25</v>
      </c>
      <c r="B145" s="7">
        <v>45169</v>
      </c>
      <c r="C145" t="s">
        <v>42</v>
      </c>
      <c r="D145">
        <v>19</v>
      </c>
      <c r="E145">
        <v>2</v>
      </c>
      <c r="F145">
        <v>2</v>
      </c>
      <c r="G145" t="s">
        <v>27</v>
      </c>
      <c r="H145">
        <v>1</v>
      </c>
      <c r="I145" s="8">
        <v>0.6875</v>
      </c>
      <c r="J145" s="8">
        <v>0.74305555555555547</v>
      </c>
      <c r="K145" s="9">
        <f t="shared" si="2"/>
        <v>1.3333333333333313</v>
      </c>
      <c r="L145" t="s">
        <v>25</v>
      </c>
      <c r="M145" t="s">
        <v>29</v>
      </c>
      <c r="N145" t="s">
        <v>32</v>
      </c>
      <c r="O145" s="3">
        <v>0</v>
      </c>
      <c r="P145" s="4">
        <v>0</v>
      </c>
      <c r="Q145" s="5">
        <v>3</v>
      </c>
      <c r="R145" s="6">
        <v>0</v>
      </c>
      <c r="S145" s="3">
        <v>0</v>
      </c>
      <c r="T145" s="4">
        <v>0</v>
      </c>
      <c r="U145" s="5">
        <v>2</v>
      </c>
      <c r="V145" s="6">
        <v>0</v>
      </c>
    </row>
    <row r="146" spans="1:25" x14ac:dyDescent="0.3">
      <c r="A146" t="s">
        <v>25</v>
      </c>
      <c r="B146" s="7">
        <v>45169</v>
      </c>
      <c r="C146" t="s">
        <v>42</v>
      </c>
      <c r="D146">
        <v>20</v>
      </c>
      <c r="E146">
        <v>2</v>
      </c>
      <c r="F146">
        <v>2</v>
      </c>
      <c r="G146" t="s">
        <v>27</v>
      </c>
      <c r="H146">
        <v>1</v>
      </c>
      <c r="I146" s="8">
        <v>0.70833333333333337</v>
      </c>
      <c r="J146" s="8">
        <v>0.75694444444444453</v>
      </c>
      <c r="K146" s="9">
        <f t="shared" si="2"/>
        <v>1.1666666666666679</v>
      </c>
      <c r="L146" t="s">
        <v>25</v>
      </c>
      <c r="M146" t="s">
        <v>56</v>
      </c>
      <c r="N146" t="s">
        <v>50</v>
      </c>
      <c r="O146" s="3">
        <v>2</v>
      </c>
      <c r="P146" s="4">
        <v>0</v>
      </c>
      <c r="Q146" s="5">
        <v>0</v>
      </c>
      <c r="R146" s="6">
        <v>0</v>
      </c>
      <c r="S146" s="3">
        <v>0</v>
      </c>
      <c r="T146" s="4">
        <v>0</v>
      </c>
      <c r="U146" s="5">
        <v>0</v>
      </c>
      <c r="V146" s="6">
        <v>0</v>
      </c>
    </row>
    <row r="147" spans="1:25" x14ac:dyDescent="0.3">
      <c r="A147" t="s">
        <v>25</v>
      </c>
      <c r="B147" s="7">
        <v>45169</v>
      </c>
      <c r="C147" t="s">
        <v>42</v>
      </c>
      <c r="D147">
        <v>21</v>
      </c>
      <c r="E147">
        <v>2</v>
      </c>
      <c r="F147">
        <v>4</v>
      </c>
      <c r="G147" t="s">
        <v>27</v>
      </c>
      <c r="H147">
        <v>1</v>
      </c>
      <c r="I147" s="8">
        <v>0.72916666666666663</v>
      </c>
      <c r="J147" s="8">
        <v>0.77083333333333337</v>
      </c>
      <c r="K147" s="9">
        <f t="shared" si="2"/>
        <v>1.0000000000000018</v>
      </c>
      <c r="L147" t="s">
        <v>25</v>
      </c>
      <c r="M147" t="s">
        <v>29</v>
      </c>
      <c r="N147" t="s">
        <v>32</v>
      </c>
      <c r="O147" s="3">
        <v>0</v>
      </c>
      <c r="P147" s="4">
        <v>0</v>
      </c>
      <c r="Q147" s="5">
        <v>3</v>
      </c>
      <c r="R147" s="6">
        <v>0</v>
      </c>
      <c r="S147" s="3">
        <v>0</v>
      </c>
      <c r="T147" s="4">
        <v>0</v>
      </c>
      <c r="U147" s="5">
        <v>1</v>
      </c>
      <c r="V147" s="6">
        <v>0</v>
      </c>
      <c r="Y147" t="s">
        <v>84</v>
      </c>
    </row>
    <row r="148" spans="1:25" x14ac:dyDescent="0.3">
      <c r="A148" t="s">
        <v>25</v>
      </c>
      <c r="B148" s="7">
        <v>45169</v>
      </c>
      <c r="C148" t="s">
        <v>42</v>
      </c>
      <c r="D148">
        <v>22</v>
      </c>
      <c r="E148">
        <v>2</v>
      </c>
      <c r="F148">
        <v>4</v>
      </c>
      <c r="G148" t="s">
        <v>27</v>
      </c>
      <c r="H148">
        <v>2</v>
      </c>
      <c r="I148" s="8">
        <v>0.6875</v>
      </c>
      <c r="J148" s="8">
        <v>0.77083333333333337</v>
      </c>
      <c r="K148" s="9">
        <f t="shared" si="2"/>
        <v>4.0000000000000018</v>
      </c>
      <c r="L148" t="s">
        <v>28</v>
      </c>
      <c r="M148" t="s">
        <v>29</v>
      </c>
      <c r="N148" t="s">
        <v>32</v>
      </c>
      <c r="O148" s="3">
        <v>0</v>
      </c>
      <c r="P148" s="4">
        <v>0</v>
      </c>
      <c r="Q148" s="5">
        <v>1</v>
      </c>
      <c r="R148" s="6">
        <v>0</v>
      </c>
      <c r="S148" s="3">
        <v>0</v>
      </c>
      <c r="T148" s="4">
        <v>0</v>
      </c>
      <c r="U148" s="5">
        <v>2</v>
      </c>
      <c r="V148" s="6">
        <v>0</v>
      </c>
      <c r="Y148" t="s">
        <v>84</v>
      </c>
    </row>
    <row r="149" spans="1:25" x14ac:dyDescent="0.3">
      <c r="A149" t="s">
        <v>25</v>
      </c>
      <c r="B149" s="7">
        <v>45169</v>
      </c>
      <c r="C149" t="s">
        <v>42</v>
      </c>
      <c r="D149">
        <v>23</v>
      </c>
      <c r="E149">
        <v>2</v>
      </c>
      <c r="F149">
        <v>4</v>
      </c>
      <c r="G149" t="s">
        <v>27</v>
      </c>
      <c r="H149">
        <v>4</v>
      </c>
      <c r="I149" s="8">
        <v>0.75</v>
      </c>
      <c r="J149" s="8">
        <v>0.79166666666666663</v>
      </c>
      <c r="K149" s="9">
        <f t="shared" si="2"/>
        <v>3.9999999999999964</v>
      </c>
      <c r="L149" t="s">
        <v>28</v>
      </c>
      <c r="M149" t="s">
        <v>29</v>
      </c>
      <c r="N149" t="s">
        <v>32</v>
      </c>
      <c r="O149" s="3">
        <v>0</v>
      </c>
      <c r="P149" s="4">
        <v>0</v>
      </c>
      <c r="Q149" s="5">
        <v>6</v>
      </c>
      <c r="R149" s="6">
        <v>0</v>
      </c>
      <c r="S149" s="3">
        <v>0</v>
      </c>
      <c r="T149" s="4">
        <v>0</v>
      </c>
      <c r="U149" s="5">
        <v>4</v>
      </c>
      <c r="V149" s="6">
        <v>0</v>
      </c>
      <c r="Y149" t="s">
        <v>84</v>
      </c>
    </row>
    <row r="150" spans="1:25" x14ac:dyDescent="0.3">
      <c r="A150" t="s">
        <v>25</v>
      </c>
      <c r="B150" s="7">
        <v>45169</v>
      </c>
      <c r="C150" t="s">
        <v>42</v>
      </c>
      <c r="D150">
        <v>24</v>
      </c>
      <c r="E150">
        <v>2</v>
      </c>
      <c r="F150">
        <v>4</v>
      </c>
      <c r="G150" t="s">
        <v>27</v>
      </c>
      <c r="H150">
        <v>1</v>
      </c>
      <c r="I150" s="8">
        <v>0.70833333333333337</v>
      </c>
      <c r="J150" s="8">
        <v>0.79999999999999993</v>
      </c>
      <c r="K150" s="9">
        <f t="shared" si="2"/>
        <v>2.1999999999999975</v>
      </c>
      <c r="L150" t="s">
        <v>25</v>
      </c>
      <c r="M150" t="s">
        <v>73</v>
      </c>
      <c r="N150" t="s">
        <v>27</v>
      </c>
      <c r="O150" s="3">
        <v>0</v>
      </c>
      <c r="P150" s="4">
        <v>0</v>
      </c>
      <c r="Q150" s="5">
        <v>0</v>
      </c>
      <c r="R150" s="6">
        <v>0</v>
      </c>
      <c r="S150" s="3">
        <v>0</v>
      </c>
      <c r="T150" s="4">
        <v>0</v>
      </c>
      <c r="U150" s="5">
        <v>0</v>
      </c>
      <c r="V150" s="6">
        <v>0</v>
      </c>
      <c r="Y150" t="s">
        <v>96</v>
      </c>
    </row>
    <row r="151" spans="1:25" x14ac:dyDescent="0.3">
      <c r="A151" t="s">
        <v>25</v>
      </c>
      <c r="B151" s="7">
        <v>45169</v>
      </c>
      <c r="C151" t="s">
        <v>42</v>
      </c>
      <c r="D151">
        <v>25</v>
      </c>
      <c r="E151">
        <v>2</v>
      </c>
      <c r="F151">
        <v>4</v>
      </c>
      <c r="G151" t="s">
        <v>27</v>
      </c>
      <c r="H151">
        <v>1</v>
      </c>
      <c r="I151" s="8">
        <v>0.41666666666666669</v>
      </c>
      <c r="J151" s="8">
        <v>0.8125</v>
      </c>
      <c r="K151" s="9">
        <f t="shared" si="2"/>
        <v>9.5</v>
      </c>
      <c r="L151" t="s">
        <v>25</v>
      </c>
      <c r="M151" t="s">
        <v>29</v>
      </c>
      <c r="N151" t="s">
        <v>27</v>
      </c>
      <c r="O151" s="3">
        <v>0</v>
      </c>
      <c r="P151" s="4">
        <v>0</v>
      </c>
      <c r="Q151" s="5">
        <v>1</v>
      </c>
      <c r="R151" s="6">
        <v>0</v>
      </c>
      <c r="S151" s="3">
        <v>0</v>
      </c>
      <c r="T151" s="4">
        <v>0</v>
      </c>
      <c r="U151" s="5">
        <v>2</v>
      </c>
      <c r="V151" s="6">
        <v>0</v>
      </c>
      <c r="Y151" t="s">
        <v>96</v>
      </c>
    </row>
    <row r="152" spans="1:25" x14ac:dyDescent="0.3">
      <c r="A152" t="s">
        <v>25</v>
      </c>
      <c r="B152" s="7">
        <v>45169</v>
      </c>
      <c r="C152" t="s">
        <v>42</v>
      </c>
      <c r="D152">
        <v>26</v>
      </c>
      <c r="E152">
        <v>2</v>
      </c>
      <c r="F152">
        <v>4</v>
      </c>
      <c r="G152" t="s">
        <v>27</v>
      </c>
      <c r="H152">
        <v>1</v>
      </c>
      <c r="I152" s="8">
        <v>0.77083333333333337</v>
      </c>
      <c r="J152" s="8">
        <v>0.8125</v>
      </c>
      <c r="K152" s="9">
        <f t="shared" si="2"/>
        <v>0.99999999999999911</v>
      </c>
      <c r="L152" t="s">
        <v>25</v>
      </c>
      <c r="M152" t="s">
        <v>99</v>
      </c>
      <c r="N152" t="s">
        <v>27</v>
      </c>
      <c r="O152" s="3">
        <v>0</v>
      </c>
      <c r="P152" s="4">
        <v>0</v>
      </c>
      <c r="Q152" s="5">
        <v>0</v>
      </c>
      <c r="R152" s="6">
        <v>0</v>
      </c>
      <c r="S152" s="3">
        <v>0</v>
      </c>
      <c r="T152" s="4">
        <v>0</v>
      </c>
      <c r="U152" s="5">
        <v>0</v>
      </c>
      <c r="V152" s="6">
        <v>0</v>
      </c>
      <c r="Y152" t="s">
        <v>96</v>
      </c>
    </row>
    <row r="153" spans="1:25" x14ac:dyDescent="0.3">
      <c r="A153" t="s">
        <v>25</v>
      </c>
      <c r="B153" s="7">
        <v>45170</v>
      </c>
      <c r="C153" t="s">
        <v>26</v>
      </c>
      <c r="D153">
        <v>1</v>
      </c>
      <c r="E153">
        <v>1</v>
      </c>
      <c r="F153">
        <v>1</v>
      </c>
      <c r="G153" t="s">
        <v>35</v>
      </c>
      <c r="H153">
        <v>1</v>
      </c>
      <c r="I153" s="8">
        <v>0.25</v>
      </c>
      <c r="J153" s="8">
        <v>0.29166666666666669</v>
      </c>
      <c r="K153" s="9">
        <f t="shared" si="2"/>
        <v>1.0000000000000004</v>
      </c>
      <c r="L153" t="s">
        <v>25</v>
      </c>
      <c r="M153" t="s">
        <v>29</v>
      </c>
      <c r="N153" t="s">
        <v>32</v>
      </c>
      <c r="O153" s="3">
        <v>0</v>
      </c>
      <c r="P153" s="4">
        <v>0</v>
      </c>
      <c r="Q153" s="5">
        <v>6</v>
      </c>
      <c r="R153" s="6">
        <v>0</v>
      </c>
      <c r="S153" s="3">
        <v>0</v>
      </c>
      <c r="T153" s="4">
        <v>0</v>
      </c>
      <c r="U153" s="5">
        <v>0</v>
      </c>
      <c r="V153" s="6">
        <v>0</v>
      </c>
      <c r="Y153" t="s">
        <v>100</v>
      </c>
    </row>
    <row r="154" spans="1:25" x14ac:dyDescent="0.3">
      <c r="A154" t="s">
        <v>25</v>
      </c>
      <c r="B154" s="7">
        <v>45170</v>
      </c>
      <c r="C154" t="s">
        <v>26</v>
      </c>
      <c r="D154">
        <v>2</v>
      </c>
      <c r="E154">
        <v>1</v>
      </c>
      <c r="F154">
        <v>1</v>
      </c>
      <c r="G154" t="s">
        <v>35</v>
      </c>
      <c r="H154">
        <v>1</v>
      </c>
      <c r="I154" s="8">
        <v>0.34375</v>
      </c>
      <c r="J154" s="8">
        <v>0.42708333333333331</v>
      </c>
      <c r="K154" s="9">
        <f t="shared" si="2"/>
        <v>1.9999999999999996</v>
      </c>
      <c r="L154" t="s">
        <v>25</v>
      </c>
      <c r="M154" t="s">
        <v>29</v>
      </c>
      <c r="N154" t="s">
        <v>32</v>
      </c>
      <c r="O154" s="3">
        <v>0</v>
      </c>
      <c r="P154" s="4">
        <v>0</v>
      </c>
      <c r="Q154" s="5">
        <v>5</v>
      </c>
      <c r="R154" s="6">
        <v>0</v>
      </c>
      <c r="S154" s="3">
        <v>0</v>
      </c>
      <c r="T154" s="4">
        <v>0</v>
      </c>
      <c r="U154" s="5">
        <v>0</v>
      </c>
      <c r="V154" s="6">
        <v>0</v>
      </c>
    </row>
    <row r="155" spans="1:25" x14ac:dyDescent="0.3">
      <c r="A155" t="s">
        <v>25</v>
      </c>
      <c r="B155" s="7">
        <v>45170</v>
      </c>
      <c r="C155" t="s">
        <v>26</v>
      </c>
      <c r="D155">
        <v>3</v>
      </c>
      <c r="E155">
        <v>1</v>
      </c>
      <c r="F155">
        <v>1</v>
      </c>
      <c r="G155" t="s">
        <v>35</v>
      </c>
      <c r="H155">
        <v>3</v>
      </c>
      <c r="I155" s="8">
        <v>0.23611111111111113</v>
      </c>
      <c r="J155" s="8">
        <v>0.44166666666666665</v>
      </c>
      <c r="K155" s="9">
        <f t="shared" si="2"/>
        <v>14.799999999999997</v>
      </c>
      <c r="L155" t="s">
        <v>25</v>
      </c>
      <c r="M155" t="s">
        <v>29</v>
      </c>
      <c r="N155" t="s">
        <v>32</v>
      </c>
      <c r="O155" s="3">
        <v>0</v>
      </c>
      <c r="P155" s="4">
        <v>0</v>
      </c>
      <c r="Q155" s="5">
        <v>16</v>
      </c>
      <c r="R155" s="6">
        <v>0</v>
      </c>
      <c r="S155" s="3">
        <v>0</v>
      </c>
      <c r="T155" s="4">
        <v>0</v>
      </c>
      <c r="U155" s="5">
        <v>2</v>
      </c>
      <c r="V155" s="6">
        <v>0</v>
      </c>
    </row>
    <row r="156" spans="1:25" x14ac:dyDescent="0.3">
      <c r="A156" t="s">
        <v>25</v>
      </c>
      <c r="B156" s="7">
        <v>45170</v>
      </c>
      <c r="C156" t="s">
        <v>26</v>
      </c>
      <c r="D156">
        <v>4</v>
      </c>
      <c r="E156">
        <v>1</v>
      </c>
      <c r="F156">
        <v>1</v>
      </c>
      <c r="G156" t="s">
        <v>35</v>
      </c>
      <c r="H156">
        <v>4</v>
      </c>
      <c r="I156" s="8">
        <v>0.25</v>
      </c>
      <c r="J156" s="8">
        <v>0.44444444444444442</v>
      </c>
      <c r="K156" s="9">
        <f t="shared" si="2"/>
        <v>18.666666666666664</v>
      </c>
      <c r="L156" t="s">
        <v>25</v>
      </c>
      <c r="M156" t="s">
        <v>29</v>
      </c>
      <c r="N156" t="s">
        <v>32</v>
      </c>
      <c r="O156" s="3">
        <v>0</v>
      </c>
      <c r="P156" s="4">
        <v>0</v>
      </c>
      <c r="Q156" s="5">
        <v>3</v>
      </c>
      <c r="R156" s="6">
        <v>0</v>
      </c>
      <c r="S156" s="3">
        <v>0</v>
      </c>
      <c r="T156" s="4">
        <v>0</v>
      </c>
      <c r="U156" s="5">
        <v>1</v>
      </c>
      <c r="V156" s="6">
        <v>0</v>
      </c>
    </row>
    <row r="157" spans="1:25" x14ac:dyDescent="0.3">
      <c r="A157" t="s">
        <v>25</v>
      </c>
      <c r="B157" s="7">
        <v>45170</v>
      </c>
      <c r="C157" t="s">
        <v>26</v>
      </c>
      <c r="D157">
        <v>5</v>
      </c>
      <c r="E157">
        <v>1</v>
      </c>
      <c r="F157">
        <v>1</v>
      </c>
      <c r="G157" t="s">
        <v>35</v>
      </c>
      <c r="H157">
        <v>2</v>
      </c>
      <c r="I157" s="8">
        <v>0.36458333333333331</v>
      </c>
      <c r="J157" s="8">
        <v>0.44791666666666669</v>
      </c>
      <c r="K157" s="9">
        <f t="shared" si="2"/>
        <v>4.0000000000000018</v>
      </c>
      <c r="L157" t="s">
        <v>25</v>
      </c>
      <c r="M157" t="s">
        <v>29</v>
      </c>
      <c r="N157" t="s">
        <v>32</v>
      </c>
      <c r="O157" s="3">
        <v>0</v>
      </c>
      <c r="P157" s="4">
        <v>0</v>
      </c>
      <c r="Q157" s="5">
        <v>0</v>
      </c>
      <c r="R157" s="6">
        <v>0</v>
      </c>
      <c r="S157" s="3">
        <v>0</v>
      </c>
      <c r="T157" s="4">
        <v>0</v>
      </c>
      <c r="U157" s="5">
        <v>2</v>
      </c>
      <c r="V157" s="6">
        <v>0</v>
      </c>
    </row>
    <row r="158" spans="1:25" x14ac:dyDescent="0.3">
      <c r="A158" t="s">
        <v>25</v>
      </c>
      <c r="B158" s="7">
        <v>45170</v>
      </c>
      <c r="C158" t="s">
        <v>26</v>
      </c>
      <c r="D158">
        <v>6</v>
      </c>
      <c r="E158">
        <v>1</v>
      </c>
      <c r="F158">
        <v>1</v>
      </c>
      <c r="G158" t="s">
        <v>35</v>
      </c>
      <c r="H158">
        <v>1</v>
      </c>
      <c r="I158" s="8">
        <v>0.26041666666666669</v>
      </c>
      <c r="J158" s="8">
        <v>0.44791666666666669</v>
      </c>
      <c r="K158" s="9">
        <f t="shared" si="2"/>
        <v>4.5</v>
      </c>
      <c r="L158" t="s">
        <v>25</v>
      </c>
      <c r="M158" t="s">
        <v>101</v>
      </c>
      <c r="N158" t="s">
        <v>92</v>
      </c>
      <c r="O158" s="3">
        <v>0</v>
      </c>
      <c r="P158" s="4">
        <v>1</v>
      </c>
      <c r="Q158" s="5">
        <v>0</v>
      </c>
      <c r="R158" s="6">
        <v>0</v>
      </c>
      <c r="S158" s="3">
        <v>0</v>
      </c>
      <c r="T158" s="4">
        <v>0</v>
      </c>
      <c r="U158" s="5">
        <v>10</v>
      </c>
      <c r="V158" s="6">
        <v>0</v>
      </c>
      <c r="Y158" t="s">
        <v>102</v>
      </c>
    </row>
    <row r="159" spans="1:25" x14ac:dyDescent="0.3">
      <c r="A159" t="s">
        <v>25</v>
      </c>
      <c r="B159" s="7">
        <v>45170</v>
      </c>
      <c r="C159" t="s">
        <v>26</v>
      </c>
      <c r="D159">
        <v>7</v>
      </c>
      <c r="E159">
        <v>1</v>
      </c>
      <c r="F159">
        <v>1</v>
      </c>
      <c r="G159" t="s">
        <v>35</v>
      </c>
      <c r="H159">
        <v>2</v>
      </c>
      <c r="I159" s="8">
        <v>0.20833333333333334</v>
      </c>
      <c r="J159" s="8">
        <v>0.4548611111111111</v>
      </c>
      <c r="K159" s="9">
        <f t="shared" si="2"/>
        <v>11.833333333333332</v>
      </c>
      <c r="L159" t="s">
        <v>25</v>
      </c>
      <c r="M159" t="s">
        <v>29</v>
      </c>
      <c r="N159" t="s">
        <v>32</v>
      </c>
      <c r="O159" s="3">
        <v>0</v>
      </c>
      <c r="P159" s="4">
        <v>0</v>
      </c>
      <c r="Q159" s="5">
        <v>12</v>
      </c>
      <c r="R159" s="6">
        <v>0</v>
      </c>
      <c r="S159" s="3">
        <v>0</v>
      </c>
      <c r="T159" s="4">
        <v>0</v>
      </c>
      <c r="U159" s="5">
        <v>0</v>
      </c>
      <c r="V159" s="6">
        <v>0</v>
      </c>
    </row>
    <row r="160" spans="1:25" x14ac:dyDescent="0.3">
      <c r="A160" t="s">
        <v>25</v>
      </c>
      <c r="B160" s="7">
        <v>45170</v>
      </c>
      <c r="C160" t="s">
        <v>26</v>
      </c>
      <c r="D160">
        <v>8</v>
      </c>
      <c r="E160">
        <v>1</v>
      </c>
      <c r="F160">
        <v>1</v>
      </c>
      <c r="G160" t="s">
        <v>35</v>
      </c>
      <c r="H160">
        <v>1</v>
      </c>
      <c r="I160" s="8">
        <v>0.25</v>
      </c>
      <c r="J160" s="8">
        <v>0.47013888888888888</v>
      </c>
      <c r="K160" s="9">
        <f t="shared" si="2"/>
        <v>5.2833333333333332</v>
      </c>
      <c r="L160" t="s">
        <v>25</v>
      </c>
      <c r="M160" t="s">
        <v>29</v>
      </c>
      <c r="N160" t="s">
        <v>32</v>
      </c>
      <c r="O160" s="3">
        <v>0</v>
      </c>
      <c r="P160" s="4">
        <v>0</v>
      </c>
      <c r="Q160" s="5">
        <v>0</v>
      </c>
      <c r="R160" s="6">
        <v>0</v>
      </c>
      <c r="S160" s="3">
        <v>0</v>
      </c>
      <c r="T160" s="4">
        <v>0</v>
      </c>
      <c r="U160" s="5">
        <v>3</v>
      </c>
      <c r="V160" s="6">
        <v>0</v>
      </c>
    </row>
    <row r="161" spans="1:25" x14ac:dyDescent="0.3">
      <c r="A161" t="s">
        <v>25</v>
      </c>
      <c r="B161" s="7">
        <v>45170</v>
      </c>
      <c r="C161" t="s">
        <v>26</v>
      </c>
      <c r="D161">
        <v>9</v>
      </c>
      <c r="E161">
        <v>1</v>
      </c>
      <c r="F161">
        <v>1</v>
      </c>
      <c r="G161" t="s">
        <v>35</v>
      </c>
      <c r="H161">
        <v>2</v>
      </c>
      <c r="I161" s="8">
        <v>0.25</v>
      </c>
      <c r="J161" s="8">
        <v>0.49583333333333335</v>
      </c>
      <c r="K161" s="9">
        <f t="shared" si="2"/>
        <v>11.8</v>
      </c>
      <c r="L161" t="s">
        <v>25</v>
      </c>
      <c r="M161" t="s">
        <v>29</v>
      </c>
      <c r="N161" t="s">
        <v>32</v>
      </c>
      <c r="O161" s="3">
        <v>0</v>
      </c>
      <c r="P161" s="4">
        <v>0</v>
      </c>
      <c r="Q161" s="5">
        <v>12</v>
      </c>
      <c r="R161" s="6">
        <v>0</v>
      </c>
      <c r="S161" s="3">
        <v>0</v>
      </c>
      <c r="T161" s="4">
        <v>0</v>
      </c>
      <c r="U161" s="5">
        <v>2</v>
      </c>
      <c r="V161" s="6">
        <v>0</v>
      </c>
    </row>
    <row r="162" spans="1:25" x14ac:dyDescent="0.3">
      <c r="A162" t="s">
        <v>25</v>
      </c>
      <c r="B162" s="7">
        <v>45170</v>
      </c>
      <c r="C162" t="s">
        <v>26</v>
      </c>
      <c r="D162">
        <v>10</v>
      </c>
      <c r="E162">
        <v>1</v>
      </c>
      <c r="F162">
        <v>1</v>
      </c>
      <c r="G162" t="s">
        <v>35</v>
      </c>
      <c r="H162">
        <v>2</v>
      </c>
      <c r="I162" s="8">
        <v>0.44791666666666669</v>
      </c>
      <c r="J162" s="8">
        <v>0.48958333333333331</v>
      </c>
      <c r="K162" s="9">
        <f t="shared" si="2"/>
        <v>1.9999999999999982</v>
      </c>
      <c r="L162" t="s">
        <v>25</v>
      </c>
      <c r="M162" t="s">
        <v>29</v>
      </c>
      <c r="N162" t="s">
        <v>32</v>
      </c>
      <c r="O162" s="3">
        <v>0</v>
      </c>
      <c r="P162" s="4">
        <v>0</v>
      </c>
      <c r="Q162" s="5">
        <v>1</v>
      </c>
      <c r="R162" s="6">
        <v>0</v>
      </c>
      <c r="S162" s="3">
        <v>0</v>
      </c>
      <c r="T162" s="4">
        <v>0</v>
      </c>
      <c r="U162" s="5">
        <v>1</v>
      </c>
      <c r="V162" s="6">
        <v>0</v>
      </c>
    </row>
    <row r="163" spans="1:25" x14ac:dyDescent="0.3">
      <c r="A163" t="s">
        <v>25</v>
      </c>
      <c r="B163" s="7">
        <v>45170</v>
      </c>
      <c r="C163" t="s">
        <v>42</v>
      </c>
      <c r="D163">
        <v>11</v>
      </c>
      <c r="E163">
        <v>2</v>
      </c>
      <c r="F163">
        <v>5</v>
      </c>
      <c r="G163" t="s">
        <v>27</v>
      </c>
      <c r="H163">
        <v>1</v>
      </c>
      <c r="I163" s="8">
        <v>0.29166666666666669</v>
      </c>
      <c r="J163" s="8">
        <v>0.6694444444444444</v>
      </c>
      <c r="K163" s="9">
        <f t="shared" si="2"/>
        <v>9.0666666666666647</v>
      </c>
      <c r="L163" t="s">
        <v>25</v>
      </c>
      <c r="M163" t="s">
        <v>29</v>
      </c>
      <c r="N163" t="s">
        <v>27</v>
      </c>
      <c r="O163" s="3">
        <v>0</v>
      </c>
      <c r="P163" s="4">
        <v>0</v>
      </c>
      <c r="Q163" s="5">
        <v>1</v>
      </c>
      <c r="R163" s="6">
        <v>0</v>
      </c>
      <c r="S163" s="3">
        <v>0</v>
      </c>
      <c r="T163" s="4">
        <v>0</v>
      </c>
      <c r="U163" s="5">
        <v>15</v>
      </c>
      <c r="V163" s="6">
        <v>0</v>
      </c>
      <c r="Y163" t="s">
        <v>66</v>
      </c>
    </row>
    <row r="164" spans="1:25" x14ac:dyDescent="0.3">
      <c r="A164" t="s">
        <v>25</v>
      </c>
      <c r="B164" s="7">
        <v>45170</v>
      </c>
      <c r="C164" t="s">
        <v>42</v>
      </c>
      <c r="D164">
        <v>12</v>
      </c>
      <c r="E164">
        <v>2</v>
      </c>
      <c r="F164">
        <v>5</v>
      </c>
      <c r="G164" t="s">
        <v>27</v>
      </c>
      <c r="H164">
        <v>2</v>
      </c>
      <c r="I164" s="8">
        <v>0.5625</v>
      </c>
      <c r="J164" s="8">
        <v>0.6694444444444444</v>
      </c>
      <c r="K164" s="9">
        <f t="shared" si="2"/>
        <v>5.1333333333333311</v>
      </c>
      <c r="L164" t="s">
        <v>25</v>
      </c>
      <c r="M164" t="s">
        <v>29</v>
      </c>
      <c r="N164" t="s">
        <v>32</v>
      </c>
      <c r="O164" s="3">
        <v>0</v>
      </c>
      <c r="P164" s="4">
        <v>0</v>
      </c>
      <c r="Q164" s="5">
        <v>3</v>
      </c>
      <c r="R164" s="6">
        <v>0</v>
      </c>
      <c r="S164" s="3">
        <v>0</v>
      </c>
      <c r="T164" s="4">
        <v>0</v>
      </c>
      <c r="U164" s="5">
        <v>2</v>
      </c>
      <c r="V164" s="6">
        <v>0</v>
      </c>
      <c r="Y164" t="s">
        <v>66</v>
      </c>
    </row>
    <row r="165" spans="1:25" x14ac:dyDescent="0.3">
      <c r="A165" t="s">
        <v>25</v>
      </c>
      <c r="B165" s="7">
        <v>45170</v>
      </c>
      <c r="C165" t="s">
        <v>42</v>
      </c>
      <c r="D165">
        <v>13</v>
      </c>
      <c r="E165">
        <v>2</v>
      </c>
      <c r="F165">
        <v>5</v>
      </c>
      <c r="G165" t="s">
        <v>27</v>
      </c>
      <c r="H165">
        <v>3</v>
      </c>
      <c r="I165" s="8">
        <v>0.41666666666666669</v>
      </c>
      <c r="J165" s="8">
        <v>0.6875</v>
      </c>
      <c r="K165" s="9">
        <f t="shared" si="2"/>
        <v>19.5</v>
      </c>
      <c r="L165" t="s">
        <v>28</v>
      </c>
      <c r="M165" t="s">
        <v>56</v>
      </c>
      <c r="N165" t="s">
        <v>27</v>
      </c>
      <c r="O165" s="3">
        <v>1</v>
      </c>
      <c r="P165" s="4">
        <v>0</v>
      </c>
      <c r="Q165" s="5">
        <v>3</v>
      </c>
      <c r="R165" s="6">
        <v>0</v>
      </c>
      <c r="S165" s="3">
        <v>0</v>
      </c>
      <c r="T165" s="4">
        <v>0</v>
      </c>
      <c r="U165" s="5">
        <v>4</v>
      </c>
      <c r="V165" s="6">
        <v>0</v>
      </c>
      <c r="Y165" t="s">
        <v>103</v>
      </c>
    </row>
    <row r="166" spans="1:25" x14ac:dyDescent="0.3">
      <c r="A166" t="s">
        <v>25</v>
      </c>
      <c r="B166" s="7">
        <v>45170</v>
      </c>
      <c r="C166" t="s">
        <v>42</v>
      </c>
      <c r="D166">
        <v>14</v>
      </c>
      <c r="E166">
        <v>2</v>
      </c>
      <c r="F166">
        <v>4</v>
      </c>
      <c r="G166" t="s">
        <v>27</v>
      </c>
      <c r="H166">
        <v>4</v>
      </c>
      <c r="I166" s="8">
        <v>0.41666666666666669</v>
      </c>
      <c r="J166" s="8">
        <v>0.69791666666666663</v>
      </c>
      <c r="K166" s="9">
        <f t="shared" si="2"/>
        <v>26.999999999999993</v>
      </c>
      <c r="L166" t="s">
        <v>25</v>
      </c>
      <c r="M166" t="s">
        <v>104</v>
      </c>
      <c r="N166" t="s">
        <v>27</v>
      </c>
      <c r="O166" s="3">
        <v>0</v>
      </c>
      <c r="P166" s="4">
        <v>1</v>
      </c>
      <c r="Q166" s="5">
        <v>3</v>
      </c>
      <c r="R166" s="6">
        <v>0</v>
      </c>
      <c r="S166" s="3">
        <v>0</v>
      </c>
      <c r="T166" s="4">
        <v>0</v>
      </c>
      <c r="U166" s="5">
        <v>30</v>
      </c>
      <c r="V166" s="6">
        <v>0</v>
      </c>
      <c r="Y166" t="s">
        <v>105</v>
      </c>
    </row>
    <row r="167" spans="1:25" x14ac:dyDescent="0.3">
      <c r="A167" t="s">
        <v>25</v>
      </c>
      <c r="B167" s="7">
        <v>45170</v>
      </c>
      <c r="C167" t="s">
        <v>42</v>
      </c>
      <c r="D167">
        <v>15</v>
      </c>
      <c r="E167">
        <v>2</v>
      </c>
      <c r="F167">
        <v>4</v>
      </c>
      <c r="G167" t="s">
        <v>27</v>
      </c>
      <c r="H167">
        <v>3</v>
      </c>
      <c r="I167" s="8">
        <v>0.61458333333333337</v>
      </c>
      <c r="J167" s="8">
        <v>0.69861111111111107</v>
      </c>
      <c r="K167" s="9">
        <f t="shared" si="2"/>
        <v>6.0499999999999945</v>
      </c>
      <c r="L167" t="s">
        <v>25</v>
      </c>
      <c r="M167" t="s">
        <v>106</v>
      </c>
      <c r="N167" t="s">
        <v>27</v>
      </c>
      <c r="O167" s="3">
        <v>0</v>
      </c>
      <c r="P167" s="4">
        <v>0</v>
      </c>
      <c r="Q167" s="5">
        <v>4</v>
      </c>
      <c r="R167" s="6">
        <v>0</v>
      </c>
      <c r="S167" s="3">
        <v>0</v>
      </c>
      <c r="T167" s="4">
        <v>0</v>
      </c>
      <c r="U167" s="5">
        <v>0</v>
      </c>
      <c r="V167" s="6">
        <v>0</v>
      </c>
      <c r="Y167" t="s">
        <v>96</v>
      </c>
    </row>
    <row r="168" spans="1:25" x14ac:dyDescent="0.3">
      <c r="A168" t="s">
        <v>25</v>
      </c>
      <c r="B168" s="7">
        <v>45170</v>
      </c>
      <c r="C168" t="s">
        <v>42</v>
      </c>
      <c r="D168">
        <v>16</v>
      </c>
      <c r="E168">
        <v>2</v>
      </c>
      <c r="F168">
        <v>4</v>
      </c>
      <c r="G168" t="s">
        <v>27</v>
      </c>
      <c r="H168">
        <v>4</v>
      </c>
      <c r="I168" s="8">
        <v>0.70833333333333337</v>
      </c>
      <c r="J168" s="8">
        <v>0.72916666666666663</v>
      </c>
      <c r="K168" s="9">
        <f t="shared" si="2"/>
        <v>1.9999999999999929</v>
      </c>
      <c r="L168" t="s">
        <v>28</v>
      </c>
      <c r="M168" t="s">
        <v>29</v>
      </c>
      <c r="N168" t="s">
        <v>32</v>
      </c>
      <c r="O168" s="3">
        <v>0</v>
      </c>
      <c r="P168" s="4">
        <v>0</v>
      </c>
      <c r="Q168" s="5">
        <v>4</v>
      </c>
      <c r="R168" s="6">
        <v>0</v>
      </c>
      <c r="S168" s="3">
        <v>0</v>
      </c>
      <c r="T168" s="4">
        <v>0</v>
      </c>
      <c r="U168" s="5">
        <v>0</v>
      </c>
      <c r="V168" s="6">
        <v>0</v>
      </c>
      <c r="Y168" t="s">
        <v>107</v>
      </c>
    </row>
    <row r="169" spans="1:25" x14ac:dyDescent="0.3">
      <c r="A169" t="s">
        <v>25</v>
      </c>
      <c r="B169" s="7">
        <v>45170</v>
      </c>
      <c r="C169" t="s">
        <v>42</v>
      </c>
      <c r="D169">
        <v>17</v>
      </c>
      <c r="E169">
        <v>2</v>
      </c>
      <c r="F169">
        <v>4</v>
      </c>
      <c r="G169" t="s">
        <v>35</v>
      </c>
      <c r="H169">
        <v>2</v>
      </c>
      <c r="I169" s="8">
        <v>0.41666666666666669</v>
      </c>
      <c r="J169" s="8">
        <v>0.74652777777777779</v>
      </c>
      <c r="K169" s="9">
        <f t="shared" si="2"/>
        <v>15.833333333333332</v>
      </c>
      <c r="L169" t="s">
        <v>25</v>
      </c>
      <c r="M169" t="s">
        <v>56</v>
      </c>
      <c r="N169" t="s">
        <v>50</v>
      </c>
      <c r="O169" s="3">
        <v>3</v>
      </c>
      <c r="P169" s="4">
        <v>0</v>
      </c>
      <c r="Q169" s="5">
        <v>0</v>
      </c>
      <c r="R169" s="6">
        <v>0</v>
      </c>
      <c r="S169" s="3">
        <v>0</v>
      </c>
      <c r="T169" s="4">
        <v>0</v>
      </c>
      <c r="U169" s="5">
        <v>20</v>
      </c>
      <c r="V169" s="6">
        <v>0</v>
      </c>
      <c r="Y169" t="s">
        <v>108</v>
      </c>
    </row>
    <row r="170" spans="1:25" x14ac:dyDescent="0.3">
      <c r="A170" t="s">
        <v>25</v>
      </c>
      <c r="B170" s="7">
        <v>45170</v>
      </c>
      <c r="C170" t="s">
        <v>42</v>
      </c>
      <c r="D170">
        <v>18</v>
      </c>
      <c r="E170">
        <v>2</v>
      </c>
      <c r="F170">
        <v>3</v>
      </c>
      <c r="G170" t="s">
        <v>27</v>
      </c>
      <c r="H170">
        <v>1</v>
      </c>
      <c r="I170" s="8">
        <v>0.375</v>
      </c>
      <c r="J170" s="8">
        <v>0.75347222222222221</v>
      </c>
      <c r="K170" s="9">
        <f t="shared" si="2"/>
        <v>9.0833333333333321</v>
      </c>
      <c r="L170" t="s">
        <v>28</v>
      </c>
      <c r="M170" t="s">
        <v>56</v>
      </c>
      <c r="N170" t="s">
        <v>50</v>
      </c>
      <c r="O170" s="3">
        <v>0</v>
      </c>
      <c r="P170" s="4">
        <v>0</v>
      </c>
      <c r="Q170" s="5">
        <v>4</v>
      </c>
      <c r="R170" s="6">
        <v>0</v>
      </c>
      <c r="S170" s="3">
        <v>0</v>
      </c>
      <c r="T170" s="4">
        <v>1</v>
      </c>
      <c r="U170" s="5">
        <v>10</v>
      </c>
      <c r="V170" s="6">
        <v>0</v>
      </c>
      <c r="Y170" t="s">
        <v>109</v>
      </c>
    </row>
    <row r="171" spans="1:25" x14ac:dyDescent="0.3">
      <c r="A171" t="s">
        <v>25</v>
      </c>
      <c r="B171" s="7">
        <v>45170</v>
      </c>
      <c r="C171" t="s">
        <v>42</v>
      </c>
      <c r="D171">
        <v>19</v>
      </c>
      <c r="E171">
        <v>2</v>
      </c>
      <c r="F171">
        <v>3</v>
      </c>
      <c r="G171" t="s">
        <v>27</v>
      </c>
      <c r="H171">
        <v>3</v>
      </c>
      <c r="I171" s="8">
        <v>0.66666666666666663</v>
      </c>
      <c r="J171" s="8">
        <v>0.76180555555555562</v>
      </c>
      <c r="K171" s="9">
        <f t="shared" si="2"/>
        <v>6.8500000000000076</v>
      </c>
      <c r="L171" t="s">
        <v>28</v>
      </c>
      <c r="M171" t="s">
        <v>29</v>
      </c>
      <c r="N171" t="s">
        <v>32</v>
      </c>
      <c r="O171" s="3">
        <v>0</v>
      </c>
      <c r="P171" s="4">
        <v>0</v>
      </c>
      <c r="Q171" s="5">
        <v>5</v>
      </c>
      <c r="R171" s="6">
        <v>0</v>
      </c>
      <c r="S171" s="3">
        <v>0</v>
      </c>
      <c r="T171" s="4">
        <v>0</v>
      </c>
      <c r="U171" s="5">
        <v>0</v>
      </c>
      <c r="V171" s="6">
        <v>0</v>
      </c>
      <c r="Y171" t="s">
        <v>83</v>
      </c>
    </row>
    <row r="172" spans="1:25" x14ac:dyDescent="0.3">
      <c r="A172" t="s">
        <v>25</v>
      </c>
      <c r="B172" s="7">
        <v>45170</v>
      </c>
      <c r="C172" t="s">
        <v>42</v>
      </c>
      <c r="D172">
        <v>20</v>
      </c>
      <c r="E172">
        <v>2</v>
      </c>
      <c r="F172">
        <v>3</v>
      </c>
      <c r="G172" t="s">
        <v>27</v>
      </c>
      <c r="H172">
        <v>1</v>
      </c>
      <c r="I172" s="8">
        <v>0.5</v>
      </c>
      <c r="J172" s="8">
        <v>0.77083333333333337</v>
      </c>
      <c r="K172" s="9">
        <f t="shared" si="2"/>
        <v>6.5000000000000009</v>
      </c>
      <c r="L172" t="s">
        <v>25</v>
      </c>
      <c r="M172" t="s">
        <v>49</v>
      </c>
      <c r="N172" t="s">
        <v>27</v>
      </c>
      <c r="O172" s="3">
        <v>1</v>
      </c>
      <c r="P172" s="4">
        <v>0</v>
      </c>
      <c r="Q172" s="5">
        <v>1</v>
      </c>
      <c r="R172" s="6">
        <v>0</v>
      </c>
      <c r="S172" s="3">
        <v>0</v>
      </c>
      <c r="T172" s="4">
        <v>0</v>
      </c>
      <c r="U172" s="5">
        <v>10</v>
      </c>
      <c r="V172" s="6">
        <v>0</v>
      </c>
      <c r="Y172" t="s">
        <v>74</v>
      </c>
    </row>
    <row r="173" spans="1:25" x14ac:dyDescent="0.3">
      <c r="A173" t="s">
        <v>25</v>
      </c>
      <c r="B173" s="7">
        <v>45170</v>
      </c>
      <c r="C173" t="s">
        <v>42</v>
      </c>
      <c r="D173">
        <v>21</v>
      </c>
      <c r="E173">
        <v>2</v>
      </c>
      <c r="F173">
        <v>3</v>
      </c>
      <c r="G173" t="s">
        <v>27</v>
      </c>
      <c r="H173">
        <v>1</v>
      </c>
      <c r="I173" s="8">
        <v>0.72916666666666663</v>
      </c>
      <c r="J173" s="8">
        <v>0.77083333333333337</v>
      </c>
      <c r="K173" s="9">
        <f t="shared" si="2"/>
        <v>1.0000000000000018</v>
      </c>
      <c r="L173" t="s">
        <v>25</v>
      </c>
      <c r="M173" t="s">
        <v>49</v>
      </c>
      <c r="N173" t="s">
        <v>27</v>
      </c>
      <c r="O173" s="3">
        <v>0</v>
      </c>
      <c r="P173" s="4">
        <v>0</v>
      </c>
      <c r="Q173" s="5">
        <v>3</v>
      </c>
      <c r="R173" s="6">
        <v>0</v>
      </c>
      <c r="S173" s="3">
        <v>0</v>
      </c>
      <c r="T173" s="4">
        <v>0</v>
      </c>
      <c r="U173" s="5">
        <v>0</v>
      </c>
      <c r="V173" s="6">
        <v>0</v>
      </c>
      <c r="Y173" t="s">
        <v>74</v>
      </c>
    </row>
    <row r="174" spans="1:25" x14ac:dyDescent="0.3">
      <c r="A174" t="s">
        <v>25</v>
      </c>
      <c r="B174" s="7">
        <v>45170</v>
      </c>
      <c r="C174" t="s">
        <v>42</v>
      </c>
      <c r="D174">
        <v>22</v>
      </c>
      <c r="E174">
        <v>2</v>
      </c>
      <c r="F174">
        <v>2</v>
      </c>
      <c r="G174" t="s">
        <v>27</v>
      </c>
      <c r="H174">
        <v>2</v>
      </c>
      <c r="I174" s="8">
        <v>0.75694444444444453</v>
      </c>
      <c r="J174" s="8">
        <v>0.79861111111111116</v>
      </c>
      <c r="K174" s="9">
        <f t="shared" si="2"/>
        <v>1.9999999999999982</v>
      </c>
      <c r="L174" t="s">
        <v>25</v>
      </c>
      <c r="M174" t="s">
        <v>29</v>
      </c>
      <c r="N174" t="s">
        <v>110</v>
      </c>
      <c r="O174" s="3">
        <v>0</v>
      </c>
      <c r="P174" s="4">
        <v>0</v>
      </c>
      <c r="Q174" s="5">
        <v>0</v>
      </c>
      <c r="R174" s="6">
        <v>0</v>
      </c>
      <c r="S174" s="3">
        <v>0</v>
      </c>
      <c r="T174" s="4">
        <v>0</v>
      </c>
      <c r="U174" s="5">
        <v>0</v>
      </c>
      <c r="V174" s="6">
        <v>0</v>
      </c>
      <c r="Y174" t="s">
        <v>63</v>
      </c>
    </row>
    <row r="175" spans="1:25" x14ac:dyDescent="0.3">
      <c r="A175" t="s">
        <v>25</v>
      </c>
      <c r="B175" s="7">
        <v>45170</v>
      </c>
      <c r="C175" t="s">
        <v>42</v>
      </c>
      <c r="D175">
        <v>23</v>
      </c>
      <c r="E175">
        <v>2</v>
      </c>
      <c r="F175">
        <v>2</v>
      </c>
      <c r="G175" t="s">
        <v>27</v>
      </c>
      <c r="H175">
        <v>1</v>
      </c>
      <c r="I175" s="8">
        <v>0.625</v>
      </c>
      <c r="J175" s="8">
        <v>0.80833333333333324</v>
      </c>
      <c r="K175" s="9">
        <f t="shared" si="2"/>
        <v>4.3999999999999977</v>
      </c>
      <c r="L175" t="s">
        <v>25</v>
      </c>
      <c r="M175" t="s">
        <v>111</v>
      </c>
      <c r="N175" t="s">
        <v>75</v>
      </c>
      <c r="O175" s="3">
        <v>0</v>
      </c>
      <c r="P175" s="4">
        <v>0</v>
      </c>
      <c r="Q175" s="5">
        <v>0</v>
      </c>
      <c r="R175" s="6">
        <v>0</v>
      </c>
      <c r="S175" s="3">
        <v>0</v>
      </c>
      <c r="T175" s="4">
        <v>0</v>
      </c>
      <c r="U175" s="5">
        <v>0</v>
      </c>
      <c r="V175" s="6">
        <v>0</v>
      </c>
      <c r="Y175" t="s">
        <v>63</v>
      </c>
    </row>
    <row r="176" spans="1:25" x14ac:dyDescent="0.3">
      <c r="A176" t="s">
        <v>25</v>
      </c>
      <c r="B176" s="7">
        <v>45170</v>
      </c>
      <c r="C176" t="s">
        <v>42</v>
      </c>
      <c r="D176">
        <v>24</v>
      </c>
      <c r="E176">
        <v>1</v>
      </c>
      <c r="F176">
        <v>2</v>
      </c>
      <c r="G176" t="s">
        <v>35</v>
      </c>
      <c r="H176">
        <v>1</v>
      </c>
      <c r="I176" s="8">
        <v>0.78611111111111109</v>
      </c>
      <c r="J176" s="8">
        <v>0.82777777777777783</v>
      </c>
      <c r="K176" s="9">
        <f t="shared" si="2"/>
        <v>1.0000000000000018</v>
      </c>
      <c r="L176" t="s">
        <v>25</v>
      </c>
      <c r="M176" t="s">
        <v>112</v>
      </c>
      <c r="N176" t="s">
        <v>32</v>
      </c>
      <c r="O176" s="3">
        <v>0</v>
      </c>
      <c r="P176" s="4">
        <v>0</v>
      </c>
      <c r="Q176" s="5">
        <v>0</v>
      </c>
      <c r="R176" s="6">
        <v>0</v>
      </c>
      <c r="S176" s="3">
        <v>0</v>
      </c>
      <c r="T176" s="4">
        <v>0</v>
      </c>
      <c r="U176" s="5">
        <v>0</v>
      </c>
      <c r="V176" s="6">
        <v>0</v>
      </c>
      <c r="Y176" t="s">
        <v>53</v>
      </c>
    </row>
    <row r="177" spans="1:25" x14ac:dyDescent="0.3">
      <c r="A177" t="s">
        <v>25</v>
      </c>
      <c r="B177" s="7">
        <v>45170</v>
      </c>
      <c r="C177" t="s">
        <v>42</v>
      </c>
      <c r="D177">
        <v>25</v>
      </c>
      <c r="E177">
        <v>1</v>
      </c>
      <c r="F177">
        <v>2</v>
      </c>
      <c r="G177" t="s">
        <v>27</v>
      </c>
      <c r="H177">
        <v>2</v>
      </c>
      <c r="I177" s="8">
        <v>0.75</v>
      </c>
      <c r="J177" s="8">
        <v>0.83333333333333337</v>
      </c>
      <c r="K177" s="9">
        <f t="shared" si="2"/>
        <v>4.0000000000000018</v>
      </c>
      <c r="L177" t="s">
        <v>25</v>
      </c>
      <c r="M177" t="s">
        <v>29</v>
      </c>
      <c r="N177" t="s">
        <v>27</v>
      </c>
      <c r="O177" s="3">
        <v>0</v>
      </c>
      <c r="P177" s="4">
        <v>0</v>
      </c>
      <c r="Q177" s="5">
        <v>0</v>
      </c>
      <c r="R177" s="6">
        <v>0</v>
      </c>
      <c r="S177" s="3">
        <v>0</v>
      </c>
      <c r="T177" s="4">
        <v>0</v>
      </c>
      <c r="U177" s="5">
        <v>0</v>
      </c>
      <c r="V177" s="6">
        <v>0</v>
      </c>
      <c r="Y177" t="s">
        <v>53</v>
      </c>
    </row>
    <row r="178" spans="1:25" x14ac:dyDescent="0.3">
      <c r="A178" t="s">
        <v>25</v>
      </c>
      <c r="B178" s="7">
        <v>45170</v>
      </c>
      <c r="C178" t="s">
        <v>42</v>
      </c>
      <c r="D178">
        <v>26</v>
      </c>
      <c r="E178">
        <v>1</v>
      </c>
      <c r="F178">
        <v>2</v>
      </c>
      <c r="G178" t="s">
        <v>27</v>
      </c>
      <c r="H178">
        <v>1</v>
      </c>
      <c r="I178" s="8">
        <v>0.79166666666666663</v>
      </c>
      <c r="J178" s="8">
        <v>0.83333333333333337</v>
      </c>
      <c r="K178" s="9">
        <f t="shared" si="2"/>
        <v>1.0000000000000018</v>
      </c>
      <c r="L178" t="s">
        <v>28</v>
      </c>
      <c r="M178" t="s">
        <v>29</v>
      </c>
      <c r="N178" t="s">
        <v>32</v>
      </c>
      <c r="O178" s="3">
        <v>0</v>
      </c>
      <c r="P178" s="4">
        <v>0</v>
      </c>
      <c r="Q178" s="5">
        <v>3</v>
      </c>
      <c r="R178" s="6">
        <v>0</v>
      </c>
      <c r="S178" s="3">
        <v>0</v>
      </c>
      <c r="T178" s="4">
        <v>0</v>
      </c>
      <c r="U178" s="5">
        <v>0</v>
      </c>
      <c r="V178" s="6">
        <v>0</v>
      </c>
      <c r="Y178" t="s">
        <v>53</v>
      </c>
    </row>
    <row r="179" spans="1:25" x14ac:dyDescent="0.3">
      <c r="A179" t="s">
        <v>25</v>
      </c>
      <c r="B179" s="7">
        <v>45170</v>
      </c>
      <c r="C179" t="s">
        <v>42</v>
      </c>
      <c r="D179">
        <v>27</v>
      </c>
      <c r="E179">
        <v>1</v>
      </c>
      <c r="F179">
        <v>1</v>
      </c>
      <c r="G179" t="s">
        <v>35</v>
      </c>
      <c r="H179">
        <v>5</v>
      </c>
      <c r="I179" s="8">
        <v>0.66666666666666663</v>
      </c>
      <c r="J179" s="8">
        <v>0.84027777777777779</v>
      </c>
      <c r="K179" s="9">
        <f t="shared" si="2"/>
        <v>20.833333333333339</v>
      </c>
      <c r="L179" t="s">
        <v>25</v>
      </c>
      <c r="M179" t="s">
        <v>29</v>
      </c>
      <c r="N179" t="s">
        <v>32</v>
      </c>
      <c r="O179" s="3">
        <v>0</v>
      </c>
      <c r="P179" s="4">
        <v>0</v>
      </c>
      <c r="Q179" s="5">
        <v>7</v>
      </c>
      <c r="R179" s="6">
        <v>0</v>
      </c>
      <c r="S179" s="3">
        <v>0</v>
      </c>
      <c r="T179" s="4">
        <v>0</v>
      </c>
      <c r="U179" s="5">
        <v>3</v>
      </c>
      <c r="V179" s="6">
        <v>0</v>
      </c>
      <c r="Y179" t="s">
        <v>113</v>
      </c>
    </row>
    <row r="180" spans="1:25" x14ac:dyDescent="0.3">
      <c r="A180" t="s">
        <v>25</v>
      </c>
      <c r="B180" s="7">
        <v>45170</v>
      </c>
      <c r="C180" t="s">
        <v>42</v>
      </c>
      <c r="D180">
        <v>28</v>
      </c>
      <c r="E180">
        <v>1</v>
      </c>
      <c r="F180">
        <v>1</v>
      </c>
      <c r="G180" t="s">
        <v>35</v>
      </c>
      <c r="H180">
        <v>2</v>
      </c>
      <c r="I180" s="8">
        <v>0.70833333333333337</v>
      </c>
      <c r="J180" s="8">
        <v>0.84375</v>
      </c>
      <c r="K180" s="9">
        <f t="shared" si="2"/>
        <v>6.4999999999999982</v>
      </c>
      <c r="L180" t="s">
        <v>25</v>
      </c>
      <c r="M180" t="s">
        <v>29</v>
      </c>
      <c r="N180" t="s">
        <v>32</v>
      </c>
      <c r="O180" s="3">
        <v>0</v>
      </c>
      <c r="P180" s="4">
        <v>0</v>
      </c>
      <c r="Q180" s="5">
        <v>0</v>
      </c>
      <c r="R180" s="6">
        <v>0</v>
      </c>
      <c r="S180" s="3">
        <v>0</v>
      </c>
      <c r="T180" s="4">
        <v>0</v>
      </c>
      <c r="U180" s="5">
        <v>1</v>
      </c>
      <c r="V180" s="6">
        <v>0</v>
      </c>
    </row>
    <row r="181" spans="1:25" x14ac:dyDescent="0.3">
      <c r="A181" t="s">
        <v>25</v>
      </c>
      <c r="B181" s="7">
        <v>45171</v>
      </c>
      <c r="C181" t="s">
        <v>26</v>
      </c>
      <c r="D181">
        <v>1</v>
      </c>
      <c r="E181">
        <v>2</v>
      </c>
      <c r="F181">
        <v>5</v>
      </c>
      <c r="G181" t="s">
        <v>27</v>
      </c>
      <c r="H181">
        <v>1</v>
      </c>
      <c r="I181" s="8">
        <v>0.22916666666666666</v>
      </c>
      <c r="J181" s="8">
        <v>0.28125</v>
      </c>
      <c r="K181" s="9">
        <f t="shared" si="2"/>
        <v>1.2500000000000002</v>
      </c>
      <c r="L181" t="s">
        <v>28</v>
      </c>
      <c r="M181" t="s">
        <v>56</v>
      </c>
      <c r="N181" t="s">
        <v>27</v>
      </c>
      <c r="O181" s="3">
        <v>0</v>
      </c>
      <c r="P181" s="4">
        <v>0</v>
      </c>
      <c r="Q181" s="5">
        <v>0</v>
      </c>
      <c r="R181" s="6">
        <v>0</v>
      </c>
      <c r="S181" s="3">
        <v>0</v>
      </c>
      <c r="T181" s="4">
        <v>0</v>
      </c>
      <c r="U181" s="5">
        <v>0</v>
      </c>
      <c r="V181" s="6">
        <v>0</v>
      </c>
      <c r="Y181" t="s">
        <v>66</v>
      </c>
    </row>
    <row r="182" spans="1:25" x14ac:dyDescent="0.3">
      <c r="A182" t="s">
        <v>25</v>
      </c>
      <c r="B182" s="7">
        <v>45171</v>
      </c>
      <c r="C182" t="s">
        <v>26</v>
      </c>
      <c r="D182">
        <v>2</v>
      </c>
      <c r="E182">
        <v>2</v>
      </c>
      <c r="F182">
        <v>5</v>
      </c>
      <c r="G182" t="s">
        <v>27</v>
      </c>
      <c r="H182">
        <v>2</v>
      </c>
      <c r="I182" s="8">
        <v>0.25</v>
      </c>
      <c r="J182" s="8">
        <v>0.28125</v>
      </c>
      <c r="K182" s="9">
        <f t="shared" si="2"/>
        <v>1.5</v>
      </c>
      <c r="L182" t="s">
        <v>28</v>
      </c>
      <c r="M182" t="s">
        <v>114</v>
      </c>
      <c r="N182" t="s">
        <v>48</v>
      </c>
      <c r="O182" s="3">
        <v>0</v>
      </c>
      <c r="P182" s="4">
        <v>0</v>
      </c>
      <c r="Q182" s="5">
        <v>0</v>
      </c>
      <c r="R182" s="6">
        <v>0</v>
      </c>
      <c r="S182" s="3">
        <v>0</v>
      </c>
      <c r="T182" s="4">
        <v>0</v>
      </c>
      <c r="U182" s="5">
        <v>0</v>
      </c>
      <c r="V182" s="6">
        <v>0</v>
      </c>
      <c r="Y182" t="s">
        <v>66</v>
      </c>
    </row>
    <row r="183" spans="1:25" x14ac:dyDescent="0.3">
      <c r="A183" t="s">
        <v>25</v>
      </c>
      <c r="B183" s="7">
        <v>45171</v>
      </c>
      <c r="C183" t="s">
        <v>26</v>
      </c>
      <c r="D183">
        <v>3</v>
      </c>
      <c r="E183">
        <v>2</v>
      </c>
      <c r="F183">
        <v>5</v>
      </c>
      <c r="G183" t="s">
        <v>27</v>
      </c>
      <c r="H183">
        <v>2</v>
      </c>
      <c r="I183" s="8">
        <v>0.25</v>
      </c>
      <c r="J183" s="8">
        <v>0.29166666666666669</v>
      </c>
      <c r="K183" s="9">
        <f t="shared" si="2"/>
        <v>2.0000000000000009</v>
      </c>
      <c r="L183" t="s">
        <v>28</v>
      </c>
      <c r="M183" t="s">
        <v>56</v>
      </c>
      <c r="N183" t="s">
        <v>27</v>
      </c>
      <c r="O183" s="3">
        <v>0</v>
      </c>
      <c r="P183" s="4">
        <v>0</v>
      </c>
      <c r="Q183" s="5">
        <v>0</v>
      </c>
      <c r="R183" s="6">
        <v>0</v>
      </c>
      <c r="S183" s="3">
        <v>0</v>
      </c>
      <c r="T183" s="4">
        <v>0</v>
      </c>
      <c r="U183" s="5">
        <v>0</v>
      </c>
      <c r="V183" s="6">
        <v>0</v>
      </c>
      <c r="Y183" t="s">
        <v>115</v>
      </c>
    </row>
    <row r="184" spans="1:25" x14ac:dyDescent="0.3">
      <c r="A184" t="s">
        <v>25</v>
      </c>
      <c r="B184" s="7">
        <v>45171</v>
      </c>
      <c r="C184" t="s">
        <v>26</v>
      </c>
      <c r="D184">
        <v>4</v>
      </c>
      <c r="E184">
        <v>2</v>
      </c>
      <c r="F184">
        <v>5</v>
      </c>
      <c r="G184" t="s">
        <v>27</v>
      </c>
      <c r="H184">
        <v>2</v>
      </c>
      <c r="I184" s="8">
        <v>0.2638888888888889</v>
      </c>
      <c r="J184" s="8">
        <v>0.29166666666666669</v>
      </c>
      <c r="K184" s="9">
        <f t="shared" si="2"/>
        <v>1.3333333333333339</v>
      </c>
      <c r="L184" t="s">
        <v>28</v>
      </c>
      <c r="M184" t="s">
        <v>56</v>
      </c>
      <c r="N184" t="s">
        <v>27</v>
      </c>
      <c r="O184" s="3">
        <v>0</v>
      </c>
      <c r="P184" s="4">
        <v>0</v>
      </c>
      <c r="Q184" s="5">
        <v>0</v>
      </c>
      <c r="R184" s="6">
        <v>0</v>
      </c>
      <c r="S184" s="3">
        <v>0</v>
      </c>
      <c r="T184" s="4">
        <v>0</v>
      </c>
      <c r="U184" s="5">
        <v>0</v>
      </c>
      <c r="V184" s="6">
        <v>0</v>
      </c>
      <c r="Y184" t="s">
        <v>115</v>
      </c>
    </row>
    <row r="185" spans="1:25" x14ac:dyDescent="0.3">
      <c r="A185" t="s">
        <v>25</v>
      </c>
      <c r="B185" s="7">
        <v>45171</v>
      </c>
      <c r="C185" t="s">
        <v>26</v>
      </c>
      <c r="D185">
        <v>5</v>
      </c>
      <c r="E185">
        <v>2</v>
      </c>
      <c r="F185">
        <v>4</v>
      </c>
      <c r="G185" t="s">
        <v>27</v>
      </c>
      <c r="H185">
        <v>1</v>
      </c>
      <c r="I185" s="8">
        <v>0.27083333333333331</v>
      </c>
      <c r="J185" s="8">
        <v>0.31319444444444444</v>
      </c>
      <c r="K185" s="9">
        <f t="shared" si="2"/>
        <v>1.0166666666666671</v>
      </c>
      <c r="L185" t="s">
        <v>28</v>
      </c>
      <c r="M185" t="s">
        <v>29</v>
      </c>
      <c r="N185" t="s">
        <v>32</v>
      </c>
      <c r="O185" s="3">
        <v>0</v>
      </c>
      <c r="P185" s="4">
        <v>0</v>
      </c>
      <c r="Q185" s="5">
        <v>2</v>
      </c>
      <c r="R185" s="6">
        <v>0</v>
      </c>
      <c r="S185" s="3">
        <v>0</v>
      </c>
      <c r="T185" s="4">
        <v>0</v>
      </c>
      <c r="U185" s="5">
        <v>1</v>
      </c>
      <c r="V185" s="6">
        <v>0</v>
      </c>
      <c r="Y185" t="s">
        <v>96</v>
      </c>
    </row>
    <row r="186" spans="1:25" x14ac:dyDescent="0.3">
      <c r="A186" t="s">
        <v>25</v>
      </c>
      <c r="B186" s="7">
        <v>45171</v>
      </c>
      <c r="C186" t="s">
        <v>26</v>
      </c>
      <c r="D186">
        <v>6</v>
      </c>
      <c r="E186">
        <v>2</v>
      </c>
      <c r="F186">
        <v>4</v>
      </c>
      <c r="G186" t="s">
        <v>27</v>
      </c>
      <c r="H186">
        <v>1</v>
      </c>
      <c r="I186" s="8">
        <v>0.28125</v>
      </c>
      <c r="J186" s="8">
        <v>0.32291666666666669</v>
      </c>
      <c r="K186" s="9">
        <f t="shared" si="2"/>
        <v>1.0000000000000004</v>
      </c>
      <c r="L186" t="s">
        <v>28</v>
      </c>
      <c r="M186" t="s">
        <v>29</v>
      </c>
      <c r="N186" t="s">
        <v>32</v>
      </c>
      <c r="O186" s="3">
        <v>0</v>
      </c>
      <c r="P186" s="4">
        <v>0</v>
      </c>
      <c r="Q186" s="5">
        <v>3</v>
      </c>
      <c r="R186" s="6">
        <v>0</v>
      </c>
      <c r="S186" s="3">
        <v>0</v>
      </c>
      <c r="T186" s="4">
        <v>0</v>
      </c>
      <c r="U186" s="5">
        <v>1</v>
      </c>
      <c r="V186" s="6">
        <v>0</v>
      </c>
      <c r="Y186" t="s">
        <v>68</v>
      </c>
    </row>
    <row r="187" spans="1:25" x14ac:dyDescent="0.3">
      <c r="A187" t="s">
        <v>25</v>
      </c>
      <c r="B187" s="7">
        <v>45171</v>
      </c>
      <c r="C187" t="s">
        <v>26</v>
      </c>
      <c r="D187">
        <v>7</v>
      </c>
      <c r="E187">
        <v>2</v>
      </c>
      <c r="F187">
        <v>4</v>
      </c>
      <c r="G187" t="s">
        <v>27</v>
      </c>
      <c r="H187">
        <v>2</v>
      </c>
      <c r="I187" s="8">
        <v>0.29166666666666669</v>
      </c>
      <c r="J187" s="8">
        <v>0.34027777777777773</v>
      </c>
      <c r="K187" s="9">
        <f t="shared" si="2"/>
        <v>2.3333333333333304</v>
      </c>
      <c r="L187" t="s">
        <v>28</v>
      </c>
      <c r="M187" t="s">
        <v>29</v>
      </c>
      <c r="N187" t="s">
        <v>32</v>
      </c>
      <c r="O187" s="3">
        <v>0</v>
      </c>
      <c r="P187" s="4">
        <v>0</v>
      </c>
      <c r="Q187" s="5">
        <v>4</v>
      </c>
      <c r="R187" s="6">
        <v>0</v>
      </c>
      <c r="S187" s="3">
        <v>0</v>
      </c>
      <c r="T187" s="4">
        <v>0</v>
      </c>
      <c r="U187" s="5">
        <v>2</v>
      </c>
      <c r="V187" s="6">
        <v>0</v>
      </c>
      <c r="Y187" t="s">
        <v>84</v>
      </c>
    </row>
    <row r="188" spans="1:25" x14ac:dyDescent="0.3">
      <c r="A188" t="s">
        <v>25</v>
      </c>
      <c r="B188" s="7">
        <v>45171</v>
      </c>
      <c r="C188" t="s">
        <v>26</v>
      </c>
      <c r="D188">
        <v>8</v>
      </c>
      <c r="E188">
        <v>2</v>
      </c>
      <c r="F188">
        <v>4</v>
      </c>
      <c r="G188" t="s">
        <v>27</v>
      </c>
      <c r="H188">
        <v>2</v>
      </c>
      <c r="I188" s="8">
        <v>0.33333333333333331</v>
      </c>
      <c r="J188" s="8">
        <v>0.35416666666666669</v>
      </c>
      <c r="K188" s="9">
        <f t="shared" si="2"/>
        <v>1.0000000000000018</v>
      </c>
      <c r="L188" t="s">
        <v>28</v>
      </c>
      <c r="M188" t="s">
        <v>49</v>
      </c>
      <c r="N188" t="s">
        <v>27</v>
      </c>
      <c r="O188" s="3">
        <v>0</v>
      </c>
      <c r="P188" s="4">
        <v>0</v>
      </c>
      <c r="Q188" s="5">
        <v>1</v>
      </c>
      <c r="R188" s="6">
        <v>0</v>
      </c>
      <c r="S188" s="3">
        <v>0</v>
      </c>
      <c r="T188" s="4">
        <v>0</v>
      </c>
      <c r="U188" s="5">
        <v>0</v>
      </c>
      <c r="V188" s="6">
        <v>0</v>
      </c>
      <c r="Y188" t="s">
        <v>84</v>
      </c>
    </row>
    <row r="189" spans="1:25" x14ac:dyDescent="0.3">
      <c r="A189" t="s">
        <v>25</v>
      </c>
      <c r="B189" s="7">
        <v>45171</v>
      </c>
      <c r="C189" t="s">
        <v>26</v>
      </c>
      <c r="D189">
        <v>9</v>
      </c>
      <c r="E189">
        <v>2</v>
      </c>
      <c r="F189">
        <v>3</v>
      </c>
      <c r="G189" t="s">
        <v>27</v>
      </c>
      <c r="H189">
        <v>3</v>
      </c>
      <c r="I189" s="8">
        <v>0.3125</v>
      </c>
      <c r="J189" s="8">
        <v>0.37986111111111115</v>
      </c>
      <c r="K189" s="9">
        <f t="shared" si="2"/>
        <v>4.8500000000000032</v>
      </c>
      <c r="L189" t="s">
        <v>28</v>
      </c>
      <c r="M189" t="s">
        <v>29</v>
      </c>
      <c r="N189" t="s">
        <v>27</v>
      </c>
      <c r="O189" s="3">
        <v>0</v>
      </c>
      <c r="P189" s="4">
        <v>0</v>
      </c>
      <c r="Q189" s="5">
        <v>0</v>
      </c>
      <c r="R189" s="6">
        <v>0</v>
      </c>
      <c r="S189" s="3">
        <v>0</v>
      </c>
      <c r="T189" s="4">
        <v>0</v>
      </c>
      <c r="U189" s="5">
        <v>1</v>
      </c>
      <c r="V189" s="6">
        <v>0</v>
      </c>
      <c r="Y189" t="s">
        <v>83</v>
      </c>
    </row>
    <row r="190" spans="1:25" x14ac:dyDescent="0.3">
      <c r="A190" t="s">
        <v>25</v>
      </c>
      <c r="B190" s="7">
        <v>45171</v>
      </c>
      <c r="C190" t="s">
        <v>26</v>
      </c>
      <c r="D190">
        <v>10</v>
      </c>
      <c r="E190">
        <v>2</v>
      </c>
      <c r="F190">
        <v>1</v>
      </c>
      <c r="G190" t="s">
        <v>27</v>
      </c>
      <c r="H190">
        <v>1</v>
      </c>
      <c r="I190" s="8">
        <v>0.33333333333333331</v>
      </c>
      <c r="J190" s="8">
        <v>0.40277777777777773</v>
      </c>
      <c r="K190" s="9">
        <f t="shared" si="2"/>
        <v>1.6666666666666661</v>
      </c>
      <c r="L190" t="s">
        <v>28</v>
      </c>
      <c r="M190" t="s">
        <v>56</v>
      </c>
      <c r="N190" t="s">
        <v>55</v>
      </c>
      <c r="O190" s="3">
        <v>0</v>
      </c>
      <c r="P190" s="4">
        <v>0</v>
      </c>
      <c r="Q190" s="5">
        <v>0</v>
      </c>
      <c r="R190" s="6">
        <v>0</v>
      </c>
      <c r="S190" s="3">
        <v>0</v>
      </c>
      <c r="T190" s="4">
        <v>0</v>
      </c>
      <c r="U190" s="5">
        <v>0</v>
      </c>
      <c r="V190" s="6">
        <v>0</v>
      </c>
      <c r="Y190" t="s">
        <v>72</v>
      </c>
    </row>
    <row r="191" spans="1:25" x14ac:dyDescent="0.3">
      <c r="A191" t="s">
        <v>25</v>
      </c>
      <c r="B191" s="7">
        <v>45171</v>
      </c>
      <c r="C191" t="s">
        <v>26</v>
      </c>
      <c r="D191">
        <v>11</v>
      </c>
      <c r="E191">
        <v>2</v>
      </c>
      <c r="F191">
        <v>2</v>
      </c>
      <c r="G191" t="s">
        <v>27</v>
      </c>
      <c r="H191">
        <v>1</v>
      </c>
      <c r="I191" s="8">
        <v>0.39583333333333331</v>
      </c>
      <c r="J191" s="8">
        <v>0.41111111111111115</v>
      </c>
      <c r="K191" s="9">
        <f t="shared" si="2"/>
        <v>0.36666666666666803</v>
      </c>
      <c r="L191" t="s">
        <v>28</v>
      </c>
      <c r="M191" t="s">
        <v>29</v>
      </c>
      <c r="N191" t="s">
        <v>32</v>
      </c>
      <c r="O191" s="3">
        <v>0</v>
      </c>
      <c r="P191" s="4">
        <v>0</v>
      </c>
      <c r="Q191" s="5">
        <v>1</v>
      </c>
      <c r="R191" s="6">
        <v>0</v>
      </c>
      <c r="S191" s="3">
        <v>0</v>
      </c>
      <c r="T191" s="4">
        <v>0</v>
      </c>
      <c r="U191" s="5">
        <v>0</v>
      </c>
      <c r="V191" s="6">
        <v>0</v>
      </c>
      <c r="Y191" t="s">
        <v>94</v>
      </c>
    </row>
    <row r="192" spans="1:25" x14ac:dyDescent="0.3">
      <c r="A192" t="s">
        <v>25</v>
      </c>
      <c r="B192" s="7">
        <v>45171</v>
      </c>
      <c r="C192" t="s">
        <v>26</v>
      </c>
      <c r="D192">
        <v>12</v>
      </c>
      <c r="E192">
        <v>2</v>
      </c>
      <c r="F192">
        <v>2</v>
      </c>
      <c r="G192" t="s">
        <v>27</v>
      </c>
      <c r="H192">
        <v>1</v>
      </c>
      <c r="I192" s="8">
        <v>0.3125</v>
      </c>
      <c r="J192" s="8">
        <v>0.41111111111111115</v>
      </c>
      <c r="K192" s="9">
        <f t="shared" si="2"/>
        <v>2.3666666666666676</v>
      </c>
      <c r="L192" t="s">
        <v>28</v>
      </c>
      <c r="M192" t="s">
        <v>29</v>
      </c>
      <c r="N192" t="s">
        <v>32</v>
      </c>
      <c r="O192" s="3">
        <v>0</v>
      </c>
      <c r="P192" s="4">
        <v>0</v>
      </c>
      <c r="Q192" s="5">
        <v>1</v>
      </c>
      <c r="R192" s="6">
        <v>0</v>
      </c>
      <c r="S192" s="3">
        <v>0</v>
      </c>
      <c r="T192" s="4">
        <v>0</v>
      </c>
      <c r="U192" s="5">
        <v>0</v>
      </c>
      <c r="V192" s="6">
        <v>0</v>
      </c>
      <c r="Y192" t="s">
        <v>94</v>
      </c>
    </row>
    <row r="193" spans="1:25" x14ac:dyDescent="0.3">
      <c r="A193" t="s">
        <v>25</v>
      </c>
      <c r="B193" s="7">
        <v>45171</v>
      </c>
      <c r="C193" t="s">
        <v>26</v>
      </c>
      <c r="D193">
        <v>13</v>
      </c>
      <c r="E193">
        <v>2</v>
      </c>
      <c r="F193">
        <v>2</v>
      </c>
      <c r="G193" t="s">
        <v>27</v>
      </c>
      <c r="H193">
        <v>1</v>
      </c>
      <c r="I193" s="8">
        <v>0.375</v>
      </c>
      <c r="J193" s="8">
        <v>0.41666666666666669</v>
      </c>
      <c r="K193" s="9">
        <f t="shared" si="2"/>
        <v>1.0000000000000004</v>
      </c>
      <c r="L193" t="s">
        <v>28</v>
      </c>
      <c r="M193" t="s">
        <v>73</v>
      </c>
      <c r="N193" t="s">
        <v>38</v>
      </c>
      <c r="O193" s="3">
        <v>0</v>
      </c>
      <c r="P193" s="4">
        <v>0</v>
      </c>
      <c r="Q193" s="5">
        <v>0</v>
      </c>
      <c r="R193" s="6">
        <v>0</v>
      </c>
      <c r="S193" s="3">
        <v>0</v>
      </c>
      <c r="T193" s="4">
        <v>0</v>
      </c>
      <c r="U193" s="5">
        <v>2</v>
      </c>
      <c r="V193" s="6">
        <v>0</v>
      </c>
      <c r="Y193" t="s">
        <v>116</v>
      </c>
    </row>
    <row r="194" spans="1:25" x14ac:dyDescent="0.3">
      <c r="A194" t="s">
        <v>25</v>
      </c>
      <c r="B194" s="7">
        <v>45171</v>
      </c>
      <c r="C194" t="s">
        <v>26</v>
      </c>
      <c r="D194">
        <v>14</v>
      </c>
      <c r="E194">
        <v>2</v>
      </c>
      <c r="F194">
        <v>2</v>
      </c>
      <c r="G194" t="s">
        <v>27</v>
      </c>
      <c r="H194">
        <v>2</v>
      </c>
      <c r="I194" s="8">
        <v>0.27083333333333331</v>
      </c>
      <c r="J194" s="8">
        <v>0.4375</v>
      </c>
      <c r="K194" s="9">
        <f t="shared" si="2"/>
        <v>8</v>
      </c>
      <c r="L194" t="s">
        <v>28</v>
      </c>
      <c r="M194" t="s">
        <v>29</v>
      </c>
      <c r="N194" t="s">
        <v>32</v>
      </c>
      <c r="O194" s="3">
        <v>0</v>
      </c>
      <c r="P194" s="4">
        <v>0</v>
      </c>
      <c r="Q194" s="5">
        <v>3</v>
      </c>
      <c r="R194" s="6">
        <v>0</v>
      </c>
      <c r="S194" s="3">
        <v>0</v>
      </c>
      <c r="T194" s="4">
        <v>0</v>
      </c>
      <c r="U194" s="5">
        <v>0</v>
      </c>
      <c r="V194" s="6">
        <v>0</v>
      </c>
      <c r="Y194" t="s">
        <v>63</v>
      </c>
    </row>
    <row r="195" spans="1:25" x14ac:dyDescent="0.3">
      <c r="A195" t="s">
        <v>25</v>
      </c>
      <c r="B195" s="7">
        <v>45171</v>
      </c>
      <c r="C195" t="s">
        <v>26</v>
      </c>
      <c r="D195">
        <v>15</v>
      </c>
      <c r="E195">
        <v>2</v>
      </c>
      <c r="F195">
        <v>2</v>
      </c>
      <c r="G195" t="s">
        <v>27</v>
      </c>
      <c r="H195">
        <v>1</v>
      </c>
      <c r="I195" s="8">
        <v>0.25</v>
      </c>
      <c r="J195" s="8">
        <v>0.44791666666666669</v>
      </c>
      <c r="K195" s="9">
        <f t="shared" ref="K195:K258" si="3">(J195-I195)*24*H195</f>
        <v>4.75</v>
      </c>
      <c r="L195" t="s">
        <v>28</v>
      </c>
      <c r="M195" t="s">
        <v>29</v>
      </c>
      <c r="N195" t="s">
        <v>27</v>
      </c>
      <c r="O195" s="3">
        <v>0</v>
      </c>
      <c r="P195" s="4">
        <v>0</v>
      </c>
      <c r="Q195" s="5">
        <v>1</v>
      </c>
      <c r="R195" s="6">
        <v>0</v>
      </c>
      <c r="S195" s="3">
        <v>0</v>
      </c>
      <c r="T195" s="4">
        <v>0</v>
      </c>
      <c r="U195" s="5">
        <v>0</v>
      </c>
      <c r="V195" s="6">
        <v>0</v>
      </c>
      <c r="Y195" t="s">
        <v>63</v>
      </c>
    </row>
    <row r="196" spans="1:25" x14ac:dyDescent="0.3">
      <c r="A196" t="s">
        <v>25</v>
      </c>
      <c r="B196" s="7">
        <v>45171</v>
      </c>
      <c r="C196" t="s">
        <v>26</v>
      </c>
      <c r="D196">
        <v>16</v>
      </c>
      <c r="E196">
        <v>2</v>
      </c>
      <c r="F196">
        <v>2</v>
      </c>
      <c r="G196" t="s">
        <v>27</v>
      </c>
      <c r="H196">
        <v>1</v>
      </c>
      <c r="I196" s="8">
        <v>0.27083333333333331</v>
      </c>
      <c r="J196" s="8">
        <v>0.4513888888888889</v>
      </c>
      <c r="K196" s="9">
        <f t="shared" si="3"/>
        <v>4.3333333333333339</v>
      </c>
      <c r="L196" t="s">
        <v>25</v>
      </c>
      <c r="M196" t="s">
        <v>29</v>
      </c>
      <c r="N196" t="s">
        <v>55</v>
      </c>
      <c r="O196" s="3">
        <v>0</v>
      </c>
      <c r="P196" s="4">
        <v>0</v>
      </c>
      <c r="Q196" s="5">
        <v>0</v>
      </c>
      <c r="R196" s="6">
        <v>0</v>
      </c>
      <c r="S196" s="3">
        <v>0</v>
      </c>
      <c r="T196" s="4">
        <v>0</v>
      </c>
      <c r="U196" s="5">
        <v>0</v>
      </c>
      <c r="V196" s="6">
        <v>0</v>
      </c>
      <c r="Y196" t="s">
        <v>63</v>
      </c>
    </row>
    <row r="197" spans="1:25" x14ac:dyDescent="0.3">
      <c r="A197" t="s">
        <v>25</v>
      </c>
      <c r="B197" s="7">
        <v>45171</v>
      </c>
      <c r="C197" t="s">
        <v>26</v>
      </c>
      <c r="D197">
        <v>17</v>
      </c>
      <c r="E197">
        <v>2</v>
      </c>
      <c r="F197">
        <v>2</v>
      </c>
      <c r="G197" t="s">
        <v>27</v>
      </c>
      <c r="H197">
        <v>2</v>
      </c>
      <c r="I197" s="8">
        <v>0.26041666666666669</v>
      </c>
      <c r="J197" s="8">
        <v>0.45833333333333331</v>
      </c>
      <c r="K197" s="9">
        <f t="shared" si="3"/>
        <v>9.4999999999999982</v>
      </c>
      <c r="L197" t="s">
        <v>25</v>
      </c>
      <c r="M197" t="s">
        <v>82</v>
      </c>
      <c r="N197" t="s">
        <v>27</v>
      </c>
      <c r="O197" s="3">
        <v>0</v>
      </c>
      <c r="P197" s="4">
        <v>0</v>
      </c>
      <c r="Q197" s="5">
        <v>0</v>
      </c>
      <c r="R197" s="6">
        <v>0</v>
      </c>
      <c r="S197" s="3">
        <v>0</v>
      </c>
      <c r="T197" s="4">
        <v>0</v>
      </c>
      <c r="U197" s="5">
        <v>0</v>
      </c>
      <c r="V197" s="6">
        <v>0</v>
      </c>
      <c r="W197" t="s">
        <v>117</v>
      </c>
      <c r="Y197" t="s">
        <v>63</v>
      </c>
    </row>
    <row r="198" spans="1:25" x14ac:dyDescent="0.3">
      <c r="A198" t="s">
        <v>25</v>
      </c>
      <c r="B198" s="7">
        <v>45171</v>
      </c>
      <c r="C198" t="s">
        <v>26</v>
      </c>
      <c r="D198">
        <v>18</v>
      </c>
      <c r="E198">
        <v>2</v>
      </c>
      <c r="F198">
        <v>2</v>
      </c>
      <c r="G198" t="s">
        <v>27</v>
      </c>
      <c r="H198">
        <v>1</v>
      </c>
      <c r="I198" s="8">
        <v>0.375</v>
      </c>
      <c r="J198" s="8">
        <v>0.46875</v>
      </c>
      <c r="K198" s="9">
        <f t="shared" si="3"/>
        <v>2.25</v>
      </c>
      <c r="L198" t="s">
        <v>25</v>
      </c>
      <c r="M198" t="s">
        <v>29</v>
      </c>
      <c r="N198" t="s">
        <v>27</v>
      </c>
      <c r="O198" s="3">
        <v>0</v>
      </c>
      <c r="P198" s="4">
        <v>0</v>
      </c>
      <c r="Q198" s="5">
        <v>0</v>
      </c>
      <c r="R198" s="6">
        <v>0</v>
      </c>
      <c r="S198" s="3">
        <v>0</v>
      </c>
      <c r="T198" s="4">
        <v>0</v>
      </c>
      <c r="U198" s="5">
        <v>0</v>
      </c>
      <c r="V198" s="6">
        <v>0</v>
      </c>
      <c r="Y198" t="s">
        <v>81</v>
      </c>
    </row>
    <row r="199" spans="1:25" x14ac:dyDescent="0.3">
      <c r="A199" t="s">
        <v>25</v>
      </c>
      <c r="B199" s="7">
        <v>45171</v>
      </c>
      <c r="C199" t="s">
        <v>42</v>
      </c>
      <c r="D199">
        <v>19</v>
      </c>
      <c r="E199">
        <v>1</v>
      </c>
      <c r="F199">
        <v>1</v>
      </c>
      <c r="G199" t="s">
        <v>35</v>
      </c>
      <c r="H199">
        <v>3</v>
      </c>
      <c r="I199" s="8">
        <v>0.35416666666666669</v>
      </c>
      <c r="J199" s="8">
        <v>0.68263888888888891</v>
      </c>
      <c r="K199" s="9">
        <f t="shared" si="3"/>
        <v>23.65</v>
      </c>
      <c r="L199" t="s">
        <v>25</v>
      </c>
      <c r="M199" t="s">
        <v>49</v>
      </c>
      <c r="N199" t="s">
        <v>38</v>
      </c>
      <c r="O199" s="3">
        <v>0</v>
      </c>
      <c r="P199" s="4">
        <v>1</v>
      </c>
      <c r="Q199" s="5">
        <v>0</v>
      </c>
      <c r="R199" s="6">
        <v>0</v>
      </c>
      <c r="S199" s="3">
        <v>0</v>
      </c>
      <c r="T199" s="4">
        <v>0</v>
      </c>
      <c r="U199" s="5">
        <v>3</v>
      </c>
      <c r="V199" s="6">
        <v>0</v>
      </c>
      <c r="Y199" t="s">
        <v>118</v>
      </c>
    </row>
    <row r="200" spans="1:25" x14ac:dyDescent="0.3">
      <c r="A200" t="s">
        <v>25</v>
      </c>
      <c r="B200" s="7">
        <v>45171</v>
      </c>
      <c r="C200" t="s">
        <v>42</v>
      </c>
      <c r="D200">
        <v>20</v>
      </c>
      <c r="E200">
        <v>1</v>
      </c>
      <c r="F200">
        <v>1</v>
      </c>
      <c r="G200" t="s">
        <v>35</v>
      </c>
      <c r="H200">
        <v>1</v>
      </c>
      <c r="I200" s="8">
        <v>0.41666666666666669</v>
      </c>
      <c r="J200" s="8">
        <v>0.68402777777777779</v>
      </c>
      <c r="K200" s="9">
        <f t="shared" si="3"/>
        <v>6.4166666666666661</v>
      </c>
      <c r="L200" t="s">
        <v>25</v>
      </c>
      <c r="M200" t="s">
        <v>29</v>
      </c>
      <c r="N200" t="s">
        <v>27</v>
      </c>
      <c r="O200" s="3">
        <v>0</v>
      </c>
      <c r="P200" s="4">
        <v>0</v>
      </c>
      <c r="Q200" s="5">
        <v>3</v>
      </c>
      <c r="R200" s="6">
        <v>0</v>
      </c>
      <c r="S200" s="3">
        <v>0</v>
      </c>
      <c r="T200" s="4">
        <v>0</v>
      </c>
      <c r="U200" s="5">
        <v>0</v>
      </c>
      <c r="V200" s="6">
        <v>0</v>
      </c>
      <c r="Y200" t="s">
        <v>118</v>
      </c>
    </row>
    <row r="201" spans="1:25" x14ac:dyDescent="0.3">
      <c r="A201" t="s">
        <v>25</v>
      </c>
      <c r="B201" s="7">
        <v>45171</v>
      </c>
      <c r="C201" t="s">
        <v>42</v>
      </c>
      <c r="D201">
        <v>21</v>
      </c>
      <c r="E201">
        <v>1</v>
      </c>
      <c r="F201">
        <v>1</v>
      </c>
      <c r="G201" t="s">
        <v>35</v>
      </c>
      <c r="H201">
        <v>4</v>
      </c>
      <c r="I201" s="8">
        <v>0.64583333333333337</v>
      </c>
      <c r="J201" s="8">
        <v>0.6875</v>
      </c>
      <c r="K201" s="9">
        <f t="shared" si="3"/>
        <v>3.9999999999999964</v>
      </c>
      <c r="L201" t="s">
        <v>25</v>
      </c>
      <c r="M201" t="s">
        <v>29</v>
      </c>
      <c r="N201" t="s">
        <v>32</v>
      </c>
      <c r="O201" s="3">
        <v>0</v>
      </c>
      <c r="P201" s="4">
        <v>0</v>
      </c>
      <c r="Q201" s="5">
        <v>2</v>
      </c>
      <c r="R201" s="6">
        <v>0</v>
      </c>
      <c r="S201" s="3">
        <v>0</v>
      </c>
      <c r="T201" s="4">
        <v>0</v>
      </c>
      <c r="U201" s="5">
        <v>0</v>
      </c>
      <c r="V201" s="6">
        <v>0</v>
      </c>
      <c r="Y201" t="s">
        <v>118</v>
      </c>
    </row>
    <row r="202" spans="1:25" x14ac:dyDescent="0.3">
      <c r="A202" t="s">
        <v>25</v>
      </c>
      <c r="B202" s="7">
        <v>45171</v>
      </c>
      <c r="C202" t="s">
        <v>42</v>
      </c>
      <c r="D202">
        <v>22</v>
      </c>
      <c r="E202">
        <v>1</v>
      </c>
      <c r="F202">
        <v>2</v>
      </c>
      <c r="G202" t="s">
        <v>35</v>
      </c>
      <c r="H202">
        <v>2</v>
      </c>
      <c r="I202" s="8">
        <v>0.5</v>
      </c>
      <c r="J202" s="8">
        <v>0.69097222222222221</v>
      </c>
      <c r="K202" s="9">
        <f t="shared" si="3"/>
        <v>9.1666666666666661</v>
      </c>
      <c r="L202" t="s">
        <v>25</v>
      </c>
      <c r="M202" t="s">
        <v>29</v>
      </c>
      <c r="N202" t="s">
        <v>32</v>
      </c>
      <c r="O202" s="3">
        <v>0</v>
      </c>
      <c r="P202" s="4">
        <v>0</v>
      </c>
      <c r="Q202" s="5">
        <v>3</v>
      </c>
      <c r="R202" s="6">
        <v>0</v>
      </c>
      <c r="S202" s="3">
        <v>0</v>
      </c>
      <c r="T202" s="4">
        <v>0</v>
      </c>
      <c r="U202" s="5">
        <v>0</v>
      </c>
      <c r="V202" s="6">
        <v>0</v>
      </c>
      <c r="Y202" t="s">
        <v>88</v>
      </c>
    </row>
    <row r="203" spans="1:25" x14ac:dyDescent="0.3">
      <c r="A203" t="s">
        <v>25</v>
      </c>
      <c r="B203" s="7">
        <v>45171</v>
      </c>
      <c r="C203" t="s">
        <v>42</v>
      </c>
      <c r="D203">
        <v>23</v>
      </c>
      <c r="E203">
        <v>1</v>
      </c>
      <c r="F203">
        <v>4</v>
      </c>
      <c r="G203" t="s">
        <v>27</v>
      </c>
      <c r="H203">
        <v>2</v>
      </c>
      <c r="I203" s="8">
        <v>0.45833333333333331</v>
      </c>
      <c r="J203" s="8">
        <v>0.70972222222222225</v>
      </c>
      <c r="K203" s="9">
        <f t="shared" si="3"/>
        <v>12.06666666666667</v>
      </c>
      <c r="L203" t="s">
        <v>25</v>
      </c>
      <c r="M203" t="s">
        <v>29</v>
      </c>
      <c r="N203" t="s">
        <v>27</v>
      </c>
      <c r="O203" s="3">
        <v>0</v>
      </c>
      <c r="P203" s="4">
        <v>0</v>
      </c>
      <c r="Q203" s="5">
        <v>0</v>
      </c>
      <c r="R203" s="6">
        <v>0</v>
      </c>
      <c r="S203" s="3">
        <v>0</v>
      </c>
      <c r="T203" s="4">
        <v>0</v>
      </c>
      <c r="U203" s="5">
        <v>0</v>
      </c>
      <c r="V203" s="6">
        <v>0</v>
      </c>
      <c r="Y203" t="s">
        <v>71</v>
      </c>
    </row>
    <row r="204" spans="1:25" x14ac:dyDescent="0.3">
      <c r="A204" t="s">
        <v>25</v>
      </c>
      <c r="B204" s="7">
        <v>45171</v>
      </c>
      <c r="C204" t="s">
        <v>42</v>
      </c>
      <c r="D204">
        <v>24</v>
      </c>
      <c r="E204">
        <v>2</v>
      </c>
      <c r="F204">
        <v>2</v>
      </c>
      <c r="G204" t="s">
        <v>35</v>
      </c>
      <c r="H204">
        <v>1</v>
      </c>
      <c r="I204" s="8">
        <v>0.54166666666666663</v>
      </c>
      <c r="J204" s="8">
        <v>0.73125000000000007</v>
      </c>
      <c r="K204" s="9">
        <f t="shared" si="3"/>
        <v>4.5500000000000025</v>
      </c>
      <c r="L204" t="s">
        <v>25</v>
      </c>
      <c r="M204" t="s">
        <v>29</v>
      </c>
      <c r="N204" t="s">
        <v>38</v>
      </c>
      <c r="O204" s="3">
        <v>1</v>
      </c>
      <c r="P204" s="4">
        <v>0</v>
      </c>
      <c r="Q204" s="5">
        <v>2</v>
      </c>
      <c r="R204" s="6">
        <v>0</v>
      </c>
      <c r="S204" s="3">
        <v>0</v>
      </c>
      <c r="T204" s="4">
        <v>0</v>
      </c>
      <c r="U204" s="5">
        <v>5</v>
      </c>
      <c r="V204" s="6">
        <v>0</v>
      </c>
      <c r="Y204" t="s">
        <v>63</v>
      </c>
    </row>
    <row r="205" spans="1:25" x14ac:dyDescent="0.3">
      <c r="A205" t="s">
        <v>25</v>
      </c>
      <c r="B205" s="7">
        <v>45171</v>
      </c>
      <c r="C205" t="s">
        <v>42</v>
      </c>
      <c r="D205">
        <v>25</v>
      </c>
      <c r="E205">
        <v>2</v>
      </c>
      <c r="F205">
        <v>2</v>
      </c>
      <c r="G205" t="s">
        <v>27</v>
      </c>
      <c r="H205">
        <v>3</v>
      </c>
      <c r="I205" s="8">
        <v>0.58333333333333337</v>
      </c>
      <c r="J205" s="8">
        <v>0.7416666666666667</v>
      </c>
      <c r="K205" s="9">
        <f t="shared" si="3"/>
        <v>11.399999999999999</v>
      </c>
      <c r="L205" t="s">
        <v>25</v>
      </c>
      <c r="M205" t="s">
        <v>104</v>
      </c>
      <c r="N205" t="s">
        <v>32</v>
      </c>
      <c r="O205" s="3">
        <v>0</v>
      </c>
      <c r="P205" s="4">
        <v>0</v>
      </c>
      <c r="Q205" s="5">
        <v>2</v>
      </c>
      <c r="R205" s="6">
        <v>0</v>
      </c>
      <c r="S205" s="3">
        <v>0</v>
      </c>
      <c r="T205" s="4">
        <v>0</v>
      </c>
      <c r="U205" s="5">
        <v>0</v>
      </c>
      <c r="V205" s="6">
        <v>0</v>
      </c>
      <c r="Y205" t="s">
        <v>81</v>
      </c>
    </row>
    <row r="206" spans="1:25" x14ac:dyDescent="0.3">
      <c r="A206" t="s">
        <v>25</v>
      </c>
      <c r="B206" s="7">
        <v>45171</v>
      </c>
      <c r="C206" t="s">
        <v>42</v>
      </c>
      <c r="D206">
        <v>26</v>
      </c>
      <c r="E206">
        <v>2</v>
      </c>
      <c r="F206">
        <v>2</v>
      </c>
      <c r="G206" t="s">
        <v>27</v>
      </c>
      <c r="H206">
        <v>1</v>
      </c>
      <c r="I206" s="8">
        <v>0.625</v>
      </c>
      <c r="J206" s="8">
        <v>0.74305555555555547</v>
      </c>
      <c r="K206" s="9">
        <f t="shared" si="3"/>
        <v>2.8333333333333313</v>
      </c>
      <c r="L206" t="s">
        <v>25</v>
      </c>
      <c r="M206" t="s">
        <v>29</v>
      </c>
      <c r="N206" t="s">
        <v>27</v>
      </c>
      <c r="O206" s="3">
        <v>0</v>
      </c>
      <c r="P206" s="4">
        <v>0</v>
      </c>
      <c r="Q206" s="5">
        <v>0</v>
      </c>
      <c r="R206" s="6">
        <v>0</v>
      </c>
      <c r="S206" s="3">
        <v>0</v>
      </c>
      <c r="T206" s="4">
        <v>0</v>
      </c>
      <c r="U206" s="5">
        <v>1</v>
      </c>
      <c r="V206" s="6">
        <v>0</v>
      </c>
      <c r="Y206" t="s">
        <v>81</v>
      </c>
    </row>
    <row r="207" spans="1:25" x14ac:dyDescent="0.3">
      <c r="A207" t="s">
        <v>25</v>
      </c>
      <c r="B207" s="7">
        <v>45171</v>
      </c>
      <c r="C207" t="s">
        <v>42</v>
      </c>
      <c r="D207">
        <v>27</v>
      </c>
      <c r="E207">
        <v>2</v>
      </c>
      <c r="F207">
        <v>2</v>
      </c>
      <c r="G207" t="s">
        <v>27</v>
      </c>
      <c r="H207">
        <v>1</v>
      </c>
      <c r="I207" s="8">
        <v>0.70833333333333337</v>
      </c>
      <c r="J207" s="8">
        <v>0.75</v>
      </c>
      <c r="K207" s="9">
        <f t="shared" si="3"/>
        <v>0.99999999999999911</v>
      </c>
      <c r="L207" t="s">
        <v>25</v>
      </c>
      <c r="M207" t="s">
        <v>29</v>
      </c>
      <c r="N207" t="s">
        <v>32</v>
      </c>
      <c r="O207" s="3">
        <v>0</v>
      </c>
      <c r="P207" s="4">
        <v>0</v>
      </c>
      <c r="Q207" s="5">
        <v>0</v>
      </c>
      <c r="R207" s="6">
        <v>0</v>
      </c>
      <c r="S207" s="3">
        <v>0</v>
      </c>
      <c r="T207" s="4">
        <v>0</v>
      </c>
      <c r="U207" s="5">
        <v>0</v>
      </c>
      <c r="V207" s="6">
        <v>0</v>
      </c>
      <c r="Y207" t="s">
        <v>81</v>
      </c>
    </row>
    <row r="208" spans="1:25" x14ac:dyDescent="0.3">
      <c r="A208" t="s">
        <v>25</v>
      </c>
      <c r="B208" s="7">
        <v>45171</v>
      </c>
      <c r="C208" t="s">
        <v>42</v>
      </c>
      <c r="D208">
        <v>28</v>
      </c>
      <c r="E208">
        <v>2</v>
      </c>
      <c r="F208">
        <v>3</v>
      </c>
      <c r="G208" t="s">
        <v>27</v>
      </c>
      <c r="H208">
        <v>1</v>
      </c>
      <c r="I208" s="8">
        <v>0.72222222222222221</v>
      </c>
      <c r="J208" s="8">
        <v>0.76388888888888884</v>
      </c>
      <c r="K208" s="9">
        <f t="shared" si="3"/>
        <v>0.99999999999999911</v>
      </c>
      <c r="L208" t="s">
        <v>25</v>
      </c>
      <c r="M208" t="s">
        <v>29</v>
      </c>
      <c r="N208" t="s">
        <v>27</v>
      </c>
      <c r="O208" s="3">
        <v>0</v>
      </c>
      <c r="P208" s="4">
        <v>0</v>
      </c>
      <c r="Q208" s="5">
        <v>1</v>
      </c>
      <c r="R208" s="6">
        <v>0</v>
      </c>
      <c r="S208" s="3">
        <v>0</v>
      </c>
      <c r="T208" s="4">
        <v>0</v>
      </c>
      <c r="U208" s="5">
        <v>0</v>
      </c>
      <c r="V208" s="6">
        <v>0</v>
      </c>
      <c r="Y208" t="s">
        <v>74</v>
      </c>
    </row>
    <row r="209" spans="1:25" x14ac:dyDescent="0.3">
      <c r="A209" t="s">
        <v>25</v>
      </c>
      <c r="B209" s="7">
        <v>45171</v>
      </c>
      <c r="C209" t="s">
        <v>42</v>
      </c>
      <c r="D209">
        <v>29</v>
      </c>
      <c r="E209">
        <v>2</v>
      </c>
      <c r="F209">
        <v>3</v>
      </c>
      <c r="G209" t="s">
        <v>27</v>
      </c>
      <c r="H209">
        <v>1</v>
      </c>
      <c r="I209" s="8">
        <v>0.73263888888888884</v>
      </c>
      <c r="J209" s="8">
        <v>0.77430555555555547</v>
      </c>
      <c r="K209" s="9">
        <f t="shared" si="3"/>
        <v>0.99999999999999911</v>
      </c>
      <c r="L209" t="s">
        <v>28</v>
      </c>
      <c r="M209" t="s">
        <v>99</v>
      </c>
      <c r="N209" t="s">
        <v>27</v>
      </c>
      <c r="O209" s="3">
        <v>0</v>
      </c>
      <c r="P209" s="4">
        <v>0</v>
      </c>
      <c r="Q209" s="5">
        <v>0</v>
      </c>
      <c r="R209" s="6">
        <v>0</v>
      </c>
      <c r="S209" s="3">
        <v>0</v>
      </c>
      <c r="T209" s="4">
        <v>0</v>
      </c>
      <c r="U209" s="5">
        <v>0</v>
      </c>
      <c r="V209" s="6">
        <v>0</v>
      </c>
      <c r="Y209" t="s">
        <v>83</v>
      </c>
    </row>
    <row r="210" spans="1:25" x14ac:dyDescent="0.3">
      <c r="A210" t="s">
        <v>25</v>
      </c>
      <c r="B210" s="7">
        <v>45171</v>
      </c>
      <c r="C210" t="s">
        <v>42</v>
      </c>
      <c r="D210">
        <v>30</v>
      </c>
      <c r="E210">
        <v>2</v>
      </c>
      <c r="F210">
        <v>3</v>
      </c>
      <c r="G210" t="s">
        <v>27</v>
      </c>
      <c r="H210">
        <v>2</v>
      </c>
      <c r="I210" s="8">
        <v>0.70833333333333337</v>
      </c>
      <c r="J210" s="8">
        <v>0.79166666666666663</v>
      </c>
      <c r="K210" s="9">
        <f t="shared" si="3"/>
        <v>3.9999999999999964</v>
      </c>
      <c r="L210" t="s">
        <v>28</v>
      </c>
      <c r="M210" t="s">
        <v>56</v>
      </c>
      <c r="N210" t="s">
        <v>50</v>
      </c>
      <c r="O210" s="3">
        <v>1</v>
      </c>
      <c r="P210" s="4">
        <v>0</v>
      </c>
      <c r="Q210" s="5">
        <v>0</v>
      </c>
      <c r="R210" s="6">
        <v>0</v>
      </c>
      <c r="S210" s="3">
        <v>0</v>
      </c>
      <c r="T210" s="4">
        <v>0</v>
      </c>
      <c r="U210" s="5">
        <v>2</v>
      </c>
      <c r="V210" s="6">
        <v>0</v>
      </c>
      <c r="Y210" t="s">
        <v>119</v>
      </c>
    </row>
    <row r="211" spans="1:25" x14ac:dyDescent="0.3">
      <c r="A211" t="s">
        <v>25</v>
      </c>
      <c r="B211" s="7">
        <v>45171</v>
      </c>
      <c r="C211" t="s">
        <v>42</v>
      </c>
      <c r="D211">
        <v>31</v>
      </c>
      <c r="E211">
        <v>2</v>
      </c>
      <c r="F211">
        <v>4</v>
      </c>
      <c r="G211" t="s">
        <v>27</v>
      </c>
      <c r="H211">
        <v>5</v>
      </c>
      <c r="I211" s="8">
        <v>0.29166666666666669</v>
      </c>
      <c r="J211" s="8">
        <v>0.79166666666666663</v>
      </c>
      <c r="K211" s="9">
        <f t="shared" si="3"/>
        <v>59.999999999999993</v>
      </c>
      <c r="L211" t="s">
        <v>25</v>
      </c>
      <c r="M211" t="s">
        <v>82</v>
      </c>
      <c r="N211" t="s">
        <v>75</v>
      </c>
      <c r="O211" s="3">
        <v>0</v>
      </c>
      <c r="P211" s="4">
        <v>0</v>
      </c>
      <c r="Q211" s="5">
        <v>8</v>
      </c>
      <c r="R211" s="6">
        <v>0</v>
      </c>
      <c r="S211" s="3">
        <v>0</v>
      </c>
      <c r="T211" s="4">
        <v>0</v>
      </c>
      <c r="U211" s="5">
        <v>25</v>
      </c>
      <c r="V211" s="6">
        <v>0</v>
      </c>
      <c r="Y211" t="s">
        <v>84</v>
      </c>
    </row>
    <row r="212" spans="1:25" x14ac:dyDescent="0.3">
      <c r="A212" t="s">
        <v>25</v>
      </c>
      <c r="B212" s="7">
        <v>45171</v>
      </c>
      <c r="C212" t="s">
        <v>42</v>
      </c>
      <c r="D212">
        <v>32</v>
      </c>
      <c r="E212">
        <v>2</v>
      </c>
      <c r="F212">
        <v>4</v>
      </c>
      <c r="G212" t="s">
        <v>27</v>
      </c>
      <c r="H212">
        <v>1</v>
      </c>
      <c r="I212" s="8">
        <v>0.54166666666666663</v>
      </c>
      <c r="J212" s="8">
        <v>0.79166666666666663</v>
      </c>
      <c r="K212" s="9">
        <f t="shared" si="3"/>
        <v>6</v>
      </c>
      <c r="L212" t="s">
        <v>25</v>
      </c>
      <c r="M212" t="s">
        <v>56</v>
      </c>
      <c r="N212" t="s">
        <v>50</v>
      </c>
      <c r="O212" s="3">
        <v>1</v>
      </c>
      <c r="P212" s="4">
        <v>0</v>
      </c>
      <c r="Q212" s="5">
        <v>0</v>
      </c>
      <c r="R212" s="6">
        <v>0</v>
      </c>
      <c r="S212" s="3">
        <v>0</v>
      </c>
      <c r="T212" s="4">
        <v>0</v>
      </c>
      <c r="U212" s="5">
        <v>0</v>
      </c>
      <c r="V212" s="6">
        <v>0</v>
      </c>
      <c r="Y212" t="s">
        <v>84</v>
      </c>
    </row>
    <row r="213" spans="1:25" x14ac:dyDescent="0.3">
      <c r="A213" t="s">
        <v>25</v>
      </c>
      <c r="B213" s="7">
        <v>45171</v>
      </c>
      <c r="C213" t="s">
        <v>42</v>
      </c>
      <c r="D213">
        <v>33</v>
      </c>
      <c r="E213">
        <v>2</v>
      </c>
      <c r="F213">
        <v>4</v>
      </c>
      <c r="G213" t="s">
        <v>27</v>
      </c>
      <c r="H213">
        <v>1</v>
      </c>
      <c r="I213" s="8">
        <v>0.75</v>
      </c>
      <c r="J213" s="8">
        <v>0.80208333333333337</v>
      </c>
      <c r="K213" s="9">
        <f t="shared" si="3"/>
        <v>1.2500000000000009</v>
      </c>
      <c r="L213" t="s">
        <v>28</v>
      </c>
      <c r="M213" t="s">
        <v>29</v>
      </c>
      <c r="N213" t="s">
        <v>32</v>
      </c>
      <c r="O213" s="3">
        <v>0</v>
      </c>
      <c r="P213" s="4">
        <v>0</v>
      </c>
      <c r="Q213" s="5">
        <v>3</v>
      </c>
      <c r="R213" s="6">
        <v>0</v>
      </c>
      <c r="S213" s="3">
        <v>0</v>
      </c>
      <c r="T213" s="4">
        <v>0</v>
      </c>
      <c r="U213" s="5">
        <v>1</v>
      </c>
      <c r="V213" s="6">
        <v>0</v>
      </c>
      <c r="Y213" t="s">
        <v>84</v>
      </c>
    </row>
    <row r="214" spans="1:25" x14ac:dyDescent="0.3">
      <c r="A214" t="s">
        <v>25</v>
      </c>
      <c r="B214" s="7">
        <v>45171</v>
      </c>
      <c r="C214" t="s">
        <v>42</v>
      </c>
      <c r="D214">
        <v>34</v>
      </c>
      <c r="E214">
        <v>2</v>
      </c>
      <c r="F214">
        <v>4</v>
      </c>
      <c r="G214" t="s">
        <v>27</v>
      </c>
      <c r="H214">
        <v>1</v>
      </c>
      <c r="I214" s="8">
        <v>0.72916666666666663</v>
      </c>
      <c r="J214" s="8">
        <v>0.8125</v>
      </c>
      <c r="K214" s="9">
        <f t="shared" si="3"/>
        <v>2.0000000000000009</v>
      </c>
      <c r="L214" t="s">
        <v>25</v>
      </c>
      <c r="M214" t="s">
        <v>49</v>
      </c>
      <c r="N214" t="s">
        <v>27</v>
      </c>
      <c r="O214" s="3">
        <v>0</v>
      </c>
      <c r="P214" s="4">
        <v>0</v>
      </c>
      <c r="Q214" s="5">
        <v>0</v>
      </c>
      <c r="R214" s="6">
        <v>0</v>
      </c>
      <c r="S214" s="3">
        <v>0</v>
      </c>
      <c r="T214" s="4">
        <v>0</v>
      </c>
      <c r="U214" s="5">
        <v>0</v>
      </c>
      <c r="V214" s="6">
        <v>0</v>
      </c>
      <c r="Y214" t="s">
        <v>84</v>
      </c>
    </row>
    <row r="215" spans="1:25" x14ac:dyDescent="0.3">
      <c r="A215" t="s">
        <v>25</v>
      </c>
      <c r="B215" s="7">
        <v>45171</v>
      </c>
      <c r="C215" t="s">
        <v>42</v>
      </c>
      <c r="D215">
        <v>35</v>
      </c>
      <c r="E215">
        <v>2</v>
      </c>
      <c r="F215">
        <v>4</v>
      </c>
      <c r="G215" t="s">
        <v>27</v>
      </c>
      <c r="H215">
        <v>3</v>
      </c>
      <c r="I215" s="8">
        <v>0.70833333333333337</v>
      </c>
      <c r="J215" s="8">
        <v>0.79166666666666663</v>
      </c>
      <c r="K215" s="9">
        <f t="shared" si="3"/>
        <v>5.9999999999999947</v>
      </c>
      <c r="L215" t="s">
        <v>25</v>
      </c>
      <c r="M215" t="s">
        <v>51</v>
      </c>
      <c r="N215" t="s">
        <v>27</v>
      </c>
      <c r="O215" s="3">
        <v>0</v>
      </c>
      <c r="P215" s="4">
        <v>0</v>
      </c>
      <c r="Q215" s="5">
        <v>4</v>
      </c>
      <c r="R215" s="6">
        <v>0</v>
      </c>
      <c r="S215" s="3">
        <v>0</v>
      </c>
      <c r="T215" s="4">
        <v>0</v>
      </c>
      <c r="U215" s="5">
        <v>0</v>
      </c>
      <c r="V215" s="6">
        <v>0</v>
      </c>
      <c r="Y215" t="s">
        <v>96</v>
      </c>
    </row>
    <row r="216" spans="1:25" x14ac:dyDescent="0.3">
      <c r="A216" t="s">
        <v>25</v>
      </c>
      <c r="B216" s="7">
        <v>45171</v>
      </c>
      <c r="C216" t="s">
        <v>42</v>
      </c>
      <c r="D216">
        <v>36</v>
      </c>
      <c r="E216">
        <v>2</v>
      </c>
      <c r="F216">
        <v>5</v>
      </c>
      <c r="G216" t="s">
        <v>27</v>
      </c>
      <c r="H216">
        <v>1</v>
      </c>
      <c r="I216" s="8">
        <v>0.75</v>
      </c>
      <c r="J216" s="8">
        <v>0.84444444444444444</v>
      </c>
      <c r="K216" s="9">
        <f t="shared" si="3"/>
        <v>2.2666666666666666</v>
      </c>
      <c r="L216" t="s">
        <v>25</v>
      </c>
      <c r="M216" t="s">
        <v>82</v>
      </c>
      <c r="N216" t="s">
        <v>50</v>
      </c>
      <c r="O216" s="3">
        <v>0</v>
      </c>
      <c r="P216" s="4">
        <v>0</v>
      </c>
      <c r="Q216" s="5">
        <v>0</v>
      </c>
      <c r="R216" s="6">
        <v>0</v>
      </c>
      <c r="S216" s="3">
        <v>0</v>
      </c>
      <c r="T216" s="4">
        <v>0</v>
      </c>
      <c r="U216" s="5">
        <v>0</v>
      </c>
      <c r="V216" s="6">
        <v>0</v>
      </c>
      <c r="Y216" t="s">
        <v>66</v>
      </c>
    </row>
    <row r="217" spans="1:25" x14ac:dyDescent="0.3">
      <c r="A217" t="s">
        <v>25</v>
      </c>
      <c r="B217" s="7">
        <v>45175</v>
      </c>
      <c r="C217" t="s">
        <v>26</v>
      </c>
      <c r="D217">
        <v>1</v>
      </c>
      <c r="E217">
        <v>2</v>
      </c>
      <c r="F217">
        <v>2</v>
      </c>
      <c r="G217" t="s">
        <v>27</v>
      </c>
      <c r="H217">
        <v>1</v>
      </c>
      <c r="I217" s="8">
        <v>0.25</v>
      </c>
      <c r="J217" s="8">
        <v>0.27430555555555552</v>
      </c>
      <c r="K217" s="9">
        <f t="shared" si="3"/>
        <v>0.58333333333333259</v>
      </c>
      <c r="L217" t="s">
        <v>28</v>
      </c>
      <c r="M217" t="s">
        <v>73</v>
      </c>
      <c r="N217" t="s">
        <v>38</v>
      </c>
      <c r="O217" s="3">
        <v>0</v>
      </c>
      <c r="P217" s="4">
        <v>0</v>
      </c>
      <c r="Q217" s="5">
        <v>0</v>
      </c>
      <c r="R217" s="6">
        <v>0</v>
      </c>
      <c r="S217" s="3">
        <v>0</v>
      </c>
      <c r="T217" s="4">
        <v>0</v>
      </c>
      <c r="U217" s="5">
        <v>0</v>
      </c>
      <c r="V217" s="6">
        <v>0</v>
      </c>
      <c r="Y217" t="s">
        <v>120</v>
      </c>
    </row>
    <row r="218" spans="1:25" x14ac:dyDescent="0.3">
      <c r="A218" t="s">
        <v>25</v>
      </c>
      <c r="B218" s="7">
        <v>45175</v>
      </c>
      <c r="C218" t="s">
        <v>26</v>
      </c>
      <c r="D218">
        <v>2</v>
      </c>
      <c r="E218">
        <v>2</v>
      </c>
      <c r="F218">
        <v>2</v>
      </c>
      <c r="G218" t="s">
        <v>27</v>
      </c>
      <c r="H218">
        <v>1</v>
      </c>
      <c r="I218" s="8">
        <v>0.25</v>
      </c>
      <c r="J218" s="8">
        <v>0.27430555555555552</v>
      </c>
      <c r="K218" s="9">
        <f t="shared" si="3"/>
        <v>0.58333333333333259</v>
      </c>
      <c r="L218" t="s">
        <v>28</v>
      </c>
      <c r="M218" t="s">
        <v>29</v>
      </c>
      <c r="N218" t="s">
        <v>27</v>
      </c>
      <c r="O218" s="3">
        <v>0</v>
      </c>
      <c r="P218" s="4">
        <v>0</v>
      </c>
      <c r="Q218" s="5">
        <v>0</v>
      </c>
      <c r="R218" s="6">
        <v>0</v>
      </c>
      <c r="S218" s="3">
        <v>0</v>
      </c>
      <c r="T218" s="4">
        <v>0</v>
      </c>
      <c r="U218" s="5">
        <v>1</v>
      </c>
      <c r="V218" s="6">
        <v>0</v>
      </c>
      <c r="Y218" t="s">
        <v>121</v>
      </c>
    </row>
    <row r="219" spans="1:25" x14ac:dyDescent="0.3">
      <c r="A219" t="s">
        <v>25</v>
      </c>
      <c r="B219" s="7">
        <v>45175</v>
      </c>
      <c r="C219" t="s">
        <v>26</v>
      </c>
      <c r="D219">
        <v>3</v>
      </c>
      <c r="E219">
        <v>2</v>
      </c>
      <c r="F219">
        <v>2</v>
      </c>
      <c r="G219" t="s">
        <v>27</v>
      </c>
      <c r="H219">
        <v>1</v>
      </c>
      <c r="I219" s="8">
        <v>0.25</v>
      </c>
      <c r="J219" s="8">
        <v>0.28888888888888892</v>
      </c>
      <c r="K219" s="9">
        <f t="shared" si="3"/>
        <v>0.93333333333333401</v>
      </c>
      <c r="L219" t="s">
        <v>28</v>
      </c>
      <c r="M219" t="s">
        <v>29</v>
      </c>
      <c r="N219" t="s">
        <v>75</v>
      </c>
      <c r="O219" s="3">
        <v>0</v>
      </c>
      <c r="P219" s="4">
        <v>0</v>
      </c>
      <c r="Q219" s="5">
        <v>1</v>
      </c>
      <c r="R219" s="6">
        <v>0</v>
      </c>
      <c r="S219" s="3">
        <v>0</v>
      </c>
      <c r="T219" s="4">
        <v>0</v>
      </c>
      <c r="U219" s="5">
        <v>0</v>
      </c>
      <c r="V219" s="6">
        <v>0</v>
      </c>
      <c r="Y219" t="s">
        <v>122</v>
      </c>
    </row>
    <row r="220" spans="1:25" x14ac:dyDescent="0.3">
      <c r="A220" t="s">
        <v>25</v>
      </c>
      <c r="B220" s="7">
        <v>45175</v>
      </c>
      <c r="C220" t="s">
        <v>26</v>
      </c>
      <c r="D220">
        <v>4</v>
      </c>
      <c r="E220">
        <v>2</v>
      </c>
      <c r="F220">
        <v>2</v>
      </c>
      <c r="G220" t="s">
        <v>27</v>
      </c>
      <c r="H220">
        <v>1</v>
      </c>
      <c r="I220" s="8">
        <v>0.23958333333333334</v>
      </c>
      <c r="J220" s="8">
        <v>0.28888888888888892</v>
      </c>
      <c r="K220" s="9">
        <f t="shared" si="3"/>
        <v>1.1833333333333338</v>
      </c>
      <c r="L220" t="s">
        <v>28</v>
      </c>
      <c r="M220" t="s">
        <v>29</v>
      </c>
      <c r="N220" t="s">
        <v>27</v>
      </c>
      <c r="O220" s="3">
        <v>1</v>
      </c>
      <c r="P220" s="4">
        <v>0</v>
      </c>
      <c r="Q220" s="5">
        <v>0</v>
      </c>
      <c r="R220" s="6">
        <v>0</v>
      </c>
      <c r="S220" s="3">
        <v>0</v>
      </c>
      <c r="T220" s="4">
        <v>0</v>
      </c>
      <c r="U220" s="5">
        <v>1</v>
      </c>
      <c r="V220" s="6">
        <v>0</v>
      </c>
      <c r="Y220" t="s">
        <v>122</v>
      </c>
    </row>
    <row r="221" spans="1:25" x14ac:dyDescent="0.3">
      <c r="A221" t="s">
        <v>25</v>
      </c>
      <c r="B221" s="7">
        <v>45175</v>
      </c>
      <c r="C221" t="s">
        <v>26</v>
      </c>
      <c r="D221">
        <v>5</v>
      </c>
      <c r="E221">
        <v>2</v>
      </c>
      <c r="F221">
        <v>2</v>
      </c>
      <c r="G221" t="s">
        <v>27</v>
      </c>
      <c r="H221">
        <v>3</v>
      </c>
      <c r="I221" s="8">
        <v>0.22916666666666666</v>
      </c>
      <c r="J221" s="8">
        <v>0.30624999999999997</v>
      </c>
      <c r="K221" s="9">
        <f t="shared" si="3"/>
        <v>5.549999999999998</v>
      </c>
      <c r="L221" t="s">
        <v>25</v>
      </c>
      <c r="M221" t="s">
        <v>29</v>
      </c>
      <c r="N221" t="s">
        <v>38</v>
      </c>
      <c r="O221" s="3">
        <v>0</v>
      </c>
      <c r="P221" s="4">
        <v>0</v>
      </c>
      <c r="Q221" s="5">
        <v>0</v>
      </c>
      <c r="R221" s="6">
        <v>0</v>
      </c>
      <c r="S221" s="3">
        <v>0</v>
      </c>
      <c r="T221" s="4">
        <v>0</v>
      </c>
      <c r="U221" s="5">
        <v>0</v>
      </c>
      <c r="V221" s="6">
        <v>0</v>
      </c>
      <c r="Y221" t="s">
        <v>123</v>
      </c>
    </row>
    <row r="222" spans="1:25" x14ac:dyDescent="0.3">
      <c r="A222" t="s">
        <v>25</v>
      </c>
      <c r="B222" s="7">
        <v>45175</v>
      </c>
      <c r="C222" t="s">
        <v>26</v>
      </c>
      <c r="D222">
        <v>6</v>
      </c>
      <c r="E222">
        <v>2</v>
      </c>
      <c r="F222">
        <v>2</v>
      </c>
      <c r="G222" t="s">
        <v>27</v>
      </c>
      <c r="H222">
        <v>1</v>
      </c>
      <c r="I222" s="8">
        <v>0.27083333333333331</v>
      </c>
      <c r="J222" s="8">
        <v>0.31597222222222221</v>
      </c>
      <c r="K222" s="9">
        <f t="shared" si="3"/>
        <v>1.0833333333333335</v>
      </c>
      <c r="L222" t="s">
        <v>25</v>
      </c>
      <c r="M222" t="s">
        <v>29</v>
      </c>
      <c r="N222" t="s">
        <v>75</v>
      </c>
      <c r="O222" s="3">
        <v>0</v>
      </c>
      <c r="P222" s="4">
        <v>0</v>
      </c>
      <c r="Q222" s="5">
        <v>0</v>
      </c>
      <c r="R222" s="6">
        <v>0</v>
      </c>
      <c r="S222" s="3">
        <v>0</v>
      </c>
      <c r="T222" s="4">
        <v>0</v>
      </c>
      <c r="U222" s="5">
        <v>0</v>
      </c>
      <c r="V222" s="6">
        <v>0</v>
      </c>
      <c r="Y222" t="s">
        <v>123</v>
      </c>
    </row>
    <row r="223" spans="1:25" x14ac:dyDescent="0.3">
      <c r="A223" t="s">
        <v>25</v>
      </c>
      <c r="B223" s="7">
        <v>45175</v>
      </c>
      <c r="C223" t="s">
        <v>26</v>
      </c>
      <c r="D223">
        <v>7</v>
      </c>
      <c r="E223">
        <v>2</v>
      </c>
      <c r="F223">
        <v>2</v>
      </c>
      <c r="G223" t="s">
        <v>27</v>
      </c>
      <c r="H223">
        <v>1</v>
      </c>
      <c r="I223" s="8">
        <v>0.24097222222222223</v>
      </c>
      <c r="J223" s="8">
        <v>0.32291666666666669</v>
      </c>
      <c r="K223" s="9">
        <f t="shared" si="3"/>
        <v>1.966666666666667</v>
      </c>
      <c r="L223" t="s">
        <v>28</v>
      </c>
      <c r="M223" t="s">
        <v>124</v>
      </c>
      <c r="N223" t="s">
        <v>50</v>
      </c>
      <c r="O223" s="3">
        <v>1</v>
      </c>
      <c r="P223" s="4">
        <v>0</v>
      </c>
      <c r="Q223" s="5">
        <v>0</v>
      </c>
      <c r="R223" s="6">
        <v>0</v>
      </c>
      <c r="S223" s="3">
        <v>0</v>
      </c>
      <c r="T223" s="4">
        <v>0</v>
      </c>
      <c r="U223" s="5">
        <v>0</v>
      </c>
      <c r="V223" s="6">
        <v>0</v>
      </c>
      <c r="Y223" t="s">
        <v>123</v>
      </c>
    </row>
    <row r="224" spans="1:25" x14ac:dyDescent="0.3">
      <c r="A224" t="s">
        <v>25</v>
      </c>
      <c r="B224" s="7">
        <v>45175</v>
      </c>
      <c r="C224" t="s">
        <v>26</v>
      </c>
      <c r="D224">
        <v>8</v>
      </c>
      <c r="E224">
        <v>2</v>
      </c>
      <c r="F224">
        <v>2</v>
      </c>
      <c r="G224" t="s">
        <v>27</v>
      </c>
      <c r="H224">
        <v>1</v>
      </c>
      <c r="I224" s="8">
        <v>0.1875</v>
      </c>
      <c r="J224" s="8">
        <v>0.23958333333333334</v>
      </c>
      <c r="K224" s="9">
        <f t="shared" si="3"/>
        <v>1.2500000000000002</v>
      </c>
      <c r="L224" t="s">
        <v>25</v>
      </c>
      <c r="M224" t="s">
        <v>125</v>
      </c>
      <c r="N224" t="s">
        <v>50</v>
      </c>
      <c r="O224" s="3">
        <v>2</v>
      </c>
      <c r="P224" s="4">
        <v>1</v>
      </c>
      <c r="Q224" s="5">
        <v>0</v>
      </c>
      <c r="R224" s="6">
        <v>0</v>
      </c>
      <c r="S224" s="3">
        <v>0</v>
      </c>
      <c r="T224" s="4">
        <v>0</v>
      </c>
      <c r="U224" s="5">
        <v>0</v>
      </c>
      <c r="V224" s="6">
        <v>0</v>
      </c>
      <c r="Y224" t="s">
        <v>126</v>
      </c>
    </row>
    <row r="225" spans="1:25" x14ac:dyDescent="0.3">
      <c r="A225" t="s">
        <v>25</v>
      </c>
      <c r="B225" s="7">
        <v>45175</v>
      </c>
      <c r="C225" t="s">
        <v>26</v>
      </c>
      <c r="D225">
        <v>9</v>
      </c>
      <c r="E225">
        <v>2</v>
      </c>
      <c r="F225">
        <v>2</v>
      </c>
      <c r="G225" t="s">
        <v>27</v>
      </c>
      <c r="H225">
        <v>1</v>
      </c>
      <c r="I225" s="8">
        <v>0.29166666666666669</v>
      </c>
      <c r="J225" s="8">
        <v>0.32500000000000001</v>
      </c>
      <c r="K225" s="9">
        <f t="shared" si="3"/>
        <v>0.79999999999999982</v>
      </c>
      <c r="L225" t="s">
        <v>28</v>
      </c>
      <c r="M225" t="s">
        <v>56</v>
      </c>
      <c r="N225" t="s">
        <v>55</v>
      </c>
      <c r="O225" s="3">
        <v>0</v>
      </c>
      <c r="P225" s="4">
        <v>0</v>
      </c>
      <c r="Q225" s="5">
        <v>0</v>
      </c>
      <c r="R225" s="6">
        <v>0</v>
      </c>
      <c r="S225" s="3">
        <v>0</v>
      </c>
      <c r="T225" s="4">
        <v>0</v>
      </c>
      <c r="U225" s="5">
        <v>0</v>
      </c>
      <c r="V225" s="6">
        <v>0</v>
      </c>
      <c r="Y225" t="s">
        <v>123</v>
      </c>
    </row>
    <row r="226" spans="1:25" x14ac:dyDescent="0.3">
      <c r="A226" t="s">
        <v>25</v>
      </c>
      <c r="B226" s="7">
        <v>45175</v>
      </c>
      <c r="C226" t="s">
        <v>26</v>
      </c>
      <c r="D226">
        <v>10</v>
      </c>
      <c r="E226">
        <v>2</v>
      </c>
      <c r="F226">
        <v>2</v>
      </c>
      <c r="G226" t="s">
        <v>27</v>
      </c>
      <c r="H226">
        <v>1</v>
      </c>
      <c r="I226" s="8">
        <v>0.27777777777777779</v>
      </c>
      <c r="J226" s="8">
        <v>0.3347222222222222</v>
      </c>
      <c r="K226" s="9">
        <f t="shared" si="3"/>
        <v>1.3666666666666658</v>
      </c>
      <c r="L226" t="s">
        <v>25</v>
      </c>
      <c r="M226" t="s">
        <v>56</v>
      </c>
      <c r="N226" t="s">
        <v>50</v>
      </c>
      <c r="O226" s="3">
        <v>1</v>
      </c>
      <c r="P226" s="4">
        <v>0</v>
      </c>
      <c r="Q226" s="5">
        <v>0</v>
      </c>
      <c r="R226" s="6">
        <v>0</v>
      </c>
      <c r="S226" s="3">
        <v>0</v>
      </c>
      <c r="T226" s="4">
        <v>0</v>
      </c>
      <c r="U226" s="5">
        <v>0</v>
      </c>
      <c r="V226" s="6">
        <v>0</v>
      </c>
      <c r="Y226" t="s">
        <v>127</v>
      </c>
    </row>
    <row r="227" spans="1:25" x14ac:dyDescent="0.3">
      <c r="A227" t="s">
        <v>25</v>
      </c>
      <c r="B227" s="7">
        <v>45175</v>
      </c>
      <c r="C227" t="s">
        <v>26</v>
      </c>
      <c r="D227">
        <v>11</v>
      </c>
      <c r="E227">
        <v>2</v>
      </c>
      <c r="F227">
        <v>3</v>
      </c>
      <c r="G227" t="s">
        <v>27</v>
      </c>
      <c r="H227">
        <v>2</v>
      </c>
      <c r="I227" s="8">
        <v>0.26041666666666669</v>
      </c>
      <c r="J227" s="8">
        <v>0.3444444444444445</v>
      </c>
      <c r="K227" s="9">
        <f t="shared" si="3"/>
        <v>4.033333333333335</v>
      </c>
      <c r="L227" t="s">
        <v>28</v>
      </c>
      <c r="M227" t="s">
        <v>29</v>
      </c>
      <c r="N227" t="s">
        <v>27</v>
      </c>
      <c r="O227" s="3">
        <v>0</v>
      </c>
      <c r="P227" s="4">
        <v>0</v>
      </c>
      <c r="Q227" s="5">
        <v>0</v>
      </c>
      <c r="R227" s="6">
        <v>0</v>
      </c>
      <c r="S227" s="3">
        <v>0</v>
      </c>
      <c r="T227" s="4">
        <v>0</v>
      </c>
      <c r="U227" s="5">
        <v>0</v>
      </c>
      <c r="V227" s="6">
        <v>0</v>
      </c>
      <c r="Y227" t="s">
        <v>128</v>
      </c>
    </row>
    <row r="228" spans="1:25" x14ac:dyDescent="0.3">
      <c r="A228" t="s">
        <v>25</v>
      </c>
      <c r="B228" s="7">
        <v>45175</v>
      </c>
      <c r="C228" t="s">
        <v>26</v>
      </c>
      <c r="D228">
        <v>12</v>
      </c>
      <c r="E228">
        <v>2</v>
      </c>
      <c r="F228">
        <v>4</v>
      </c>
      <c r="G228" t="s">
        <v>27</v>
      </c>
      <c r="H228">
        <v>1</v>
      </c>
      <c r="I228" s="8">
        <v>0.27083333333333331</v>
      </c>
      <c r="J228" s="8">
        <v>0.35416666666666669</v>
      </c>
      <c r="K228" s="9">
        <f t="shared" si="3"/>
        <v>2.0000000000000009</v>
      </c>
      <c r="L228" t="s">
        <v>28</v>
      </c>
      <c r="M228" t="s">
        <v>56</v>
      </c>
      <c r="N228" t="s">
        <v>50</v>
      </c>
      <c r="O228" s="3">
        <v>1</v>
      </c>
      <c r="P228" s="4">
        <v>0</v>
      </c>
      <c r="Q228" s="5">
        <v>0</v>
      </c>
      <c r="R228" s="6">
        <v>0</v>
      </c>
      <c r="S228" s="3">
        <v>0</v>
      </c>
      <c r="T228" s="4">
        <v>0</v>
      </c>
      <c r="U228" s="5">
        <v>0</v>
      </c>
      <c r="V228" s="6">
        <v>0</v>
      </c>
      <c r="Y228" t="s">
        <v>129</v>
      </c>
    </row>
    <row r="229" spans="1:25" x14ac:dyDescent="0.3">
      <c r="A229" t="s">
        <v>25</v>
      </c>
      <c r="B229" s="7">
        <v>45175</v>
      </c>
      <c r="C229" t="s">
        <v>26</v>
      </c>
      <c r="D229">
        <v>13</v>
      </c>
      <c r="E229">
        <v>2</v>
      </c>
      <c r="F229">
        <v>4</v>
      </c>
      <c r="G229" t="s">
        <v>27</v>
      </c>
      <c r="H229">
        <v>1</v>
      </c>
      <c r="I229" s="8">
        <v>0.29166666666666669</v>
      </c>
      <c r="J229" s="8">
        <v>0.35416666666666669</v>
      </c>
      <c r="K229" s="9">
        <f t="shared" si="3"/>
        <v>1.5</v>
      </c>
      <c r="L229" t="s">
        <v>28</v>
      </c>
      <c r="M229" t="s">
        <v>56</v>
      </c>
      <c r="N229" t="s">
        <v>50</v>
      </c>
      <c r="O229" s="3">
        <v>0</v>
      </c>
      <c r="P229" s="4">
        <v>0</v>
      </c>
      <c r="Q229" s="5">
        <v>0</v>
      </c>
      <c r="R229" s="6">
        <v>0</v>
      </c>
      <c r="S229" s="3">
        <v>0</v>
      </c>
      <c r="T229" s="4">
        <v>0</v>
      </c>
      <c r="U229" s="5">
        <v>0</v>
      </c>
      <c r="V229" s="6">
        <v>0</v>
      </c>
      <c r="Y229" t="s">
        <v>129</v>
      </c>
    </row>
    <row r="230" spans="1:25" x14ac:dyDescent="0.3">
      <c r="A230" t="s">
        <v>25</v>
      </c>
      <c r="B230" s="7">
        <v>45175</v>
      </c>
      <c r="C230" t="s">
        <v>26</v>
      </c>
      <c r="D230">
        <v>14</v>
      </c>
      <c r="E230">
        <v>2</v>
      </c>
      <c r="F230">
        <v>3</v>
      </c>
      <c r="G230" t="s">
        <v>27</v>
      </c>
      <c r="H230">
        <v>1</v>
      </c>
      <c r="I230" s="8">
        <v>0.27083333333333331</v>
      </c>
      <c r="J230" s="8">
        <v>0.36458333333333331</v>
      </c>
      <c r="K230" s="9">
        <f t="shared" si="3"/>
        <v>2.25</v>
      </c>
      <c r="L230" t="s">
        <v>28</v>
      </c>
      <c r="M230" t="s">
        <v>56</v>
      </c>
      <c r="N230" t="s">
        <v>50</v>
      </c>
      <c r="O230" s="3">
        <v>1</v>
      </c>
      <c r="P230" s="4">
        <v>0</v>
      </c>
      <c r="Q230" s="5">
        <v>0</v>
      </c>
      <c r="R230" s="6">
        <v>0</v>
      </c>
      <c r="S230" s="3">
        <v>0</v>
      </c>
      <c r="T230" s="4">
        <v>0</v>
      </c>
      <c r="U230" s="5">
        <v>0</v>
      </c>
      <c r="V230" s="6">
        <v>0</v>
      </c>
      <c r="Y230" t="s">
        <v>130</v>
      </c>
    </row>
    <row r="231" spans="1:25" x14ac:dyDescent="0.3">
      <c r="A231" t="s">
        <v>25</v>
      </c>
      <c r="B231" s="7">
        <v>45175</v>
      </c>
      <c r="C231" t="s">
        <v>26</v>
      </c>
      <c r="D231">
        <v>15</v>
      </c>
      <c r="E231">
        <v>2</v>
      </c>
      <c r="F231">
        <v>3</v>
      </c>
      <c r="G231" t="s">
        <v>27</v>
      </c>
      <c r="H231">
        <v>1</v>
      </c>
      <c r="I231" s="8">
        <v>0.27083333333333331</v>
      </c>
      <c r="J231" s="8">
        <v>0.36458333333333331</v>
      </c>
      <c r="K231" s="9">
        <f t="shared" si="3"/>
        <v>2.25</v>
      </c>
      <c r="L231" t="s">
        <v>28</v>
      </c>
      <c r="M231" t="s">
        <v>56</v>
      </c>
      <c r="N231" t="s">
        <v>50</v>
      </c>
      <c r="O231" s="3">
        <v>1</v>
      </c>
      <c r="P231" s="4">
        <v>0</v>
      </c>
      <c r="Q231" s="5">
        <v>0</v>
      </c>
      <c r="R231" s="6">
        <v>0</v>
      </c>
      <c r="S231" s="3">
        <v>0</v>
      </c>
      <c r="T231" s="4">
        <v>0</v>
      </c>
      <c r="U231" s="5">
        <v>0</v>
      </c>
      <c r="V231" s="6">
        <v>0</v>
      </c>
      <c r="Y231" t="s">
        <v>130</v>
      </c>
    </row>
    <row r="232" spans="1:25" x14ac:dyDescent="0.3">
      <c r="A232" t="s">
        <v>25</v>
      </c>
      <c r="B232" s="7">
        <v>45175</v>
      </c>
      <c r="C232" t="s">
        <v>26</v>
      </c>
      <c r="D232">
        <v>16</v>
      </c>
      <c r="E232">
        <v>2</v>
      </c>
      <c r="F232">
        <v>4</v>
      </c>
      <c r="G232" t="s">
        <v>27</v>
      </c>
      <c r="H232">
        <v>1</v>
      </c>
      <c r="I232" s="8">
        <v>0.375</v>
      </c>
      <c r="J232" s="8">
        <v>0.42499999999999999</v>
      </c>
      <c r="K232" s="9">
        <f t="shared" si="3"/>
        <v>1.1999999999999997</v>
      </c>
      <c r="L232" t="s">
        <v>28</v>
      </c>
      <c r="M232" t="s">
        <v>56</v>
      </c>
      <c r="N232" t="s">
        <v>27</v>
      </c>
      <c r="O232" s="3">
        <v>0</v>
      </c>
      <c r="P232" s="4">
        <v>0</v>
      </c>
      <c r="Q232" s="5">
        <v>0</v>
      </c>
      <c r="R232" s="6">
        <v>0</v>
      </c>
      <c r="S232" s="3">
        <v>0</v>
      </c>
      <c r="T232" s="4">
        <v>0</v>
      </c>
      <c r="U232" s="5">
        <v>0</v>
      </c>
      <c r="V232" s="6">
        <v>0</v>
      </c>
      <c r="Y232" t="s">
        <v>131</v>
      </c>
    </row>
    <row r="233" spans="1:25" x14ac:dyDescent="0.3">
      <c r="A233" t="s">
        <v>25</v>
      </c>
      <c r="B233" s="7">
        <v>45175</v>
      </c>
      <c r="C233" t="s">
        <v>26</v>
      </c>
      <c r="D233">
        <v>17</v>
      </c>
      <c r="E233">
        <v>2</v>
      </c>
      <c r="F233">
        <v>5</v>
      </c>
      <c r="G233" t="s">
        <v>27</v>
      </c>
      <c r="H233">
        <v>1</v>
      </c>
      <c r="I233" s="8">
        <v>0.29166666666666669</v>
      </c>
      <c r="J233" s="8">
        <v>0.47916666666666669</v>
      </c>
      <c r="K233" s="9">
        <f t="shared" si="3"/>
        <v>4.5</v>
      </c>
      <c r="L233" t="s">
        <v>28</v>
      </c>
      <c r="M233" t="s">
        <v>29</v>
      </c>
      <c r="N233" t="s">
        <v>32</v>
      </c>
      <c r="O233" s="3">
        <v>0</v>
      </c>
      <c r="P233" s="4">
        <v>0</v>
      </c>
      <c r="Q233" s="5">
        <v>3</v>
      </c>
      <c r="R233" s="6">
        <v>0</v>
      </c>
      <c r="S233" s="3">
        <v>0</v>
      </c>
      <c r="T233" s="4">
        <v>0</v>
      </c>
      <c r="U233" s="5">
        <v>4</v>
      </c>
      <c r="V233" s="6">
        <v>0</v>
      </c>
      <c r="Y233" t="s">
        <v>132</v>
      </c>
    </row>
    <row r="234" spans="1:25" x14ac:dyDescent="0.3">
      <c r="A234" t="s">
        <v>25</v>
      </c>
      <c r="B234" s="7">
        <v>45175</v>
      </c>
      <c r="C234" t="s">
        <v>26</v>
      </c>
      <c r="D234">
        <v>18</v>
      </c>
      <c r="E234">
        <v>2</v>
      </c>
      <c r="F234">
        <v>5</v>
      </c>
      <c r="G234" t="s">
        <v>27</v>
      </c>
      <c r="H234">
        <v>1</v>
      </c>
      <c r="I234" s="8">
        <v>0.3125</v>
      </c>
      <c r="J234" s="8">
        <v>0.47916666666666669</v>
      </c>
      <c r="K234" s="9">
        <f t="shared" si="3"/>
        <v>4</v>
      </c>
      <c r="L234" t="s">
        <v>28</v>
      </c>
      <c r="M234" t="s">
        <v>29</v>
      </c>
      <c r="N234" t="s">
        <v>32</v>
      </c>
      <c r="O234" s="3">
        <v>0</v>
      </c>
      <c r="P234" s="4">
        <v>0</v>
      </c>
      <c r="Q234" s="5">
        <v>3</v>
      </c>
      <c r="R234" s="6">
        <v>0</v>
      </c>
      <c r="S234" s="3">
        <v>0</v>
      </c>
      <c r="T234" s="4">
        <v>0</v>
      </c>
      <c r="U234" s="5">
        <v>3</v>
      </c>
      <c r="V234" s="6">
        <v>0</v>
      </c>
      <c r="Y234" t="s">
        <v>132</v>
      </c>
    </row>
    <row r="235" spans="1:25" x14ac:dyDescent="0.3">
      <c r="A235" t="s">
        <v>25</v>
      </c>
      <c r="B235" s="7">
        <v>45175</v>
      </c>
      <c r="C235" t="s">
        <v>26</v>
      </c>
      <c r="D235">
        <v>19</v>
      </c>
      <c r="E235">
        <v>2</v>
      </c>
      <c r="F235">
        <v>5</v>
      </c>
      <c r="G235" t="s">
        <v>27</v>
      </c>
      <c r="H235">
        <v>3</v>
      </c>
      <c r="I235" s="8">
        <v>0.25</v>
      </c>
      <c r="J235" s="8">
        <v>0.47916666666666669</v>
      </c>
      <c r="K235" s="9">
        <f t="shared" si="3"/>
        <v>16.5</v>
      </c>
      <c r="L235" t="s">
        <v>28</v>
      </c>
      <c r="M235" t="s">
        <v>29</v>
      </c>
      <c r="N235" t="s">
        <v>27</v>
      </c>
      <c r="O235" s="3">
        <v>0</v>
      </c>
      <c r="P235" s="4">
        <v>0</v>
      </c>
      <c r="Q235" s="5">
        <v>4</v>
      </c>
      <c r="R235" s="6">
        <v>0</v>
      </c>
      <c r="S235" s="3">
        <v>0</v>
      </c>
      <c r="T235" s="4">
        <v>0</v>
      </c>
      <c r="U235" s="5">
        <v>6</v>
      </c>
      <c r="V235" s="6">
        <v>0</v>
      </c>
      <c r="Y235" t="s">
        <v>133</v>
      </c>
    </row>
    <row r="236" spans="1:25" x14ac:dyDescent="0.3">
      <c r="A236" t="s">
        <v>25</v>
      </c>
      <c r="B236" s="7">
        <v>45175</v>
      </c>
      <c r="C236" t="s">
        <v>26</v>
      </c>
      <c r="D236">
        <v>20</v>
      </c>
      <c r="E236">
        <v>2</v>
      </c>
      <c r="F236">
        <v>5</v>
      </c>
      <c r="G236" t="s">
        <v>27</v>
      </c>
      <c r="H236">
        <v>1</v>
      </c>
      <c r="I236" s="8">
        <v>0.25694444444444448</v>
      </c>
      <c r="J236" s="8">
        <v>0.46180555555555558</v>
      </c>
      <c r="K236" s="9">
        <f t="shared" si="3"/>
        <v>4.9166666666666661</v>
      </c>
      <c r="L236" t="s">
        <v>25</v>
      </c>
      <c r="M236" t="s">
        <v>56</v>
      </c>
      <c r="N236" t="s">
        <v>50</v>
      </c>
      <c r="O236" s="3">
        <v>0</v>
      </c>
      <c r="P236" s="4">
        <v>0</v>
      </c>
      <c r="Q236" s="5">
        <v>1</v>
      </c>
      <c r="R236" s="6">
        <v>0</v>
      </c>
      <c r="S236" s="3">
        <v>0</v>
      </c>
      <c r="T236" s="4">
        <v>0</v>
      </c>
      <c r="U236" s="5">
        <v>0</v>
      </c>
      <c r="V236" s="6">
        <v>0</v>
      </c>
      <c r="Y236" t="s">
        <v>132</v>
      </c>
    </row>
    <row r="237" spans="1:25" x14ac:dyDescent="0.3">
      <c r="A237" t="s">
        <v>25</v>
      </c>
      <c r="B237" s="7">
        <v>45175</v>
      </c>
      <c r="C237" t="s">
        <v>42</v>
      </c>
      <c r="D237">
        <v>21</v>
      </c>
      <c r="E237">
        <v>2</v>
      </c>
      <c r="F237">
        <v>4</v>
      </c>
      <c r="G237" t="s">
        <v>27</v>
      </c>
      <c r="H237">
        <v>2</v>
      </c>
      <c r="I237" s="8">
        <v>0.66666666666666663</v>
      </c>
      <c r="J237" s="8">
        <v>0.68888888888888899</v>
      </c>
      <c r="K237" s="9">
        <f t="shared" si="3"/>
        <v>1.0666666666666735</v>
      </c>
      <c r="L237" t="s">
        <v>28</v>
      </c>
      <c r="M237" t="s">
        <v>56</v>
      </c>
      <c r="N237" t="s">
        <v>27</v>
      </c>
      <c r="O237" s="3">
        <v>0</v>
      </c>
      <c r="P237" s="4">
        <v>0</v>
      </c>
      <c r="Q237" s="5">
        <v>0</v>
      </c>
      <c r="R237" s="6">
        <v>0</v>
      </c>
      <c r="S237" s="3">
        <v>0</v>
      </c>
      <c r="T237" s="4">
        <v>0</v>
      </c>
      <c r="U237" s="5">
        <v>0</v>
      </c>
      <c r="V237" s="6">
        <v>0</v>
      </c>
      <c r="Y237" t="s">
        <v>134</v>
      </c>
    </row>
    <row r="238" spans="1:25" x14ac:dyDescent="0.3">
      <c r="A238" t="s">
        <v>25</v>
      </c>
      <c r="B238" s="7">
        <v>45175</v>
      </c>
      <c r="C238" t="s">
        <v>42</v>
      </c>
      <c r="D238">
        <v>22</v>
      </c>
      <c r="E238">
        <v>2</v>
      </c>
      <c r="F238">
        <v>4</v>
      </c>
      <c r="G238" t="s">
        <v>27</v>
      </c>
      <c r="H238">
        <v>1</v>
      </c>
      <c r="I238" s="8">
        <v>0.67361111111111116</v>
      </c>
      <c r="J238" s="8">
        <v>0.71597222222222223</v>
      </c>
      <c r="K238" s="9">
        <f t="shared" si="3"/>
        <v>1.0166666666666657</v>
      </c>
      <c r="L238" t="s">
        <v>28</v>
      </c>
      <c r="M238" t="s">
        <v>29</v>
      </c>
      <c r="N238" t="s">
        <v>32</v>
      </c>
      <c r="O238" s="3">
        <v>0</v>
      </c>
      <c r="P238" s="4">
        <v>0</v>
      </c>
      <c r="Q238" s="5">
        <v>1</v>
      </c>
      <c r="R238" s="6">
        <v>0</v>
      </c>
      <c r="S238" s="3">
        <v>1</v>
      </c>
      <c r="T238" s="4">
        <v>0</v>
      </c>
      <c r="U238" s="5">
        <v>0</v>
      </c>
      <c r="V238" s="6">
        <v>0</v>
      </c>
      <c r="Y238" t="s">
        <v>135</v>
      </c>
    </row>
    <row r="239" spans="1:25" x14ac:dyDescent="0.3">
      <c r="A239" t="s">
        <v>25</v>
      </c>
      <c r="B239" s="7">
        <v>45175</v>
      </c>
      <c r="C239" t="s">
        <v>42</v>
      </c>
      <c r="D239">
        <v>23</v>
      </c>
      <c r="E239">
        <v>2</v>
      </c>
      <c r="F239">
        <v>4</v>
      </c>
      <c r="G239" t="s">
        <v>27</v>
      </c>
      <c r="H239">
        <v>1</v>
      </c>
      <c r="I239" s="8">
        <v>0.69791666666666663</v>
      </c>
      <c r="J239" s="8">
        <v>0.71944444444444444</v>
      </c>
      <c r="K239" s="9">
        <f t="shared" si="3"/>
        <v>0.5166666666666675</v>
      </c>
      <c r="L239" t="s">
        <v>28</v>
      </c>
      <c r="M239" t="s">
        <v>99</v>
      </c>
      <c r="N239" t="s">
        <v>50</v>
      </c>
      <c r="O239" s="3">
        <v>0</v>
      </c>
      <c r="P239" s="4">
        <v>0</v>
      </c>
      <c r="Q239" s="5">
        <v>0</v>
      </c>
      <c r="R239" s="6">
        <v>0</v>
      </c>
      <c r="S239" s="3">
        <v>0</v>
      </c>
      <c r="T239" s="4">
        <v>0</v>
      </c>
      <c r="U239" s="5">
        <v>0</v>
      </c>
      <c r="V239" s="6">
        <v>0</v>
      </c>
      <c r="Y239" t="s">
        <v>129</v>
      </c>
    </row>
    <row r="240" spans="1:25" x14ac:dyDescent="0.3">
      <c r="A240" t="s">
        <v>25</v>
      </c>
      <c r="B240" s="7">
        <v>45175</v>
      </c>
      <c r="C240" t="s">
        <v>42</v>
      </c>
      <c r="D240">
        <v>24</v>
      </c>
      <c r="E240">
        <v>2</v>
      </c>
      <c r="F240">
        <v>4</v>
      </c>
      <c r="G240" t="s">
        <v>27</v>
      </c>
      <c r="H240">
        <v>1</v>
      </c>
      <c r="I240" s="8">
        <v>0.72222222222222221</v>
      </c>
      <c r="J240" s="8">
        <v>0.73611111111111116</v>
      </c>
      <c r="K240" s="9">
        <f t="shared" si="3"/>
        <v>0.33333333333333481</v>
      </c>
      <c r="L240" t="s">
        <v>28</v>
      </c>
      <c r="M240" t="s">
        <v>29</v>
      </c>
      <c r="N240" t="s">
        <v>32</v>
      </c>
      <c r="O240" s="3">
        <v>0</v>
      </c>
      <c r="P240" s="4">
        <v>0</v>
      </c>
      <c r="Q240" s="5">
        <v>0</v>
      </c>
      <c r="R240" s="6">
        <v>0</v>
      </c>
      <c r="S240" s="3">
        <v>0</v>
      </c>
      <c r="T240" s="4">
        <v>0</v>
      </c>
      <c r="U240" s="5">
        <v>0</v>
      </c>
      <c r="V240" s="6">
        <v>0</v>
      </c>
      <c r="Y240" t="s">
        <v>136</v>
      </c>
    </row>
    <row r="241" spans="1:25" x14ac:dyDescent="0.3">
      <c r="A241" t="s">
        <v>25</v>
      </c>
      <c r="B241" s="7">
        <v>45175</v>
      </c>
      <c r="C241" t="s">
        <v>42</v>
      </c>
      <c r="D241">
        <v>25</v>
      </c>
      <c r="E241">
        <v>2</v>
      </c>
      <c r="F241">
        <v>3</v>
      </c>
      <c r="G241" t="s">
        <v>27</v>
      </c>
      <c r="H241">
        <v>2</v>
      </c>
      <c r="I241" s="8">
        <v>0.625</v>
      </c>
      <c r="J241" s="8">
        <v>0.74097222222222225</v>
      </c>
      <c r="K241" s="9">
        <f t="shared" si="3"/>
        <v>5.5666666666666682</v>
      </c>
      <c r="L241" t="s">
        <v>28</v>
      </c>
      <c r="M241" t="s">
        <v>99</v>
      </c>
      <c r="N241" t="s">
        <v>75</v>
      </c>
      <c r="O241" s="3">
        <v>1</v>
      </c>
      <c r="P241" s="4">
        <v>0</v>
      </c>
      <c r="Q241" s="5">
        <v>0</v>
      </c>
      <c r="R241" s="6">
        <v>0</v>
      </c>
      <c r="S241" s="3">
        <v>0</v>
      </c>
      <c r="T241" s="4">
        <v>0</v>
      </c>
      <c r="U241" s="5">
        <v>0</v>
      </c>
      <c r="V241" s="6">
        <v>0</v>
      </c>
      <c r="Y241" t="s">
        <v>137</v>
      </c>
    </row>
    <row r="242" spans="1:25" x14ac:dyDescent="0.3">
      <c r="A242" t="s">
        <v>25</v>
      </c>
      <c r="B242" s="7">
        <v>45175</v>
      </c>
      <c r="C242" t="s">
        <v>42</v>
      </c>
      <c r="D242">
        <v>26</v>
      </c>
      <c r="E242">
        <v>2</v>
      </c>
      <c r="F242">
        <v>3</v>
      </c>
      <c r="G242" t="s">
        <v>27</v>
      </c>
      <c r="H242">
        <v>3</v>
      </c>
      <c r="I242" s="8">
        <v>0.66666666666666663</v>
      </c>
      <c r="J242" s="8">
        <v>0.7583333333333333</v>
      </c>
      <c r="K242" s="9">
        <f t="shared" si="3"/>
        <v>6.6000000000000005</v>
      </c>
      <c r="L242" t="s">
        <v>28</v>
      </c>
      <c r="M242" t="s">
        <v>29</v>
      </c>
      <c r="N242" t="s">
        <v>32</v>
      </c>
      <c r="O242" s="3">
        <v>0</v>
      </c>
      <c r="P242" s="4">
        <v>0</v>
      </c>
      <c r="Q242" s="5">
        <v>6</v>
      </c>
      <c r="R242" s="6">
        <v>0</v>
      </c>
      <c r="S242" s="3">
        <v>0</v>
      </c>
      <c r="T242" s="4">
        <v>0</v>
      </c>
      <c r="U242" s="5">
        <v>1</v>
      </c>
      <c r="V242" s="6">
        <v>0</v>
      </c>
      <c r="Y242" t="s">
        <v>122</v>
      </c>
    </row>
    <row r="243" spans="1:25" x14ac:dyDescent="0.3">
      <c r="A243" t="s">
        <v>25</v>
      </c>
      <c r="B243" s="7">
        <v>45175</v>
      </c>
      <c r="C243" t="s">
        <v>42</v>
      </c>
      <c r="D243">
        <v>27</v>
      </c>
      <c r="E243">
        <v>2</v>
      </c>
      <c r="F243">
        <v>2</v>
      </c>
      <c r="G243" t="s">
        <v>27</v>
      </c>
      <c r="H243">
        <v>1</v>
      </c>
      <c r="I243" s="8">
        <v>0.72916666666666663</v>
      </c>
      <c r="J243" s="8">
        <v>0.77083333333333337</v>
      </c>
      <c r="K243" s="9">
        <f t="shared" si="3"/>
        <v>1.0000000000000018</v>
      </c>
      <c r="L243" t="s">
        <v>25</v>
      </c>
      <c r="M243" t="s">
        <v>29</v>
      </c>
      <c r="N243" t="s">
        <v>32</v>
      </c>
      <c r="O243" s="3">
        <v>0</v>
      </c>
      <c r="P243" s="4">
        <v>0</v>
      </c>
      <c r="Q243" s="5">
        <v>0</v>
      </c>
      <c r="R243" s="6">
        <v>0</v>
      </c>
      <c r="S243" s="3">
        <v>0</v>
      </c>
      <c r="T243" s="4">
        <v>0</v>
      </c>
      <c r="U243" s="5">
        <v>0</v>
      </c>
      <c r="V243" s="6">
        <v>0</v>
      </c>
      <c r="Y243" t="s">
        <v>127</v>
      </c>
    </row>
    <row r="244" spans="1:25" x14ac:dyDescent="0.3">
      <c r="A244" t="s">
        <v>25</v>
      </c>
      <c r="B244" s="7">
        <v>45175</v>
      </c>
      <c r="C244" t="s">
        <v>42</v>
      </c>
      <c r="D244">
        <v>28</v>
      </c>
      <c r="E244">
        <v>2</v>
      </c>
      <c r="F244">
        <v>2</v>
      </c>
      <c r="G244" t="s">
        <v>27</v>
      </c>
      <c r="H244">
        <v>1</v>
      </c>
      <c r="I244" s="8">
        <v>0.70833333333333337</v>
      </c>
      <c r="J244" s="8">
        <v>0.77500000000000002</v>
      </c>
      <c r="K244" s="9">
        <f t="shared" si="3"/>
        <v>1.5999999999999996</v>
      </c>
      <c r="L244" t="s">
        <v>28</v>
      </c>
      <c r="M244" t="s">
        <v>73</v>
      </c>
      <c r="N244" t="s">
        <v>38</v>
      </c>
      <c r="O244" s="3">
        <v>0</v>
      </c>
      <c r="P244" s="4">
        <v>1</v>
      </c>
      <c r="Q244" s="5">
        <v>0</v>
      </c>
      <c r="R244" s="6">
        <v>0</v>
      </c>
      <c r="S244" s="3">
        <v>0</v>
      </c>
      <c r="T244" s="4">
        <v>0</v>
      </c>
      <c r="U244" s="5">
        <v>0</v>
      </c>
      <c r="V244" s="6">
        <v>0</v>
      </c>
      <c r="Y244" t="s">
        <v>127</v>
      </c>
    </row>
    <row r="245" spans="1:25" x14ac:dyDescent="0.3">
      <c r="A245" t="s">
        <v>25</v>
      </c>
      <c r="B245" s="7">
        <v>45175</v>
      </c>
      <c r="C245" t="s">
        <v>42</v>
      </c>
      <c r="D245">
        <v>29</v>
      </c>
      <c r="E245">
        <v>2</v>
      </c>
      <c r="F245">
        <v>2</v>
      </c>
      <c r="G245" t="s">
        <v>27</v>
      </c>
      <c r="H245">
        <v>2</v>
      </c>
      <c r="I245" s="8">
        <v>0.75</v>
      </c>
      <c r="J245" s="8">
        <v>0.79166666666666663</v>
      </c>
      <c r="K245" s="9">
        <f t="shared" si="3"/>
        <v>1.9999999999999982</v>
      </c>
      <c r="L245" t="s">
        <v>28</v>
      </c>
      <c r="M245" t="s">
        <v>56</v>
      </c>
      <c r="N245" t="s">
        <v>27</v>
      </c>
      <c r="O245" s="3">
        <v>0</v>
      </c>
      <c r="P245" s="4">
        <v>0</v>
      </c>
      <c r="Q245" s="5">
        <v>0</v>
      </c>
      <c r="R245" s="6">
        <v>0</v>
      </c>
      <c r="S245" s="3">
        <v>0</v>
      </c>
      <c r="T245" s="4">
        <v>0</v>
      </c>
      <c r="U245" s="5">
        <v>0</v>
      </c>
      <c r="V245" s="6">
        <v>0</v>
      </c>
      <c r="Y245" t="s">
        <v>123</v>
      </c>
    </row>
    <row r="246" spans="1:25" x14ac:dyDescent="0.3">
      <c r="A246" t="s">
        <v>25</v>
      </c>
      <c r="B246" s="7">
        <v>45175</v>
      </c>
      <c r="C246" t="s">
        <v>42</v>
      </c>
      <c r="D246">
        <v>30</v>
      </c>
      <c r="E246">
        <v>2</v>
      </c>
      <c r="F246">
        <v>2</v>
      </c>
      <c r="G246" t="s">
        <v>27</v>
      </c>
      <c r="H246">
        <v>1</v>
      </c>
      <c r="I246" s="8">
        <v>0.75</v>
      </c>
      <c r="J246" s="8">
        <v>0.79166666666666663</v>
      </c>
      <c r="K246" s="9">
        <f t="shared" si="3"/>
        <v>0.99999999999999911</v>
      </c>
      <c r="L246" t="s">
        <v>28</v>
      </c>
      <c r="M246" t="s">
        <v>56</v>
      </c>
      <c r="N246" t="s">
        <v>27</v>
      </c>
      <c r="O246" s="3">
        <v>0</v>
      </c>
      <c r="P246" s="4">
        <v>0</v>
      </c>
      <c r="Q246" s="5">
        <v>0</v>
      </c>
      <c r="R246" s="6">
        <v>0</v>
      </c>
      <c r="S246" s="3">
        <v>0</v>
      </c>
      <c r="T246" s="4">
        <v>0</v>
      </c>
      <c r="U246" s="5">
        <v>0</v>
      </c>
      <c r="V246" s="6">
        <v>0</v>
      </c>
      <c r="Y246" t="s">
        <v>123</v>
      </c>
    </row>
    <row r="247" spans="1:25" x14ac:dyDescent="0.3">
      <c r="A247" t="s">
        <v>25</v>
      </c>
      <c r="B247" s="7">
        <v>45175</v>
      </c>
      <c r="C247" t="s">
        <v>42</v>
      </c>
      <c r="D247">
        <v>31</v>
      </c>
      <c r="E247">
        <v>2</v>
      </c>
      <c r="F247">
        <v>2</v>
      </c>
      <c r="G247" t="s">
        <v>27</v>
      </c>
      <c r="H247">
        <v>1</v>
      </c>
      <c r="I247" s="8">
        <v>0.75</v>
      </c>
      <c r="J247" s="8">
        <v>0.79166666666666663</v>
      </c>
      <c r="K247" s="9">
        <f t="shared" si="3"/>
        <v>0.99999999999999911</v>
      </c>
      <c r="L247" t="s">
        <v>28</v>
      </c>
      <c r="M247" t="s">
        <v>99</v>
      </c>
      <c r="N247" t="s">
        <v>55</v>
      </c>
      <c r="O247" s="3">
        <v>0</v>
      </c>
      <c r="P247" s="4">
        <v>0</v>
      </c>
      <c r="Q247" s="5">
        <v>0</v>
      </c>
      <c r="R247" s="6">
        <v>0</v>
      </c>
      <c r="S247" s="3">
        <v>0</v>
      </c>
      <c r="T247" s="4">
        <v>0</v>
      </c>
      <c r="U247" s="5">
        <v>2</v>
      </c>
      <c r="V247" s="6">
        <v>0</v>
      </c>
      <c r="Y247" t="s">
        <v>123</v>
      </c>
    </row>
    <row r="248" spans="1:25" x14ac:dyDescent="0.3">
      <c r="A248" t="s">
        <v>25</v>
      </c>
      <c r="B248" s="7">
        <v>45175</v>
      </c>
      <c r="C248" t="s">
        <v>42</v>
      </c>
      <c r="D248">
        <v>32</v>
      </c>
      <c r="E248">
        <v>1</v>
      </c>
      <c r="F248">
        <v>4</v>
      </c>
      <c r="G248" t="s">
        <v>27</v>
      </c>
      <c r="H248">
        <v>1</v>
      </c>
      <c r="I248" s="8">
        <v>0.6875</v>
      </c>
      <c r="J248" s="8">
        <v>0.8125</v>
      </c>
      <c r="K248" s="9">
        <f t="shared" si="3"/>
        <v>3</v>
      </c>
      <c r="L248" t="s">
        <v>25</v>
      </c>
      <c r="M248" t="s">
        <v>29</v>
      </c>
      <c r="N248" t="s">
        <v>32</v>
      </c>
      <c r="O248" s="3">
        <v>0</v>
      </c>
      <c r="P248" s="4">
        <v>0</v>
      </c>
      <c r="Q248" s="5">
        <v>6</v>
      </c>
      <c r="R248" s="6">
        <v>0</v>
      </c>
      <c r="S248" s="3">
        <v>0</v>
      </c>
      <c r="T248" s="4">
        <v>0</v>
      </c>
      <c r="U248" s="5">
        <v>0</v>
      </c>
      <c r="V248" s="6">
        <v>0</v>
      </c>
      <c r="Y248" t="s">
        <v>138</v>
      </c>
    </row>
    <row r="249" spans="1:25" x14ac:dyDescent="0.3">
      <c r="A249" t="s">
        <v>25</v>
      </c>
      <c r="B249" s="7">
        <v>45175</v>
      </c>
      <c r="C249" t="s">
        <v>42</v>
      </c>
      <c r="D249">
        <v>33</v>
      </c>
      <c r="E249">
        <v>1</v>
      </c>
      <c r="F249">
        <v>3</v>
      </c>
      <c r="G249" t="s">
        <v>27</v>
      </c>
      <c r="H249">
        <v>4</v>
      </c>
      <c r="I249" s="8">
        <v>0.72916666666666663</v>
      </c>
      <c r="J249" s="8">
        <v>0.8125</v>
      </c>
      <c r="K249" s="9">
        <f t="shared" si="3"/>
        <v>8.0000000000000036</v>
      </c>
      <c r="L249" t="s">
        <v>25</v>
      </c>
      <c r="M249" t="s">
        <v>29</v>
      </c>
      <c r="N249" t="s">
        <v>32</v>
      </c>
      <c r="O249" s="3">
        <v>0</v>
      </c>
      <c r="P249" s="4">
        <v>0</v>
      </c>
      <c r="Q249" s="5">
        <v>2</v>
      </c>
      <c r="R249" s="6">
        <v>0</v>
      </c>
      <c r="S249" s="3">
        <v>0</v>
      </c>
      <c r="T249" s="4">
        <v>0</v>
      </c>
      <c r="U249" s="5">
        <v>1</v>
      </c>
      <c r="V249" s="6">
        <v>0</v>
      </c>
      <c r="Y249" t="s">
        <v>139</v>
      </c>
    </row>
    <row r="250" spans="1:25" x14ac:dyDescent="0.3">
      <c r="A250" t="s">
        <v>25</v>
      </c>
      <c r="B250" s="7">
        <v>45175</v>
      </c>
      <c r="C250" t="s">
        <v>42</v>
      </c>
      <c r="D250">
        <v>34</v>
      </c>
      <c r="E250">
        <v>1</v>
      </c>
      <c r="F250">
        <v>3</v>
      </c>
      <c r="G250" t="s">
        <v>27</v>
      </c>
      <c r="H250">
        <v>1</v>
      </c>
      <c r="I250" s="8">
        <v>0.75</v>
      </c>
      <c r="J250" s="8">
        <v>0.81736111111111109</v>
      </c>
      <c r="K250" s="9">
        <f t="shared" si="3"/>
        <v>1.6166666666666663</v>
      </c>
      <c r="L250" t="s">
        <v>25</v>
      </c>
      <c r="M250" t="s">
        <v>29</v>
      </c>
      <c r="N250" t="s">
        <v>32</v>
      </c>
      <c r="O250" s="3">
        <v>0</v>
      </c>
      <c r="P250" s="4">
        <v>0</v>
      </c>
      <c r="Q250" s="5">
        <v>0</v>
      </c>
      <c r="R250" s="6">
        <v>0</v>
      </c>
      <c r="S250" s="3">
        <v>0</v>
      </c>
      <c r="T250" s="4">
        <v>0</v>
      </c>
      <c r="U250" s="5">
        <v>1</v>
      </c>
      <c r="V250" s="6">
        <v>0</v>
      </c>
      <c r="Y250" t="s">
        <v>139</v>
      </c>
    </row>
    <row r="251" spans="1:25" x14ac:dyDescent="0.3">
      <c r="A251" t="s">
        <v>25</v>
      </c>
      <c r="B251" s="7">
        <v>45175</v>
      </c>
      <c r="C251" t="s">
        <v>42</v>
      </c>
      <c r="D251">
        <v>35</v>
      </c>
      <c r="E251">
        <v>1</v>
      </c>
      <c r="F251">
        <v>2</v>
      </c>
      <c r="G251" t="s">
        <v>27</v>
      </c>
      <c r="H251">
        <v>4</v>
      </c>
      <c r="I251" s="8">
        <v>0.6875</v>
      </c>
      <c r="J251" s="8">
        <v>0.82430555555555562</v>
      </c>
      <c r="K251" s="9">
        <f t="shared" si="3"/>
        <v>13.13333333333334</v>
      </c>
      <c r="L251" t="s">
        <v>25</v>
      </c>
      <c r="M251" t="s">
        <v>29</v>
      </c>
      <c r="N251" t="s">
        <v>27</v>
      </c>
      <c r="O251" s="3">
        <v>0</v>
      </c>
      <c r="P251" s="4">
        <v>0</v>
      </c>
      <c r="Q251" s="5">
        <v>6</v>
      </c>
      <c r="R251" s="6">
        <v>0</v>
      </c>
      <c r="S251" s="3">
        <v>0</v>
      </c>
      <c r="T251" s="4">
        <v>0</v>
      </c>
      <c r="U251" s="5">
        <v>2</v>
      </c>
      <c r="V251" s="6">
        <v>0</v>
      </c>
      <c r="Y251" t="s">
        <v>140</v>
      </c>
    </row>
    <row r="252" spans="1:25" x14ac:dyDescent="0.3">
      <c r="A252" t="s">
        <v>25</v>
      </c>
      <c r="B252" s="7">
        <v>45175</v>
      </c>
      <c r="C252" t="s">
        <v>42</v>
      </c>
      <c r="D252">
        <v>36</v>
      </c>
      <c r="E252">
        <v>1</v>
      </c>
      <c r="F252">
        <v>2</v>
      </c>
      <c r="G252" t="s">
        <v>27</v>
      </c>
      <c r="H252">
        <v>1</v>
      </c>
      <c r="I252" s="8">
        <v>0.75</v>
      </c>
      <c r="J252" s="8">
        <v>0.83333333333333337</v>
      </c>
      <c r="K252" s="9">
        <f t="shared" si="3"/>
        <v>2.0000000000000009</v>
      </c>
      <c r="L252" t="s">
        <v>25</v>
      </c>
      <c r="M252" t="s">
        <v>112</v>
      </c>
      <c r="N252" t="s">
        <v>27</v>
      </c>
      <c r="O252" s="3">
        <v>0</v>
      </c>
      <c r="P252" s="4">
        <v>0</v>
      </c>
      <c r="Q252" s="5">
        <v>0</v>
      </c>
      <c r="R252" s="6">
        <v>0</v>
      </c>
      <c r="S252" s="3">
        <v>0</v>
      </c>
      <c r="T252" s="4">
        <v>0</v>
      </c>
      <c r="U252" s="5">
        <v>0</v>
      </c>
      <c r="V252" s="6">
        <v>0</v>
      </c>
    </row>
    <row r="253" spans="1:25" x14ac:dyDescent="0.3">
      <c r="A253" t="s">
        <v>25</v>
      </c>
      <c r="B253" s="7">
        <v>45175</v>
      </c>
      <c r="C253" t="s">
        <v>42</v>
      </c>
      <c r="D253">
        <v>37</v>
      </c>
      <c r="E253">
        <v>1</v>
      </c>
      <c r="F253">
        <v>1</v>
      </c>
      <c r="G253" t="s">
        <v>35</v>
      </c>
      <c r="H253">
        <v>2</v>
      </c>
      <c r="I253" s="8">
        <v>0.72916666666666663</v>
      </c>
      <c r="J253" s="8">
        <v>0.84375</v>
      </c>
      <c r="K253" s="9">
        <f t="shared" si="3"/>
        <v>5.5000000000000018</v>
      </c>
      <c r="L253" t="s">
        <v>25</v>
      </c>
      <c r="M253" t="s">
        <v>99</v>
      </c>
      <c r="N253" t="s">
        <v>38</v>
      </c>
      <c r="O253" s="3">
        <v>0</v>
      </c>
      <c r="P253" s="4">
        <v>0</v>
      </c>
      <c r="Q253" s="5">
        <v>0</v>
      </c>
      <c r="R253" s="6">
        <v>0</v>
      </c>
      <c r="S253" s="3">
        <v>0</v>
      </c>
      <c r="T253" s="4">
        <v>3</v>
      </c>
      <c r="U253" s="5">
        <v>0</v>
      </c>
      <c r="V253" s="6">
        <v>0</v>
      </c>
    </row>
    <row r="254" spans="1:25" x14ac:dyDescent="0.3">
      <c r="A254" t="s">
        <v>25</v>
      </c>
      <c r="B254" s="7">
        <v>45175</v>
      </c>
      <c r="C254" t="s">
        <v>42</v>
      </c>
      <c r="D254">
        <v>38</v>
      </c>
      <c r="E254">
        <v>1</v>
      </c>
      <c r="F254">
        <v>1</v>
      </c>
      <c r="G254" t="s">
        <v>35</v>
      </c>
      <c r="H254">
        <v>3</v>
      </c>
      <c r="I254" s="8">
        <v>0.6875</v>
      </c>
      <c r="J254" s="8">
        <v>0.84444444444444444</v>
      </c>
      <c r="K254" s="9">
        <f t="shared" si="3"/>
        <v>11.3</v>
      </c>
      <c r="L254" t="s">
        <v>25</v>
      </c>
      <c r="M254" t="s">
        <v>101</v>
      </c>
      <c r="N254" t="s">
        <v>38</v>
      </c>
      <c r="O254" s="3">
        <v>0</v>
      </c>
      <c r="P254" s="4">
        <v>1</v>
      </c>
      <c r="Q254" s="5">
        <v>2</v>
      </c>
      <c r="R254" s="6">
        <v>0</v>
      </c>
      <c r="S254" s="3">
        <v>0</v>
      </c>
      <c r="T254" s="4">
        <v>0</v>
      </c>
      <c r="U254" s="5">
        <v>0</v>
      </c>
      <c r="V254" s="6">
        <v>0</v>
      </c>
    </row>
    <row r="255" spans="1:25" x14ac:dyDescent="0.3">
      <c r="A255" t="s">
        <v>25</v>
      </c>
      <c r="B255" s="7">
        <v>45175</v>
      </c>
      <c r="C255" t="s">
        <v>42</v>
      </c>
      <c r="D255">
        <v>39</v>
      </c>
      <c r="E255">
        <v>1</v>
      </c>
      <c r="F255">
        <v>1</v>
      </c>
      <c r="G255" t="s">
        <v>35</v>
      </c>
      <c r="H255">
        <v>2</v>
      </c>
      <c r="I255" s="8">
        <v>0.625</v>
      </c>
      <c r="J255" s="8">
        <v>0.84583333333333333</v>
      </c>
      <c r="K255" s="9">
        <f t="shared" si="3"/>
        <v>10.6</v>
      </c>
      <c r="L255" t="s">
        <v>25</v>
      </c>
      <c r="M255" t="s">
        <v>29</v>
      </c>
      <c r="N255" t="s">
        <v>32</v>
      </c>
      <c r="O255" s="3">
        <v>0</v>
      </c>
      <c r="P255" s="4">
        <v>0</v>
      </c>
      <c r="Q255" s="5">
        <v>11</v>
      </c>
      <c r="R255" s="6">
        <v>0</v>
      </c>
      <c r="S255" s="3">
        <v>0</v>
      </c>
      <c r="T255" s="4">
        <v>0</v>
      </c>
      <c r="U255" s="5">
        <v>1</v>
      </c>
      <c r="V255" s="6">
        <v>0</v>
      </c>
    </row>
    <row r="256" spans="1:25" x14ac:dyDescent="0.3">
      <c r="A256" t="s">
        <v>25</v>
      </c>
      <c r="B256" s="7">
        <v>45175</v>
      </c>
      <c r="C256" t="s">
        <v>42</v>
      </c>
      <c r="D256">
        <v>40</v>
      </c>
      <c r="E256">
        <v>1</v>
      </c>
      <c r="F256">
        <v>1</v>
      </c>
      <c r="G256" t="s">
        <v>35</v>
      </c>
      <c r="H256">
        <v>2</v>
      </c>
      <c r="I256" s="8">
        <v>0.625</v>
      </c>
      <c r="J256" s="8">
        <v>0.85416666666666663</v>
      </c>
      <c r="K256" s="9">
        <f t="shared" si="3"/>
        <v>10.999999999999998</v>
      </c>
      <c r="L256" t="s">
        <v>25</v>
      </c>
      <c r="M256" t="s">
        <v>29</v>
      </c>
      <c r="N256" t="s">
        <v>32</v>
      </c>
      <c r="O256" s="3">
        <v>0</v>
      </c>
      <c r="P256" s="4">
        <v>0</v>
      </c>
      <c r="Q256" s="5">
        <v>0</v>
      </c>
      <c r="R256" s="6">
        <v>0</v>
      </c>
      <c r="S256" s="3">
        <v>0</v>
      </c>
      <c r="T256" s="4">
        <v>0</v>
      </c>
      <c r="U256" s="5">
        <v>0</v>
      </c>
      <c r="V256" s="6">
        <v>0</v>
      </c>
    </row>
    <row r="257" spans="1:25" x14ac:dyDescent="0.3">
      <c r="A257" t="s">
        <v>25</v>
      </c>
      <c r="B257" s="7">
        <v>45175</v>
      </c>
      <c r="C257" t="s">
        <v>42</v>
      </c>
      <c r="D257">
        <v>41</v>
      </c>
      <c r="E257">
        <v>1</v>
      </c>
      <c r="F257">
        <v>1</v>
      </c>
      <c r="G257" t="s">
        <v>35</v>
      </c>
      <c r="H257">
        <v>4</v>
      </c>
      <c r="I257" s="8">
        <v>0.72916666666666663</v>
      </c>
      <c r="J257" s="8">
        <v>0.7715277777777777</v>
      </c>
      <c r="K257" s="9">
        <f t="shared" si="3"/>
        <v>4.0666666666666629</v>
      </c>
      <c r="L257" t="s">
        <v>25</v>
      </c>
      <c r="M257" t="s">
        <v>29</v>
      </c>
      <c r="N257" t="s">
        <v>32</v>
      </c>
      <c r="O257" s="3">
        <v>0</v>
      </c>
      <c r="P257" s="4">
        <v>0</v>
      </c>
      <c r="Q257" s="5">
        <v>12</v>
      </c>
      <c r="R257" s="6">
        <v>0</v>
      </c>
      <c r="S257" s="3">
        <v>0</v>
      </c>
      <c r="T257" s="4">
        <v>0</v>
      </c>
      <c r="U257" s="5">
        <v>0</v>
      </c>
      <c r="V257" s="6">
        <v>0</v>
      </c>
    </row>
    <row r="258" spans="1:25" x14ac:dyDescent="0.3">
      <c r="A258" t="s">
        <v>25</v>
      </c>
      <c r="B258" s="7">
        <v>45176</v>
      </c>
      <c r="C258" t="s">
        <v>26</v>
      </c>
      <c r="D258">
        <v>1</v>
      </c>
      <c r="E258">
        <v>1</v>
      </c>
      <c r="F258">
        <v>1</v>
      </c>
      <c r="G258" t="s">
        <v>35</v>
      </c>
      <c r="H258">
        <v>4</v>
      </c>
      <c r="I258" s="8">
        <v>0.25</v>
      </c>
      <c r="J258" s="8">
        <v>0.375</v>
      </c>
      <c r="K258" s="9">
        <f t="shared" si="3"/>
        <v>12</v>
      </c>
      <c r="L258" t="s">
        <v>25</v>
      </c>
      <c r="M258" t="s">
        <v>29</v>
      </c>
      <c r="N258" t="s">
        <v>32</v>
      </c>
      <c r="O258" s="3">
        <v>0</v>
      </c>
      <c r="P258" s="4">
        <v>0</v>
      </c>
      <c r="Q258" s="5">
        <v>24</v>
      </c>
      <c r="R258" s="6">
        <v>0</v>
      </c>
      <c r="S258" s="3">
        <v>0</v>
      </c>
      <c r="T258" s="4">
        <v>0</v>
      </c>
      <c r="U258" s="5">
        <v>6</v>
      </c>
      <c r="V258" s="6">
        <v>0</v>
      </c>
    </row>
    <row r="259" spans="1:25" x14ac:dyDescent="0.3">
      <c r="A259" t="s">
        <v>25</v>
      </c>
      <c r="B259" s="7">
        <v>45176</v>
      </c>
      <c r="C259" t="s">
        <v>26</v>
      </c>
      <c r="D259">
        <v>2</v>
      </c>
      <c r="E259">
        <v>1</v>
      </c>
      <c r="F259">
        <v>1</v>
      </c>
      <c r="G259" t="s">
        <v>35</v>
      </c>
      <c r="H259">
        <v>3</v>
      </c>
      <c r="I259" s="8">
        <v>0.29166666666666669</v>
      </c>
      <c r="J259" s="8">
        <v>0.43333333333333335</v>
      </c>
      <c r="K259" s="9">
        <f t="shared" ref="K259:K322" si="4">(J259-I259)*24*H259</f>
        <v>10.199999999999999</v>
      </c>
      <c r="L259" t="s">
        <v>25</v>
      </c>
      <c r="M259" t="s">
        <v>29</v>
      </c>
      <c r="N259" t="s">
        <v>32</v>
      </c>
      <c r="O259" s="3">
        <v>0</v>
      </c>
      <c r="P259" s="4">
        <v>0</v>
      </c>
      <c r="Q259" s="5">
        <v>7</v>
      </c>
      <c r="R259" s="6">
        <v>0</v>
      </c>
      <c r="S259" s="3">
        <v>0</v>
      </c>
      <c r="T259" s="4">
        <v>0</v>
      </c>
      <c r="U259" s="5">
        <v>0</v>
      </c>
      <c r="V259" s="6">
        <v>0</v>
      </c>
    </row>
    <row r="260" spans="1:25" x14ac:dyDescent="0.3">
      <c r="A260" t="s">
        <v>25</v>
      </c>
      <c r="B260" s="7">
        <v>45176</v>
      </c>
      <c r="C260" t="s">
        <v>26</v>
      </c>
      <c r="D260">
        <v>3</v>
      </c>
      <c r="E260">
        <v>1</v>
      </c>
      <c r="F260">
        <v>1</v>
      </c>
      <c r="G260" t="s">
        <v>35</v>
      </c>
      <c r="H260">
        <v>2</v>
      </c>
      <c r="I260" s="8">
        <v>0.25</v>
      </c>
      <c r="J260" s="8">
        <v>0.4548611111111111</v>
      </c>
      <c r="K260" s="9">
        <f t="shared" si="4"/>
        <v>9.8333333333333321</v>
      </c>
      <c r="L260" t="s">
        <v>25</v>
      </c>
      <c r="M260" t="s">
        <v>29</v>
      </c>
      <c r="N260" t="s">
        <v>27</v>
      </c>
      <c r="O260" s="3">
        <v>0</v>
      </c>
      <c r="P260" s="4">
        <v>0</v>
      </c>
      <c r="Q260" s="5">
        <v>0</v>
      </c>
      <c r="R260" s="6">
        <v>0</v>
      </c>
      <c r="S260" s="3">
        <v>0</v>
      </c>
      <c r="T260" s="4">
        <v>0</v>
      </c>
      <c r="U260" s="5">
        <v>0</v>
      </c>
      <c r="V260" s="6">
        <v>0</v>
      </c>
    </row>
    <row r="261" spans="1:25" x14ac:dyDescent="0.3">
      <c r="A261" t="s">
        <v>25</v>
      </c>
      <c r="B261" s="7">
        <v>45176</v>
      </c>
      <c r="C261" t="s">
        <v>26</v>
      </c>
      <c r="D261">
        <v>4</v>
      </c>
      <c r="E261">
        <v>1</v>
      </c>
      <c r="F261">
        <v>1</v>
      </c>
      <c r="G261" t="s">
        <v>35</v>
      </c>
      <c r="H261">
        <v>2</v>
      </c>
      <c r="I261" s="8">
        <v>0.33333333333333331</v>
      </c>
      <c r="J261" s="8">
        <v>0.49513888888888885</v>
      </c>
      <c r="K261" s="9">
        <f t="shared" si="4"/>
        <v>7.7666666666666657</v>
      </c>
      <c r="L261" t="s">
        <v>25</v>
      </c>
      <c r="M261" t="s">
        <v>29</v>
      </c>
      <c r="N261" t="s">
        <v>32</v>
      </c>
      <c r="O261" s="3">
        <v>0</v>
      </c>
      <c r="P261" s="4">
        <v>0</v>
      </c>
      <c r="Q261" s="5">
        <v>6</v>
      </c>
      <c r="R261" s="6">
        <v>0</v>
      </c>
      <c r="S261" s="3">
        <v>0</v>
      </c>
      <c r="T261" s="4">
        <v>0</v>
      </c>
      <c r="U261" s="5">
        <v>2</v>
      </c>
      <c r="V261" s="6">
        <v>0</v>
      </c>
    </row>
    <row r="262" spans="1:25" x14ac:dyDescent="0.3">
      <c r="A262" t="s">
        <v>25</v>
      </c>
      <c r="B262" s="7">
        <v>45176</v>
      </c>
      <c r="C262" t="s">
        <v>26</v>
      </c>
      <c r="D262">
        <v>5</v>
      </c>
      <c r="E262">
        <v>1</v>
      </c>
      <c r="F262">
        <v>1</v>
      </c>
      <c r="G262" t="s">
        <v>35</v>
      </c>
      <c r="H262">
        <v>2</v>
      </c>
      <c r="I262" s="8">
        <v>0.27083333333333331</v>
      </c>
      <c r="J262" s="8">
        <v>0.49722222222222223</v>
      </c>
      <c r="K262" s="9">
        <f t="shared" si="4"/>
        <v>10.866666666666667</v>
      </c>
      <c r="L262" t="s">
        <v>25</v>
      </c>
      <c r="M262" t="s">
        <v>112</v>
      </c>
      <c r="N262" t="s">
        <v>32</v>
      </c>
      <c r="O262" s="3">
        <v>0</v>
      </c>
      <c r="P262" s="4">
        <v>0</v>
      </c>
      <c r="Q262" s="5">
        <v>4</v>
      </c>
      <c r="R262" s="6">
        <v>0</v>
      </c>
      <c r="S262" s="3">
        <v>0</v>
      </c>
      <c r="T262" s="4">
        <v>0</v>
      </c>
      <c r="U262" s="5">
        <v>6</v>
      </c>
      <c r="V262" s="6">
        <v>0</v>
      </c>
    </row>
    <row r="263" spans="1:25" x14ac:dyDescent="0.3">
      <c r="A263" t="s">
        <v>25</v>
      </c>
      <c r="B263" s="7">
        <v>45176</v>
      </c>
      <c r="C263" t="s">
        <v>26</v>
      </c>
      <c r="D263">
        <v>6</v>
      </c>
      <c r="E263">
        <v>1</v>
      </c>
      <c r="F263">
        <v>1</v>
      </c>
      <c r="G263" t="s">
        <v>35</v>
      </c>
      <c r="H263">
        <v>5</v>
      </c>
      <c r="I263" s="8">
        <v>0.25</v>
      </c>
      <c r="J263" s="8">
        <v>0.4375</v>
      </c>
      <c r="K263" s="9">
        <f t="shared" si="4"/>
        <v>22.5</v>
      </c>
      <c r="L263" t="s">
        <v>25</v>
      </c>
      <c r="M263" t="s">
        <v>29</v>
      </c>
      <c r="N263" t="s">
        <v>32</v>
      </c>
      <c r="O263" s="3">
        <v>0</v>
      </c>
      <c r="P263" s="4">
        <v>0</v>
      </c>
      <c r="Q263" s="5">
        <v>30</v>
      </c>
      <c r="R263" s="6">
        <v>0</v>
      </c>
      <c r="S263" s="3">
        <v>0</v>
      </c>
      <c r="T263" s="4">
        <v>0</v>
      </c>
      <c r="U263" s="5">
        <v>12</v>
      </c>
      <c r="V263" s="6">
        <v>0</v>
      </c>
      <c r="Y263" t="s">
        <v>141</v>
      </c>
    </row>
    <row r="264" spans="1:25" x14ac:dyDescent="0.3">
      <c r="A264" t="s">
        <v>25</v>
      </c>
      <c r="B264" s="7">
        <v>45176</v>
      </c>
      <c r="C264" t="s">
        <v>42</v>
      </c>
      <c r="D264">
        <v>7</v>
      </c>
      <c r="E264">
        <v>1</v>
      </c>
      <c r="F264">
        <v>2</v>
      </c>
      <c r="G264" t="s">
        <v>27</v>
      </c>
      <c r="H264">
        <v>2</v>
      </c>
      <c r="I264" s="8">
        <v>0.65625</v>
      </c>
      <c r="J264" s="8">
        <v>0.66666666666666663</v>
      </c>
      <c r="K264" s="9">
        <f t="shared" si="4"/>
        <v>0.49999999999999822</v>
      </c>
      <c r="L264" t="s">
        <v>28</v>
      </c>
      <c r="M264" t="s">
        <v>29</v>
      </c>
      <c r="N264" t="s">
        <v>27</v>
      </c>
      <c r="O264" s="3">
        <v>0</v>
      </c>
      <c r="P264" s="4">
        <v>0</v>
      </c>
      <c r="Q264" s="5">
        <v>0</v>
      </c>
      <c r="R264" s="6">
        <v>0</v>
      </c>
      <c r="S264" s="3">
        <v>0</v>
      </c>
      <c r="T264" s="4">
        <v>0</v>
      </c>
      <c r="U264" s="5">
        <v>0</v>
      </c>
      <c r="V264" s="6">
        <v>0</v>
      </c>
      <c r="Y264" t="s">
        <v>142</v>
      </c>
    </row>
    <row r="265" spans="1:25" x14ac:dyDescent="0.3">
      <c r="A265" t="s">
        <v>25</v>
      </c>
      <c r="B265" s="7">
        <v>45176</v>
      </c>
      <c r="C265" t="s">
        <v>42</v>
      </c>
      <c r="D265">
        <v>8</v>
      </c>
      <c r="E265">
        <v>1</v>
      </c>
      <c r="F265">
        <v>2</v>
      </c>
      <c r="G265" t="s">
        <v>27</v>
      </c>
      <c r="H265">
        <v>1</v>
      </c>
      <c r="I265" s="8">
        <v>0.63888888888888895</v>
      </c>
      <c r="J265" s="8">
        <v>0.6875</v>
      </c>
      <c r="K265" s="9">
        <f t="shared" si="4"/>
        <v>1.1666666666666652</v>
      </c>
      <c r="L265" t="s">
        <v>28</v>
      </c>
      <c r="M265" t="s">
        <v>29</v>
      </c>
      <c r="N265" t="s">
        <v>27</v>
      </c>
      <c r="O265" s="3">
        <v>0</v>
      </c>
      <c r="P265" s="4">
        <v>0</v>
      </c>
      <c r="Q265" s="5">
        <v>1</v>
      </c>
      <c r="R265" s="6">
        <v>0</v>
      </c>
      <c r="S265" s="3">
        <v>0</v>
      </c>
      <c r="T265" s="4">
        <v>0</v>
      </c>
      <c r="U265" s="5">
        <v>0</v>
      </c>
      <c r="V265" s="6">
        <v>0</v>
      </c>
      <c r="Y265" t="s">
        <v>143</v>
      </c>
    </row>
    <row r="266" spans="1:25" x14ac:dyDescent="0.3">
      <c r="A266" t="s">
        <v>25</v>
      </c>
      <c r="B266" s="7">
        <v>45176</v>
      </c>
      <c r="C266" t="s">
        <v>42</v>
      </c>
      <c r="D266">
        <v>9</v>
      </c>
      <c r="E266">
        <v>1</v>
      </c>
      <c r="F266">
        <v>2</v>
      </c>
      <c r="G266" t="s">
        <v>27</v>
      </c>
      <c r="H266">
        <v>2</v>
      </c>
      <c r="I266" s="8">
        <v>0.28125</v>
      </c>
      <c r="J266" s="8">
        <v>0.6875</v>
      </c>
      <c r="K266" s="9">
        <f t="shared" si="4"/>
        <v>19.5</v>
      </c>
      <c r="L266" t="s">
        <v>28</v>
      </c>
      <c r="M266" t="s">
        <v>29</v>
      </c>
      <c r="N266" t="s">
        <v>32</v>
      </c>
      <c r="O266" s="3">
        <v>0</v>
      </c>
      <c r="P266" s="4">
        <v>0</v>
      </c>
      <c r="Q266" s="5">
        <v>6</v>
      </c>
      <c r="R266" s="6">
        <v>0</v>
      </c>
      <c r="S266" s="3">
        <v>0</v>
      </c>
      <c r="T266" s="4">
        <v>0</v>
      </c>
      <c r="U266" s="5">
        <v>0</v>
      </c>
      <c r="V266" s="6">
        <v>0</v>
      </c>
      <c r="Y266" t="s">
        <v>143</v>
      </c>
    </row>
    <row r="267" spans="1:25" x14ac:dyDescent="0.3">
      <c r="A267" t="s">
        <v>25</v>
      </c>
      <c r="B267" s="7">
        <v>45176</v>
      </c>
      <c r="C267" t="s">
        <v>42</v>
      </c>
      <c r="D267">
        <v>10</v>
      </c>
      <c r="E267">
        <v>1</v>
      </c>
      <c r="F267">
        <v>2</v>
      </c>
      <c r="G267" t="s">
        <v>27</v>
      </c>
      <c r="H267">
        <v>1</v>
      </c>
      <c r="I267" s="8">
        <v>0.54166666666666663</v>
      </c>
      <c r="J267" s="8">
        <v>0.70138888888888884</v>
      </c>
      <c r="K267" s="9">
        <f t="shared" si="4"/>
        <v>3.833333333333333</v>
      </c>
      <c r="L267" t="s">
        <v>28</v>
      </c>
      <c r="M267" t="s">
        <v>29</v>
      </c>
      <c r="N267" t="s">
        <v>32</v>
      </c>
      <c r="O267" s="3">
        <v>0</v>
      </c>
      <c r="P267" s="4">
        <v>0</v>
      </c>
      <c r="Q267" s="5">
        <v>3</v>
      </c>
      <c r="R267" s="6">
        <v>0</v>
      </c>
      <c r="S267" s="3">
        <v>0</v>
      </c>
      <c r="T267" s="4">
        <v>0</v>
      </c>
      <c r="U267" s="5">
        <v>0</v>
      </c>
      <c r="V267" s="6">
        <v>0</v>
      </c>
      <c r="Y267" t="s">
        <v>140</v>
      </c>
    </row>
    <row r="268" spans="1:25" x14ac:dyDescent="0.3">
      <c r="A268" t="s">
        <v>25</v>
      </c>
      <c r="B268" s="7">
        <v>45176</v>
      </c>
      <c r="C268" t="s">
        <v>42</v>
      </c>
      <c r="D268">
        <v>11</v>
      </c>
      <c r="E268">
        <v>1</v>
      </c>
      <c r="F268">
        <v>2</v>
      </c>
      <c r="G268" t="s">
        <v>27</v>
      </c>
      <c r="H268">
        <v>1</v>
      </c>
      <c r="I268" s="8">
        <v>0.625</v>
      </c>
      <c r="J268" s="8">
        <v>0.70138888888888884</v>
      </c>
      <c r="K268" s="9">
        <f t="shared" si="4"/>
        <v>1.8333333333333321</v>
      </c>
      <c r="L268" t="s">
        <v>28</v>
      </c>
      <c r="M268" t="s">
        <v>29</v>
      </c>
      <c r="N268" t="s">
        <v>32</v>
      </c>
      <c r="O268" s="3">
        <v>0</v>
      </c>
      <c r="P268" s="4">
        <v>0</v>
      </c>
      <c r="Q268" s="5">
        <v>3</v>
      </c>
      <c r="R268" s="6">
        <v>0</v>
      </c>
      <c r="S268" s="3">
        <v>0</v>
      </c>
      <c r="T268" s="4">
        <v>0</v>
      </c>
      <c r="U268" s="5">
        <v>2</v>
      </c>
      <c r="V268" s="6">
        <v>0</v>
      </c>
      <c r="Y268" t="s">
        <v>140</v>
      </c>
    </row>
    <row r="269" spans="1:25" x14ac:dyDescent="0.3">
      <c r="A269" t="s">
        <v>25</v>
      </c>
      <c r="B269" s="7">
        <v>45176</v>
      </c>
      <c r="C269" t="s">
        <v>42</v>
      </c>
      <c r="D269">
        <v>12</v>
      </c>
      <c r="E269">
        <v>2</v>
      </c>
      <c r="F269">
        <v>1</v>
      </c>
      <c r="G269" t="s">
        <v>27</v>
      </c>
      <c r="H269">
        <v>1</v>
      </c>
      <c r="I269" s="8">
        <v>0.6875</v>
      </c>
      <c r="J269" s="8">
        <v>0.73055555555555562</v>
      </c>
      <c r="K269" s="9">
        <f t="shared" si="4"/>
        <v>1.033333333333335</v>
      </c>
      <c r="L269" t="s">
        <v>28</v>
      </c>
      <c r="M269" t="s">
        <v>73</v>
      </c>
      <c r="N269" t="s">
        <v>32</v>
      </c>
      <c r="O269" s="3">
        <v>0</v>
      </c>
      <c r="P269" s="4">
        <v>0</v>
      </c>
      <c r="Q269" s="5">
        <v>1</v>
      </c>
      <c r="R269" s="6">
        <v>0</v>
      </c>
      <c r="S269" s="3">
        <v>0</v>
      </c>
      <c r="T269" s="4">
        <v>0</v>
      </c>
      <c r="U269" s="5">
        <v>0</v>
      </c>
      <c r="V269" s="6">
        <v>0</v>
      </c>
      <c r="Y269" t="s">
        <v>144</v>
      </c>
    </row>
    <row r="270" spans="1:25" x14ac:dyDescent="0.3">
      <c r="A270" t="s">
        <v>25</v>
      </c>
      <c r="B270" s="7">
        <v>45176</v>
      </c>
      <c r="C270" t="s">
        <v>42</v>
      </c>
      <c r="D270">
        <v>13</v>
      </c>
      <c r="E270">
        <v>2</v>
      </c>
      <c r="F270">
        <v>1</v>
      </c>
      <c r="G270" t="s">
        <v>27</v>
      </c>
      <c r="H270">
        <v>1</v>
      </c>
      <c r="I270" s="8">
        <v>0.69791666666666663</v>
      </c>
      <c r="J270" s="8">
        <v>0.73125000000000007</v>
      </c>
      <c r="K270" s="9">
        <f t="shared" si="4"/>
        <v>0.80000000000000249</v>
      </c>
      <c r="L270" t="s">
        <v>25</v>
      </c>
      <c r="M270" t="s">
        <v>29</v>
      </c>
      <c r="N270" t="s">
        <v>32</v>
      </c>
      <c r="O270" s="3">
        <v>0</v>
      </c>
      <c r="P270" s="4">
        <v>0</v>
      </c>
      <c r="Q270" s="5">
        <v>0</v>
      </c>
      <c r="R270" s="6">
        <v>0</v>
      </c>
      <c r="S270" s="3">
        <v>0</v>
      </c>
      <c r="T270" s="4">
        <v>0</v>
      </c>
      <c r="U270" s="5">
        <v>0</v>
      </c>
      <c r="V270" s="6">
        <v>0</v>
      </c>
      <c r="Y270" t="s">
        <v>144</v>
      </c>
    </row>
    <row r="271" spans="1:25" x14ac:dyDescent="0.3">
      <c r="A271" t="s">
        <v>25</v>
      </c>
      <c r="B271" s="7">
        <v>45176</v>
      </c>
      <c r="C271" t="s">
        <v>42</v>
      </c>
      <c r="D271">
        <v>14</v>
      </c>
      <c r="E271">
        <v>2</v>
      </c>
      <c r="F271">
        <v>2</v>
      </c>
      <c r="G271" t="s">
        <v>27</v>
      </c>
      <c r="H271">
        <v>1</v>
      </c>
      <c r="I271" s="8">
        <v>0.5</v>
      </c>
      <c r="J271" s="8">
        <v>0.75</v>
      </c>
      <c r="K271" s="9">
        <f t="shared" si="4"/>
        <v>6</v>
      </c>
      <c r="L271" t="s">
        <v>28</v>
      </c>
      <c r="M271" t="s">
        <v>145</v>
      </c>
      <c r="N271" t="s">
        <v>27</v>
      </c>
      <c r="O271" s="3">
        <v>0</v>
      </c>
      <c r="P271" s="4">
        <v>0</v>
      </c>
      <c r="Q271" s="5">
        <v>5</v>
      </c>
      <c r="R271" s="6">
        <v>0</v>
      </c>
      <c r="S271" s="3">
        <v>0</v>
      </c>
      <c r="T271" s="4">
        <v>0</v>
      </c>
      <c r="U271" s="5">
        <v>4</v>
      </c>
      <c r="V271" s="6">
        <v>0</v>
      </c>
      <c r="Y271" t="s">
        <v>122</v>
      </c>
    </row>
    <row r="272" spans="1:25" x14ac:dyDescent="0.3">
      <c r="A272" t="s">
        <v>25</v>
      </c>
      <c r="B272" s="7">
        <v>45176</v>
      </c>
      <c r="C272" t="s">
        <v>42</v>
      </c>
      <c r="D272">
        <v>15</v>
      </c>
      <c r="E272">
        <v>2</v>
      </c>
      <c r="F272">
        <v>2</v>
      </c>
      <c r="G272" t="s">
        <v>27</v>
      </c>
      <c r="H272">
        <v>1</v>
      </c>
      <c r="I272" s="8">
        <v>0.6875</v>
      </c>
      <c r="J272" s="8">
        <v>0.73958333333333337</v>
      </c>
      <c r="K272" s="9">
        <f t="shared" si="4"/>
        <v>1.2500000000000009</v>
      </c>
      <c r="L272" t="s">
        <v>28</v>
      </c>
      <c r="M272" t="s">
        <v>29</v>
      </c>
      <c r="N272" t="s">
        <v>32</v>
      </c>
      <c r="O272" s="3">
        <v>0</v>
      </c>
      <c r="P272" s="4">
        <v>0</v>
      </c>
      <c r="Q272" s="5">
        <v>2</v>
      </c>
      <c r="R272" s="6">
        <v>0</v>
      </c>
      <c r="S272" s="3">
        <v>0</v>
      </c>
      <c r="T272" s="4">
        <v>0</v>
      </c>
      <c r="U272" s="5">
        <v>0</v>
      </c>
      <c r="V272" s="6">
        <v>0</v>
      </c>
      <c r="Y272" t="s">
        <v>122</v>
      </c>
    </row>
    <row r="273" spans="1:25" x14ac:dyDescent="0.3">
      <c r="A273" t="s">
        <v>25</v>
      </c>
      <c r="B273" s="7">
        <v>45176</v>
      </c>
      <c r="C273" t="s">
        <v>42</v>
      </c>
      <c r="D273">
        <v>16</v>
      </c>
      <c r="E273">
        <v>2</v>
      </c>
      <c r="F273">
        <v>2</v>
      </c>
      <c r="G273" t="s">
        <v>27</v>
      </c>
      <c r="H273">
        <v>1</v>
      </c>
      <c r="I273" s="8">
        <v>0.73611111111111116</v>
      </c>
      <c r="J273" s="8">
        <v>0.75</v>
      </c>
      <c r="K273" s="9">
        <f t="shared" si="4"/>
        <v>0.33333333333333215</v>
      </c>
      <c r="L273" t="s">
        <v>28</v>
      </c>
      <c r="M273" t="s">
        <v>29</v>
      </c>
      <c r="N273" t="s">
        <v>146</v>
      </c>
      <c r="O273" s="3">
        <v>0</v>
      </c>
      <c r="P273" s="4">
        <v>0</v>
      </c>
      <c r="Q273" s="5">
        <v>0</v>
      </c>
      <c r="R273" s="6">
        <v>0</v>
      </c>
      <c r="S273" s="3">
        <v>0</v>
      </c>
      <c r="T273" s="4">
        <v>0</v>
      </c>
      <c r="U273" s="5">
        <v>0</v>
      </c>
      <c r="V273" s="6">
        <v>0</v>
      </c>
    </row>
    <row r="274" spans="1:25" x14ac:dyDescent="0.3">
      <c r="A274" t="s">
        <v>25</v>
      </c>
      <c r="B274" s="7">
        <v>45176</v>
      </c>
      <c r="C274" t="s">
        <v>42</v>
      </c>
      <c r="D274">
        <v>17</v>
      </c>
      <c r="E274">
        <v>2</v>
      </c>
      <c r="F274">
        <v>2</v>
      </c>
      <c r="G274" t="s">
        <v>27</v>
      </c>
      <c r="H274">
        <v>2</v>
      </c>
      <c r="I274" s="8">
        <v>0.72222222222222221</v>
      </c>
      <c r="J274" s="8">
        <v>0.75</v>
      </c>
      <c r="K274" s="9">
        <f t="shared" si="4"/>
        <v>1.3333333333333339</v>
      </c>
      <c r="L274" t="s">
        <v>28</v>
      </c>
      <c r="M274" t="s">
        <v>99</v>
      </c>
      <c r="N274" t="s">
        <v>27</v>
      </c>
      <c r="O274" s="3">
        <v>0</v>
      </c>
      <c r="P274" s="4">
        <v>0</v>
      </c>
      <c r="Q274" s="5">
        <v>0</v>
      </c>
      <c r="R274" s="6">
        <v>0</v>
      </c>
      <c r="S274" s="3">
        <v>0</v>
      </c>
      <c r="T274" s="4">
        <v>0</v>
      </c>
      <c r="U274" s="5">
        <v>0</v>
      </c>
      <c r="V274" s="6">
        <v>0</v>
      </c>
    </row>
    <row r="275" spans="1:25" x14ac:dyDescent="0.3">
      <c r="A275" t="s">
        <v>25</v>
      </c>
      <c r="B275" s="7">
        <v>45176</v>
      </c>
      <c r="C275" t="s">
        <v>42</v>
      </c>
      <c r="D275">
        <v>18</v>
      </c>
      <c r="E275">
        <v>2</v>
      </c>
      <c r="F275">
        <v>2</v>
      </c>
      <c r="G275" t="s">
        <v>35</v>
      </c>
      <c r="H275">
        <v>1</v>
      </c>
      <c r="I275" s="8">
        <v>0.47916666666666669</v>
      </c>
      <c r="J275" s="8">
        <v>0.75902777777777775</v>
      </c>
      <c r="K275" s="9">
        <f t="shared" si="4"/>
        <v>6.716666666666665</v>
      </c>
      <c r="L275" t="s">
        <v>25</v>
      </c>
      <c r="M275" t="s">
        <v>29</v>
      </c>
      <c r="N275" t="s">
        <v>32</v>
      </c>
      <c r="O275" s="3">
        <v>0</v>
      </c>
      <c r="P275" s="4">
        <v>0</v>
      </c>
      <c r="Q275" s="5">
        <v>6</v>
      </c>
      <c r="R275" s="6">
        <v>0</v>
      </c>
      <c r="S275" s="3">
        <v>0</v>
      </c>
      <c r="T275" s="4">
        <v>0</v>
      </c>
      <c r="U275" s="5">
        <v>0</v>
      </c>
      <c r="V275" s="6">
        <v>0</v>
      </c>
      <c r="Y275" t="s">
        <v>147</v>
      </c>
    </row>
    <row r="276" spans="1:25" x14ac:dyDescent="0.3">
      <c r="A276" t="s">
        <v>25</v>
      </c>
      <c r="B276" s="7">
        <v>45176</v>
      </c>
      <c r="C276" t="s">
        <v>42</v>
      </c>
      <c r="D276">
        <v>19</v>
      </c>
      <c r="E276">
        <v>2</v>
      </c>
      <c r="F276">
        <v>2</v>
      </c>
      <c r="G276" t="s">
        <v>27</v>
      </c>
      <c r="H276">
        <v>1</v>
      </c>
      <c r="I276" s="8">
        <v>0.70833333333333337</v>
      </c>
      <c r="J276" s="8">
        <v>0.75902777777777775</v>
      </c>
      <c r="K276" s="9">
        <f t="shared" si="4"/>
        <v>1.216666666666665</v>
      </c>
      <c r="L276" t="s">
        <v>28</v>
      </c>
      <c r="M276" t="s">
        <v>99</v>
      </c>
      <c r="N276" t="s">
        <v>27</v>
      </c>
      <c r="O276" s="3">
        <v>0</v>
      </c>
      <c r="P276" s="4">
        <v>0</v>
      </c>
      <c r="Q276" s="5">
        <v>0</v>
      </c>
      <c r="R276" s="6">
        <v>0</v>
      </c>
      <c r="S276" s="3">
        <v>0</v>
      </c>
      <c r="T276" s="4">
        <v>0</v>
      </c>
      <c r="U276" s="5">
        <v>0</v>
      </c>
      <c r="V276" s="6">
        <v>0</v>
      </c>
    </row>
    <row r="277" spans="1:25" x14ac:dyDescent="0.3">
      <c r="A277" t="s">
        <v>25</v>
      </c>
      <c r="B277" s="7">
        <v>45176</v>
      </c>
      <c r="C277" t="s">
        <v>42</v>
      </c>
      <c r="D277">
        <v>20</v>
      </c>
      <c r="E277">
        <v>2</v>
      </c>
      <c r="F277">
        <v>3</v>
      </c>
      <c r="G277" t="s">
        <v>27</v>
      </c>
      <c r="H277">
        <v>1</v>
      </c>
      <c r="I277" s="8">
        <v>0.68958333333333333</v>
      </c>
      <c r="J277" s="8">
        <v>0.7729166666666667</v>
      </c>
      <c r="K277" s="9">
        <f t="shared" si="4"/>
        <v>2.0000000000000009</v>
      </c>
      <c r="L277" t="s">
        <v>25</v>
      </c>
      <c r="M277" t="s">
        <v>148</v>
      </c>
      <c r="N277" t="s">
        <v>27</v>
      </c>
      <c r="O277" s="3">
        <v>0</v>
      </c>
      <c r="P277" s="4">
        <v>0</v>
      </c>
      <c r="Q277" s="5">
        <v>0</v>
      </c>
      <c r="R277" s="6">
        <v>0</v>
      </c>
      <c r="S277" s="3">
        <v>0</v>
      </c>
      <c r="T277" s="4">
        <v>0</v>
      </c>
      <c r="U277" s="5">
        <v>0</v>
      </c>
      <c r="V277" s="6">
        <v>0</v>
      </c>
    </row>
    <row r="278" spans="1:25" x14ac:dyDescent="0.3">
      <c r="A278" t="s">
        <v>25</v>
      </c>
      <c r="B278" s="7">
        <v>45176</v>
      </c>
      <c r="C278" t="s">
        <v>42</v>
      </c>
      <c r="D278">
        <v>21</v>
      </c>
      <c r="E278">
        <v>2</v>
      </c>
      <c r="F278">
        <v>3</v>
      </c>
      <c r="G278" t="s">
        <v>27</v>
      </c>
      <c r="H278">
        <v>1</v>
      </c>
      <c r="I278" s="8">
        <v>0.66666666666666663</v>
      </c>
      <c r="J278" s="8">
        <v>0.77430555555555547</v>
      </c>
      <c r="K278" s="9">
        <f t="shared" si="4"/>
        <v>2.5833333333333321</v>
      </c>
      <c r="L278" t="s">
        <v>28</v>
      </c>
      <c r="M278" t="s">
        <v>82</v>
      </c>
      <c r="N278" t="s">
        <v>75</v>
      </c>
      <c r="O278" s="3">
        <v>0</v>
      </c>
      <c r="P278" s="4">
        <v>0</v>
      </c>
      <c r="Q278" s="5">
        <v>3</v>
      </c>
      <c r="R278" s="6">
        <v>0</v>
      </c>
      <c r="S278" s="3">
        <v>0</v>
      </c>
      <c r="T278" s="4">
        <v>0</v>
      </c>
      <c r="U278" s="5">
        <v>2</v>
      </c>
      <c r="V278" s="6">
        <v>0</v>
      </c>
    </row>
    <row r="279" spans="1:25" x14ac:dyDescent="0.3">
      <c r="A279" t="s">
        <v>25</v>
      </c>
      <c r="B279" s="7">
        <v>45176</v>
      </c>
      <c r="C279" t="s">
        <v>42</v>
      </c>
      <c r="D279">
        <v>22</v>
      </c>
      <c r="E279">
        <v>2</v>
      </c>
      <c r="F279">
        <v>4</v>
      </c>
      <c r="G279" t="s">
        <v>27</v>
      </c>
      <c r="H279">
        <v>2</v>
      </c>
      <c r="I279" s="8">
        <v>0.70833333333333337</v>
      </c>
      <c r="J279" s="8">
        <v>0.78125</v>
      </c>
      <c r="K279" s="9">
        <f t="shared" si="4"/>
        <v>3.4999999999999982</v>
      </c>
      <c r="L279" t="s">
        <v>28</v>
      </c>
      <c r="M279" t="s">
        <v>56</v>
      </c>
      <c r="N279" t="s">
        <v>55</v>
      </c>
      <c r="O279" s="3">
        <v>0</v>
      </c>
      <c r="P279" s="4">
        <v>1</v>
      </c>
      <c r="Q279" s="5">
        <v>0</v>
      </c>
      <c r="R279" s="6">
        <v>0</v>
      </c>
      <c r="S279" s="3">
        <v>0</v>
      </c>
      <c r="T279" s="4">
        <v>0</v>
      </c>
      <c r="U279" s="5">
        <v>0</v>
      </c>
      <c r="V279" s="6">
        <v>0</v>
      </c>
      <c r="Y279" t="s">
        <v>149</v>
      </c>
    </row>
    <row r="280" spans="1:25" x14ac:dyDescent="0.3">
      <c r="A280" t="s">
        <v>25</v>
      </c>
      <c r="B280" s="7">
        <v>45176</v>
      </c>
      <c r="C280" t="s">
        <v>42</v>
      </c>
      <c r="D280">
        <v>23</v>
      </c>
      <c r="E280">
        <v>2</v>
      </c>
      <c r="F280">
        <v>4</v>
      </c>
      <c r="G280" t="s">
        <v>27</v>
      </c>
      <c r="H280">
        <v>1</v>
      </c>
      <c r="I280" s="8">
        <v>0.66666666666666663</v>
      </c>
      <c r="J280" s="8">
        <v>0.7993055555555556</v>
      </c>
      <c r="K280" s="9">
        <f t="shared" si="4"/>
        <v>3.1833333333333353</v>
      </c>
      <c r="L280" t="s">
        <v>25</v>
      </c>
      <c r="M280" t="s">
        <v>56</v>
      </c>
      <c r="N280" t="s">
        <v>55</v>
      </c>
      <c r="O280" s="3">
        <v>0</v>
      </c>
      <c r="P280" s="4">
        <v>0</v>
      </c>
      <c r="Q280" s="5">
        <v>0</v>
      </c>
      <c r="R280" s="6">
        <v>0</v>
      </c>
      <c r="S280" s="3">
        <v>0</v>
      </c>
      <c r="T280" s="4">
        <v>0</v>
      </c>
      <c r="U280" s="5">
        <v>4</v>
      </c>
      <c r="V280" s="6">
        <v>0</v>
      </c>
      <c r="Y280" t="s">
        <v>129</v>
      </c>
    </row>
    <row r="281" spans="1:25" x14ac:dyDescent="0.3">
      <c r="A281" t="s">
        <v>25</v>
      </c>
      <c r="B281" s="7">
        <v>45176</v>
      </c>
      <c r="C281" t="s">
        <v>42</v>
      </c>
      <c r="D281">
        <v>24</v>
      </c>
      <c r="E281">
        <v>2</v>
      </c>
      <c r="F281">
        <v>4</v>
      </c>
      <c r="G281" t="s">
        <v>27</v>
      </c>
      <c r="H281">
        <v>1</v>
      </c>
      <c r="I281" s="8">
        <v>0.72916666666666663</v>
      </c>
      <c r="J281" s="8">
        <v>0.8125</v>
      </c>
      <c r="K281" s="9">
        <f t="shared" si="4"/>
        <v>2.0000000000000009</v>
      </c>
      <c r="L281" t="s">
        <v>28</v>
      </c>
      <c r="M281" t="s">
        <v>99</v>
      </c>
      <c r="N281" t="s">
        <v>27</v>
      </c>
      <c r="O281" s="3">
        <v>0</v>
      </c>
      <c r="P281" s="4">
        <v>0</v>
      </c>
      <c r="Q281" s="5">
        <v>0</v>
      </c>
      <c r="R281" s="6">
        <v>0</v>
      </c>
      <c r="S281" s="3">
        <v>0</v>
      </c>
      <c r="T281" s="4">
        <v>0</v>
      </c>
      <c r="U281" s="5">
        <v>0</v>
      </c>
      <c r="V281" s="6">
        <v>0</v>
      </c>
      <c r="Y281" t="s">
        <v>131</v>
      </c>
    </row>
    <row r="282" spans="1:25" x14ac:dyDescent="0.3">
      <c r="A282" t="s">
        <v>25</v>
      </c>
      <c r="B282" s="7">
        <v>45176</v>
      </c>
      <c r="C282" t="s">
        <v>42</v>
      </c>
      <c r="D282">
        <v>25</v>
      </c>
      <c r="E282">
        <v>2</v>
      </c>
      <c r="F282">
        <v>4</v>
      </c>
      <c r="G282" t="s">
        <v>27</v>
      </c>
      <c r="H282">
        <v>1</v>
      </c>
      <c r="I282" s="8">
        <v>0.77083333333333337</v>
      </c>
      <c r="J282" s="8">
        <v>0.8125</v>
      </c>
      <c r="K282" s="9">
        <f t="shared" si="4"/>
        <v>0.99999999999999911</v>
      </c>
      <c r="L282" t="s">
        <v>28</v>
      </c>
      <c r="M282" t="s">
        <v>54</v>
      </c>
      <c r="N282" t="s">
        <v>27</v>
      </c>
      <c r="O282" s="3">
        <v>0</v>
      </c>
      <c r="P282" s="4">
        <v>0</v>
      </c>
      <c r="Q282" s="5">
        <v>0</v>
      </c>
      <c r="R282" s="6">
        <v>0</v>
      </c>
      <c r="S282" s="3">
        <v>0</v>
      </c>
      <c r="T282" s="4">
        <v>0</v>
      </c>
      <c r="U282" s="5">
        <v>0</v>
      </c>
      <c r="V282" s="6">
        <v>0</v>
      </c>
      <c r="W282" t="s">
        <v>150</v>
      </c>
      <c r="Y282" t="s">
        <v>131</v>
      </c>
    </row>
    <row r="283" spans="1:25" x14ac:dyDescent="0.3">
      <c r="A283" t="s">
        <v>25</v>
      </c>
      <c r="B283" s="7">
        <v>45176</v>
      </c>
      <c r="C283" t="s">
        <v>42</v>
      </c>
      <c r="D283">
        <v>26</v>
      </c>
      <c r="E283">
        <v>2</v>
      </c>
      <c r="F283">
        <v>4</v>
      </c>
      <c r="G283" t="s">
        <v>27</v>
      </c>
      <c r="H283">
        <v>1</v>
      </c>
      <c r="I283" s="8">
        <v>0.78125</v>
      </c>
      <c r="J283" s="8">
        <v>0.82430555555555562</v>
      </c>
      <c r="K283" s="9">
        <f t="shared" si="4"/>
        <v>1.033333333333335</v>
      </c>
      <c r="L283" t="s">
        <v>25</v>
      </c>
      <c r="M283" t="s">
        <v>54</v>
      </c>
      <c r="N283" t="s">
        <v>27</v>
      </c>
      <c r="O283" s="3">
        <v>0</v>
      </c>
      <c r="P283" s="4">
        <v>0</v>
      </c>
      <c r="Q283" s="5">
        <v>0</v>
      </c>
      <c r="R283" s="6">
        <v>0</v>
      </c>
      <c r="S283" s="3">
        <v>0</v>
      </c>
      <c r="T283" s="4">
        <v>0</v>
      </c>
      <c r="U283" s="5">
        <v>0</v>
      </c>
      <c r="V283" s="6">
        <v>0</v>
      </c>
      <c r="Y283" t="s">
        <v>131</v>
      </c>
    </row>
    <row r="284" spans="1:25" x14ac:dyDescent="0.3">
      <c r="A284" t="s">
        <v>25</v>
      </c>
      <c r="B284" s="7">
        <v>45176</v>
      </c>
      <c r="C284" t="s">
        <v>42</v>
      </c>
      <c r="D284">
        <v>27</v>
      </c>
      <c r="E284">
        <v>2</v>
      </c>
      <c r="F284">
        <v>5</v>
      </c>
      <c r="G284" t="s">
        <v>27</v>
      </c>
      <c r="H284">
        <v>3</v>
      </c>
      <c r="I284" s="8">
        <v>0.73958333333333337</v>
      </c>
      <c r="J284" s="8">
        <v>0.83680555555555547</v>
      </c>
      <c r="K284" s="9">
        <f t="shared" si="4"/>
        <v>6.9999999999999911</v>
      </c>
      <c r="L284" t="s">
        <v>25</v>
      </c>
      <c r="M284" t="s">
        <v>51</v>
      </c>
      <c r="N284" t="s">
        <v>151</v>
      </c>
      <c r="O284" s="3">
        <v>0</v>
      </c>
      <c r="P284" s="4">
        <v>0</v>
      </c>
      <c r="Q284" s="5">
        <v>1</v>
      </c>
      <c r="R284" s="6">
        <v>0</v>
      </c>
      <c r="S284" s="3">
        <v>0</v>
      </c>
      <c r="T284" s="4">
        <v>0</v>
      </c>
      <c r="U284" s="5">
        <v>0</v>
      </c>
      <c r="V284" s="6">
        <v>0</v>
      </c>
      <c r="Y284" t="s">
        <v>132</v>
      </c>
    </row>
    <row r="285" spans="1:25" x14ac:dyDescent="0.3">
      <c r="A285" t="s">
        <v>25</v>
      </c>
      <c r="B285" s="7">
        <v>45177</v>
      </c>
      <c r="C285" t="s">
        <v>26</v>
      </c>
      <c r="D285">
        <v>1</v>
      </c>
      <c r="E285">
        <v>2</v>
      </c>
      <c r="F285">
        <v>5</v>
      </c>
      <c r="G285" t="s">
        <v>27</v>
      </c>
      <c r="H285">
        <v>1</v>
      </c>
      <c r="I285" s="8">
        <v>0.23958333333333334</v>
      </c>
      <c r="J285" s="8">
        <v>0.28125</v>
      </c>
      <c r="K285" s="9">
        <f t="shared" si="4"/>
        <v>0.99999999999999978</v>
      </c>
      <c r="L285" t="s">
        <v>25</v>
      </c>
      <c r="M285" t="s">
        <v>58</v>
      </c>
      <c r="N285" t="s">
        <v>75</v>
      </c>
      <c r="O285" s="3">
        <v>0</v>
      </c>
      <c r="P285" s="4">
        <v>0</v>
      </c>
      <c r="Q285" s="5">
        <v>0</v>
      </c>
      <c r="R285" s="6">
        <v>0</v>
      </c>
      <c r="S285" s="3">
        <v>0</v>
      </c>
      <c r="T285" s="4">
        <v>0</v>
      </c>
      <c r="U285" s="5">
        <v>0</v>
      </c>
      <c r="V285" s="6">
        <v>0</v>
      </c>
      <c r="Y285" t="s">
        <v>132</v>
      </c>
    </row>
    <row r="286" spans="1:25" x14ac:dyDescent="0.3">
      <c r="A286" t="s">
        <v>25</v>
      </c>
      <c r="B286" s="7">
        <v>45177</v>
      </c>
      <c r="C286" t="s">
        <v>26</v>
      </c>
      <c r="D286">
        <v>2</v>
      </c>
      <c r="E286">
        <v>2</v>
      </c>
      <c r="F286">
        <v>5</v>
      </c>
      <c r="G286" t="s">
        <v>27</v>
      </c>
      <c r="H286">
        <v>1</v>
      </c>
      <c r="I286" s="8">
        <v>0.26041666666666669</v>
      </c>
      <c r="J286" s="8">
        <v>0.28472222222222221</v>
      </c>
      <c r="K286" s="9">
        <f t="shared" si="4"/>
        <v>0.58333333333333259</v>
      </c>
      <c r="L286" t="s">
        <v>28</v>
      </c>
      <c r="M286" t="s">
        <v>73</v>
      </c>
      <c r="N286" t="s">
        <v>50</v>
      </c>
      <c r="O286" s="3">
        <v>0</v>
      </c>
      <c r="P286" s="4">
        <v>0</v>
      </c>
      <c r="Q286" s="5">
        <v>0</v>
      </c>
      <c r="R286" s="6">
        <v>0</v>
      </c>
      <c r="S286" s="3">
        <v>0</v>
      </c>
      <c r="T286" s="4">
        <v>0</v>
      </c>
      <c r="U286" s="5">
        <v>0</v>
      </c>
      <c r="V286" s="6">
        <v>0</v>
      </c>
      <c r="Y286" t="s">
        <v>132</v>
      </c>
    </row>
    <row r="287" spans="1:25" x14ac:dyDescent="0.3">
      <c r="A287" t="s">
        <v>25</v>
      </c>
      <c r="B287" s="7">
        <v>45177</v>
      </c>
      <c r="C287" t="s">
        <v>26</v>
      </c>
      <c r="D287">
        <v>3</v>
      </c>
      <c r="E287">
        <v>2</v>
      </c>
      <c r="F287">
        <v>5</v>
      </c>
      <c r="G287" t="s">
        <v>27</v>
      </c>
      <c r="H287">
        <v>1</v>
      </c>
      <c r="I287" s="8">
        <v>0.27083333333333331</v>
      </c>
      <c r="J287" s="8">
        <v>0.28472222222222221</v>
      </c>
      <c r="K287" s="9">
        <f t="shared" si="4"/>
        <v>0.33333333333333348</v>
      </c>
      <c r="L287" t="s">
        <v>28</v>
      </c>
      <c r="M287" t="s">
        <v>56</v>
      </c>
      <c r="N287" t="s">
        <v>50</v>
      </c>
      <c r="O287" s="3">
        <v>0</v>
      </c>
      <c r="P287" s="4">
        <v>0</v>
      </c>
      <c r="Q287" s="5">
        <v>0</v>
      </c>
      <c r="R287" s="6">
        <v>0</v>
      </c>
      <c r="S287" s="3">
        <v>0</v>
      </c>
      <c r="T287" s="4">
        <v>0</v>
      </c>
      <c r="U287" s="5">
        <v>0</v>
      </c>
      <c r="V287" s="6">
        <v>0</v>
      </c>
      <c r="Y287" t="s">
        <v>132</v>
      </c>
    </row>
    <row r="288" spans="1:25" x14ac:dyDescent="0.3">
      <c r="A288" t="s">
        <v>25</v>
      </c>
      <c r="B288" s="7">
        <v>45177</v>
      </c>
      <c r="C288" t="s">
        <v>26</v>
      </c>
      <c r="D288">
        <v>4</v>
      </c>
      <c r="E288">
        <v>2</v>
      </c>
      <c r="F288">
        <v>4</v>
      </c>
      <c r="G288" t="s">
        <v>27</v>
      </c>
      <c r="H288">
        <v>1</v>
      </c>
      <c r="I288" s="8">
        <v>0.29166666666666669</v>
      </c>
      <c r="J288" s="8">
        <v>0.2986111111111111</v>
      </c>
      <c r="K288" s="9">
        <f t="shared" si="4"/>
        <v>0.16666666666666607</v>
      </c>
      <c r="L288" t="s">
        <v>28</v>
      </c>
      <c r="M288" t="s">
        <v>29</v>
      </c>
      <c r="N288" t="s">
        <v>32</v>
      </c>
      <c r="O288" s="3">
        <v>0</v>
      </c>
      <c r="P288" s="4">
        <v>0</v>
      </c>
      <c r="Q288" s="5">
        <v>1</v>
      </c>
      <c r="R288" s="6">
        <v>0</v>
      </c>
      <c r="S288" s="3">
        <v>0</v>
      </c>
      <c r="T288" s="4">
        <v>0</v>
      </c>
      <c r="U288" s="5">
        <v>0</v>
      </c>
      <c r="V288" s="6">
        <v>0</v>
      </c>
      <c r="Y288" t="s">
        <v>131</v>
      </c>
    </row>
    <row r="289" spans="1:25" x14ac:dyDescent="0.3">
      <c r="A289" t="s">
        <v>25</v>
      </c>
      <c r="B289" s="7">
        <v>45177</v>
      </c>
      <c r="C289" t="s">
        <v>26</v>
      </c>
      <c r="D289">
        <v>5</v>
      </c>
      <c r="E289">
        <v>2</v>
      </c>
      <c r="F289">
        <v>4</v>
      </c>
      <c r="G289" t="s">
        <v>27</v>
      </c>
      <c r="H289">
        <v>2</v>
      </c>
      <c r="I289" s="8">
        <v>0.22916666666666666</v>
      </c>
      <c r="J289" s="8">
        <v>0.3125</v>
      </c>
      <c r="K289" s="9">
        <f t="shared" si="4"/>
        <v>4</v>
      </c>
      <c r="L289" t="s">
        <v>28</v>
      </c>
      <c r="M289" t="s">
        <v>56</v>
      </c>
      <c r="N289" t="s">
        <v>27</v>
      </c>
      <c r="O289" s="3">
        <v>0</v>
      </c>
      <c r="P289" s="4">
        <v>0</v>
      </c>
      <c r="Q289" s="5">
        <v>0</v>
      </c>
      <c r="R289" s="6">
        <v>0</v>
      </c>
      <c r="S289" s="3">
        <v>2</v>
      </c>
      <c r="T289" s="4">
        <v>0</v>
      </c>
      <c r="U289" s="5">
        <v>0</v>
      </c>
      <c r="V289" s="6">
        <v>0</v>
      </c>
      <c r="Y289" t="s">
        <v>152</v>
      </c>
    </row>
    <row r="290" spans="1:25" x14ac:dyDescent="0.3">
      <c r="A290" t="s">
        <v>25</v>
      </c>
      <c r="B290" s="7">
        <v>45177</v>
      </c>
      <c r="C290" t="s">
        <v>26</v>
      </c>
      <c r="D290">
        <v>6</v>
      </c>
      <c r="E290">
        <v>2</v>
      </c>
      <c r="F290">
        <v>4</v>
      </c>
      <c r="G290" t="s">
        <v>27</v>
      </c>
      <c r="H290">
        <v>1</v>
      </c>
      <c r="I290" s="8">
        <v>0.25</v>
      </c>
      <c r="J290" s="8">
        <v>0.3215277777777778</v>
      </c>
      <c r="K290" s="9">
        <f t="shared" si="4"/>
        <v>1.7166666666666672</v>
      </c>
      <c r="L290" t="s">
        <v>28</v>
      </c>
      <c r="M290" t="s">
        <v>56</v>
      </c>
      <c r="N290" t="s">
        <v>55</v>
      </c>
      <c r="O290" s="3">
        <v>0</v>
      </c>
      <c r="P290" s="4">
        <v>1</v>
      </c>
      <c r="Q290" s="5">
        <v>0</v>
      </c>
      <c r="R290" s="6">
        <v>0</v>
      </c>
      <c r="S290" s="3">
        <v>0</v>
      </c>
      <c r="T290" s="4">
        <v>0</v>
      </c>
      <c r="U290" s="5">
        <v>0</v>
      </c>
      <c r="V290" s="6">
        <v>0</v>
      </c>
      <c r="Y290" t="s">
        <v>129</v>
      </c>
    </row>
    <row r="291" spans="1:25" x14ac:dyDescent="0.3">
      <c r="A291" t="s">
        <v>25</v>
      </c>
      <c r="B291" s="7">
        <v>45177</v>
      </c>
      <c r="C291" t="s">
        <v>26</v>
      </c>
      <c r="D291">
        <v>7</v>
      </c>
      <c r="E291">
        <v>2</v>
      </c>
      <c r="F291">
        <v>4</v>
      </c>
      <c r="G291" t="s">
        <v>27</v>
      </c>
      <c r="H291">
        <v>1</v>
      </c>
      <c r="I291" s="8">
        <v>0.22916666666666666</v>
      </c>
      <c r="J291" s="8">
        <v>0.3215277777777778</v>
      </c>
      <c r="K291" s="9">
        <f t="shared" si="4"/>
        <v>2.2166666666666677</v>
      </c>
      <c r="L291" t="s">
        <v>28</v>
      </c>
      <c r="M291" t="s">
        <v>56</v>
      </c>
      <c r="N291" t="s">
        <v>55</v>
      </c>
      <c r="O291" s="3">
        <v>1</v>
      </c>
      <c r="P291" s="4">
        <v>1</v>
      </c>
      <c r="Q291" s="5">
        <v>0</v>
      </c>
      <c r="R291" s="6">
        <v>0</v>
      </c>
      <c r="S291" s="3">
        <v>0</v>
      </c>
      <c r="T291" s="4">
        <v>0</v>
      </c>
      <c r="U291" s="5">
        <v>0</v>
      </c>
      <c r="V291" s="6">
        <v>0</v>
      </c>
      <c r="Y291" t="s">
        <v>129</v>
      </c>
    </row>
    <row r="292" spans="1:25" x14ac:dyDescent="0.3">
      <c r="A292" t="s">
        <v>25</v>
      </c>
      <c r="B292" s="7">
        <v>45177</v>
      </c>
      <c r="C292" t="s">
        <v>26</v>
      </c>
      <c r="D292">
        <v>8</v>
      </c>
      <c r="E292">
        <v>2</v>
      </c>
      <c r="F292">
        <v>3</v>
      </c>
      <c r="G292" t="s">
        <v>27</v>
      </c>
      <c r="H292">
        <v>2</v>
      </c>
      <c r="I292" s="8">
        <v>0.21875</v>
      </c>
      <c r="J292" s="8">
        <v>0.34375</v>
      </c>
      <c r="K292" s="9">
        <f t="shared" si="4"/>
        <v>6</v>
      </c>
      <c r="L292" t="s">
        <v>28</v>
      </c>
      <c r="M292" t="s">
        <v>82</v>
      </c>
      <c r="N292" t="s">
        <v>27</v>
      </c>
      <c r="O292" s="3">
        <v>0</v>
      </c>
      <c r="P292" s="4">
        <v>1</v>
      </c>
      <c r="Q292" s="5">
        <v>0</v>
      </c>
      <c r="R292" s="6">
        <v>0</v>
      </c>
      <c r="S292" s="3">
        <v>0</v>
      </c>
      <c r="T292" s="4">
        <v>1</v>
      </c>
      <c r="U292" s="5">
        <v>3</v>
      </c>
      <c r="V292" s="6">
        <v>0</v>
      </c>
    </row>
    <row r="293" spans="1:25" x14ac:dyDescent="0.3">
      <c r="A293" t="s">
        <v>25</v>
      </c>
      <c r="B293" s="7">
        <v>45177</v>
      </c>
      <c r="C293" t="s">
        <v>26</v>
      </c>
      <c r="D293">
        <v>9</v>
      </c>
      <c r="E293">
        <v>2</v>
      </c>
      <c r="F293">
        <v>3</v>
      </c>
      <c r="G293" t="s">
        <v>27</v>
      </c>
      <c r="H293">
        <v>1</v>
      </c>
      <c r="I293" s="8">
        <v>0.3125</v>
      </c>
      <c r="J293" s="8">
        <v>0.35416666666666669</v>
      </c>
      <c r="K293" s="9">
        <f t="shared" si="4"/>
        <v>1.0000000000000004</v>
      </c>
      <c r="L293" t="s">
        <v>28</v>
      </c>
      <c r="M293" t="s">
        <v>56</v>
      </c>
      <c r="N293" t="s">
        <v>38</v>
      </c>
      <c r="O293" s="3">
        <v>0</v>
      </c>
      <c r="P293" s="4">
        <v>2</v>
      </c>
      <c r="Q293" s="5">
        <v>0</v>
      </c>
      <c r="R293" s="6">
        <v>0</v>
      </c>
      <c r="S293" s="3">
        <v>0</v>
      </c>
      <c r="T293" s="4">
        <v>1</v>
      </c>
      <c r="U293" s="5">
        <v>0</v>
      </c>
      <c r="V293" s="6">
        <v>0</v>
      </c>
      <c r="Y293" t="s">
        <v>93</v>
      </c>
    </row>
    <row r="294" spans="1:25" x14ac:dyDescent="0.3">
      <c r="A294" t="s">
        <v>25</v>
      </c>
      <c r="B294" s="7">
        <v>45177</v>
      </c>
      <c r="C294" t="s">
        <v>26</v>
      </c>
      <c r="D294">
        <v>10</v>
      </c>
      <c r="E294">
        <v>2</v>
      </c>
      <c r="F294">
        <v>2</v>
      </c>
      <c r="G294" t="s">
        <v>27</v>
      </c>
      <c r="H294">
        <v>1</v>
      </c>
      <c r="I294" s="8">
        <v>0.25</v>
      </c>
      <c r="J294" s="8">
        <v>0.37222222222222223</v>
      </c>
      <c r="K294" s="9">
        <f t="shared" si="4"/>
        <v>2.9333333333333336</v>
      </c>
      <c r="L294" t="s">
        <v>28</v>
      </c>
      <c r="M294" t="s">
        <v>153</v>
      </c>
      <c r="N294" t="s">
        <v>27</v>
      </c>
      <c r="O294" s="3">
        <v>2</v>
      </c>
      <c r="P294" s="4">
        <v>0</v>
      </c>
      <c r="Q294" s="5">
        <v>0</v>
      </c>
      <c r="R294" s="6">
        <v>0</v>
      </c>
      <c r="S294" s="3">
        <v>0</v>
      </c>
      <c r="T294" s="4">
        <v>0</v>
      </c>
      <c r="U294" s="5">
        <v>0</v>
      </c>
      <c r="V294" s="6">
        <v>0</v>
      </c>
      <c r="Y294" t="s">
        <v>154</v>
      </c>
    </row>
    <row r="295" spans="1:25" x14ac:dyDescent="0.3">
      <c r="A295" t="s">
        <v>25</v>
      </c>
      <c r="B295" s="7">
        <v>45177</v>
      </c>
      <c r="C295" t="s">
        <v>26</v>
      </c>
      <c r="D295">
        <v>11</v>
      </c>
      <c r="E295">
        <v>2</v>
      </c>
      <c r="F295">
        <v>2</v>
      </c>
      <c r="G295" t="s">
        <v>27</v>
      </c>
      <c r="H295">
        <v>3</v>
      </c>
      <c r="I295" s="8">
        <v>0.25</v>
      </c>
      <c r="J295" s="8">
        <v>0.375</v>
      </c>
      <c r="K295" s="9">
        <f t="shared" si="4"/>
        <v>9</v>
      </c>
      <c r="L295" t="s">
        <v>28</v>
      </c>
      <c r="M295" t="s">
        <v>56</v>
      </c>
      <c r="N295" t="s">
        <v>50</v>
      </c>
      <c r="O295" s="3">
        <v>3</v>
      </c>
      <c r="P295" s="4">
        <v>0</v>
      </c>
      <c r="Q295" s="5">
        <v>1</v>
      </c>
      <c r="R295" s="6">
        <v>0</v>
      </c>
      <c r="S295" s="3">
        <v>0</v>
      </c>
      <c r="T295" s="4">
        <v>0</v>
      </c>
      <c r="U295" s="5">
        <v>0</v>
      </c>
      <c r="V295" s="6">
        <v>0</v>
      </c>
      <c r="Y295" t="s">
        <v>155</v>
      </c>
    </row>
    <row r="296" spans="1:25" x14ac:dyDescent="0.3">
      <c r="A296" t="s">
        <v>25</v>
      </c>
      <c r="B296" s="7">
        <v>45177</v>
      </c>
      <c r="C296" t="s">
        <v>26</v>
      </c>
      <c r="D296">
        <v>12</v>
      </c>
      <c r="E296">
        <v>2</v>
      </c>
      <c r="F296">
        <v>2</v>
      </c>
      <c r="G296" t="s">
        <v>27</v>
      </c>
      <c r="H296">
        <v>4</v>
      </c>
      <c r="I296" s="8">
        <v>0.25</v>
      </c>
      <c r="J296" s="8">
        <v>0.38194444444444442</v>
      </c>
      <c r="K296" s="9">
        <f t="shared" si="4"/>
        <v>12.666666666666664</v>
      </c>
      <c r="L296" t="s">
        <v>28</v>
      </c>
      <c r="M296" t="s">
        <v>145</v>
      </c>
      <c r="N296" t="s">
        <v>27</v>
      </c>
      <c r="O296" s="3">
        <v>0</v>
      </c>
      <c r="P296" s="4">
        <v>1</v>
      </c>
      <c r="Q296" s="5">
        <v>2</v>
      </c>
      <c r="R296" s="6">
        <v>0</v>
      </c>
      <c r="S296" s="3">
        <v>0</v>
      </c>
      <c r="T296" s="4">
        <v>0</v>
      </c>
      <c r="U296" s="5">
        <v>2</v>
      </c>
      <c r="V296" s="6">
        <v>0</v>
      </c>
      <c r="Y296" t="s">
        <v>123</v>
      </c>
    </row>
    <row r="297" spans="1:25" x14ac:dyDescent="0.3">
      <c r="A297" t="s">
        <v>25</v>
      </c>
      <c r="B297" s="7">
        <v>45177</v>
      </c>
      <c r="C297" t="s">
        <v>26</v>
      </c>
      <c r="D297">
        <v>13</v>
      </c>
      <c r="E297">
        <v>2</v>
      </c>
      <c r="F297">
        <v>2</v>
      </c>
      <c r="G297" t="s">
        <v>27</v>
      </c>
      <c r="H297">
        <v>2</v>
      </c>
      <c r="I297" s="8">
        <v>0.27083333333333331</v>
      </c>
      <c r="J297" s="8">
        <v>0.38472222222222219</v>
      </c>
      <c r="K297" s="9">
        <f t="shared" si="4"/>
        <v>5.4666666666666659</v>
      </c>
      <c r="L297" t="s">
        <v>25</v>
      </c>
      <c r="M297" t="s">
        <v>51</v>
      </c>
      <c r="N297" t="s">
        <v>55</v>
      </c>
      <c r="O297" s="3">
        <v>1</v>
      </c>
      <c r="P297" s="4">
        <v>0</v>
      </c>
      <c r="Q297" s="5">
        <v>0</v>
      </c>
      <c r="R297" s="6">
        <v>0</v>
      </c>
      <c r="S297" s="3">
        <v>0</v>
      </c>
      <c r="T297" s="4">
        <v>0</v>
      </c>
      <c r="U297" s="5">
        <v>12</v>
      </c>
      <c r="V297" s="6">
        <v>0</v>
      </c>
      <c r="Y297" t="s">
        <v>123</v>
      </c>
    </row>
    <row r="298" spans="1:25" x14ac:dyDescent="0.3">
      <c r="A298" t="s">
        <v>25</v>
      </c>
      <c r="B298" s="7">
        <v>45177</v>
      </c>
      <c r="C298" t="s">
        <v>26</v>
      </c>
      <c r="D298">
        <v>14</v>
      </c>
      <c r="E298">
        <v>2</v>
      </c>
      <c r="F298">
        <v>2</v>
      </c>
      <c r="G298" t="s">
        <v>27</v>
      </c>
      <c r="H298">
        <v>1</v>
      </c>
      <c r="I298" s="8">
        <v>0.22916666666666666</v>
      </c>
      <c r="J298" s="8">
        <v>0.25</v>
      </c>
      <c r="K298" s="9">
        <f t="shared" si="4"/>
        <v>0.50000000000000022</v>
      </c>
      <c r="L298" t="s">
        <v>25</v>
      </c>
      <c r="M298" t="s">
        <v>51</v>
      </c>
      <c r="N298" t="s">
        <v>50</v>
      </c>
      <c r="O298" s="3">
        <v>1</v>
      </c>
      <c r="P298" s="4">
        <v>0</v>
      </c>
      <c r="Q298" s="5">
        <v>0</v>
      </c>
      <c r="R298" s="6">
        <v>0</v>
      </c>
      <c r="S298" s="3">
        <v>0</v>
      </c>
      <c r="T298" s="4">
        <v>0</v>
      </c>
      <c r="U298" s="5">
        <v>2</v>
      </c>
      <c r="V298" s="6">
        <v>0</v>
      </c>
      <c r="Y298" t="s">
        <v>123</v>
      </c>
    </row>
    <row r="299" spans="1:25" x14ac:dyDescent="0.3">
      <c r="A299" t="s">
        <v>25</v>
      </c>
      <c r="B299" s="7">
        <v>45177</v>
      </c>
      <c r="C299" t="s">
        <v>26</v>
      </c>
      <c r="D299">
        <v>15</v>
      </c>
      <c r="E299">
        <v>2</v>
      </c>
      <c r="F299">
        <v>2</v>
      </c>
      <c r="G299" t="s">
        <v>27</v>
      </c>
      <c r="H299">
        <v>1</v>
      </c>
      <c r="I299" s="8">
        <v>0.25</v>
      </c>
      <c r="J299" s="8">
        <v>0.3888888888888889</v>
      </c>
      <c r="K299" s="9">
        <f t="shared" si="4"/>
        <v>3.3333333333333335</v>
      </c>
      <c r="L299" t="s">
        <v>25</v>
      </c>
      <c r="M299" t="s">
        <v>56</v>
      </c>
      <c r="N299" t="s">
        <v>50</v>
      </c>
      <c r="O299" s="3">
        <v>1</v>
      </c>
      <c r="P299" s="4">
        <v>1</v>
      </c>
      <c r="Q299" s="5">
        <v>0</v>
      </c>
      <c r="R299" s="6">
        <v>0</v>
      </c>
      <c r="S299" s="3">
        <v>0</v>
      </c>
      <c r="T299" s="4">
        <v>0</v>
      </c>
      <c r="U299" s="5">
        <v>0</v>
      </c>
      <c r="V299" s="6">
        <v>0</v>
      </c>
      <c r="Y299" t="s">
        <v>123</v>
      </c>
    </row>
    <row r="300" spans="1:25" x14ac:dyDescent="0.3">
      <c r="A300" t="s">
        <v>25</v>
      </c>
      <c r="B300" s="7">
        <v>45177</v>
      </c>
      <c r="C300" t="s">
        <v>26</v>
      </c>
      <c r="D300">
        <v>16</v>
      </c>
      <c r="E300">
        <v>2</v>
      </c>
      <c r="F300">
        <v>2</v>
      </c>
      <c r="G300" t="s">
        <v>27</v>
      </c>
      <c r="H300">
        <v>1</v>
      </c>
      <c r="I300" s="8">
        <v>0.25</v>
      </c>
      <c r="J300" s="8">
        <v>0.3888888888888889</v>
      </c>
      <c r="K300" s="9">
        <f t="shared" si="4"/>
        <v>3.3333333333333335</v>
      </c>
      <c r="L300" t="s">
        <v>25</v>
      </c>
      <c r="M300" t="s">
        <v>56</v>
      </c>
      <c r="N300" t="s">
        <v>50</v>
      </c>
      <c r="O300" s="3">
        <v>1</v>
      </c>
      <c r="P300" s="4">
        <v>0</v>
      </c>
      <c r="Q300" s="5">
        <v>0</v>
      </c>
      <c r="R300" s="6">
        <v>0</v>
      </c>
      <c r="S300" s="3">
        <v>0</v>
      </c>
      <c r="T300" s="4">
        <v>0</v>
      </c>
      <c r="U300" s="5">
        <v>0</v>
      </c>
      <c r="V300" s="6">
        <v>0</v>
      </c>
      <c r="Y300" t="s">
        <v>123</v>
      </c>
    </row>
    <row r="301" spans="1:25" x14ac:dyDescent="0.3">
      <c r="A301" t="s">
        <v>25</v>
      </c>
      <c r="B301" s="7">
        <v>45177</v>
      </c>
      <c r="C301" t="s">
        <v>26</v>
      </c>
      <c r="D301">
        <v>17</v>
      </c>
      <c r="E301">
        <v>2</v>
      </c>
      <c r="F301">
        <v>1</v>
      </c>
      <c r="G301" t="s">
        <v>27</v>
      </c>
      <c r="H301">
        <v>2</v>
      </c>
      <c r="I301" s="8">
        <v>0.28125</v>
      </c>
      <c r="J301" s="8">
        <v>0.40972222222222227</v>
      </c>
      <c r="K301" s="9">
        <f t="shared" si="4"/>
        <v>6.1666666666666687</v>
      </c>
      <c r="L301" t="s">
        <v>25</v>
      </c>
      <c r="M301" t="s">
        <v>156</v>
      </c>
      <c r="N301" t="s">
        <v>38</v>
      </c>
      <c r="O301" s="3">
        <v>0</v>
      </c>
      <c r="P301" s="4">
        <v>1</v>
      </c>
      <c r="Q301" s="5">
        <v>0</v>
      </c>
      <c r="R301" s="6">
        <v>0</v>
      </c>
      <c r="S301" s="3">
        <v>0</v>
      </c>
      <c r="T301" s="4">
        <v>0</v>
      </c>
      <c r="U301" s="5">
        <v>0</v>
      </c>
      <c r="V301" s="6">
        <v>0</v>
      </c>
      <c r="Y301" t="s">
        <v>144</v>
      </c>
    </row>
    <row r="302" spans="1:25" x14ac:dyDescent="0.3">
      <c r="A302" t="s">
        <v>25</v>
      </c>
      <c r="B302" s="7">
        <v>45177</v>
      </c>
      <c r="C302" t="s">
        <v>26</v>
      </c>
      <c r="D302">
        <v>18</v>
      </c>
      <c r="E302">
        <v>1</v>
      </c>
      <c r="F302">
        <v>2</v>
      </c>
      <c r="G302" t="s">
        <v>27</v>
      </c>
      <c r="H302">
        <v>1</v>
      </c>
      <c r="I302" s="8">
        <v>0.375</v>
      </c>
      <c r="J302" s="8">
        <v>0.44444444444444442</v>
      </c>
      <c r="K302" s="9">
        <f t="shared" si="4"/>
        <v>1.6666666666666661</v>
      </c>
      <c r="L302" t="s">
        <v>28</v>
      </c>
      <c r="M302" t="s">
        <v>29</v>
      </c>
      <c r="N302" t="s">
        <v>32</v>
      </c>
      <c r="O302" s="3">
        <v>0</v>
      </c>
      <c r="P302" s="4">
        <v>0</v>
      </c>
      <c r="Q302" s="5">
        <v>0</v>
      </c>
      <c r="R302" s="6">
        <v>0</v>
      </c>
      <c r="S302" s="3">
        <v>0</v>
      </c>
      <c r="T302" s="4">
        <v>0</v>
      </c>
      <c r="U302" s="5">
        <v>1</v>
      </c>
      <c r="V302" s="6">
        <v>0</v>
      </c>
      <c r="Y302" t="s">
        <v>140</v>
      </c>
    </row>
    <row r="303" spans="1:25" x14ac:dyDescent="0.3">
      <c r="A303" t="s">
        <v>25</v>
      </c>
      <c r="B303" s="7">
        <v>45177</v>
      </c>
      <c r="C303" t="s">
        <v>26</v>
      </c>
      <c r="D303">
        <v>19</v>
      </c>
      <c r="E303">
        <v>1</v>
      </c>
      <c r="F303">
        <v>1</v>
      </c>
      <c r="G303" t="s">
        <v>35</v>
      </c>
      <c r="H303">
        <v>2</v>
      </c>
      <c r="I303" s="8">
        <v>0.27083333333333331</v>
      </c>
      <c r="J303" s="8">
        <v>0.4826388888888889</v>
      </c>
      <c r="K303" s="9">
        <f t="shared" si="4"/>
        <v>10.166666666666668</v>
      </c>
      <c r="L303" t="s">
        <v>25</v>
      </c>
      <c r="M303" t="s">
        <v>37</v>
      </c>
      <c r="N303" t="s">
        <v>38</v>
      </c>
      <c r="O303" s="3">
        <v>0</v>
      </c>
      <c r="P303" s="4">
        <v>2</v>
      </c>
      <c r="Q303" s="5">
        <v>0</v>
      </c>
      <c r="R303" s="6">
        <v>0</v>
      </c>
      <c r="S303" s="3">
        <v>0</v>
      </c>
      <c r="T303" s="4">
        <v>0</v>
      </c>
      <c r="U303" s="5">
        <v>1</v>
      </c>
      <c r="V303" s="6">
        <v>0</v>
      </c>
      <c r="Y303" t="s">
        <v>113</v>
      </c>
    </row>
    <row r="304" spans="1:25" x14ac:dyDescent="0.3">
      <c r="A304" t="s">
        <v>25</v>
      </c>
      <c r="B304" s="7">
        <v>45177</v>
      </c>
      <c r="C304" t="s">
        <v>42</v>
      </c>
      <c r="D304">
        <v>20</v>
      </c>
      <c r="E304">
        <v>2</v>
      </c>
      <c r="F304">
        <v>2</v>
      </c>
      <c r="G304" t="s">
        <v>27</v>
      </c>
      <c r="H304">
        <v>3</v>
      </c>
      <c r="I304" s="8">
        <v>0.27083333333333331</v>
      </c>
      <c r="J304" s="8">
        <v>0.70833333333333337</v>
      </c>
      <c r="K304" s="9">
        <f t="shared" si="4"/>
        <v>31.500000000000007</v>
      </c>
      <c r="L304" t="s">
        <v>28</v>
      </c>
      <c r="M304" t="s">
        <v>145</v>
      </c>
      <c r="N304" t="s">
        <v>32</v>
      </c>
      <c r="O304" s="3">
        <v>0</v>
      </c>
      <c r="P304" s="4">
        <v>0</v>
      </c>
      <c r="Q304" s="5">
        <v>0</v>
      </c>
      <c r="R304" s="6">
        <v>0</v>
      </c>
      <c r="S304" s="3">
        <v>0</v>
      </c>
      <c r="T304" s="4">
        <v>0</v>
      </c>
      <c r="U304" s="5">
        <v>0</v>
      </c>
      <c r="V304" s="6">
        <v>0</v>
      </c>
      <c r="Y304" t="s">
        <v>123</v>
      </c>
    </row>
    <row r="305" spans="1:25" x14ac:dyDescent="0.3">
      <c r="A305" t="s">
        <v>25</v>
      </c>
      <c r="B305" s="7">
        <v>45177</v>
      </c>
      <c r="C305" t="s">
        <v>42</v>
      </c>
      <c r="D305">
        <v>21</v>
      </c>
      <c r="E305">
        <v>2</v>
      </c>
      <c r="F305">
        <v>2</v>
      </c>
      <c r="G305" t="s">
        <v>27</v>
      </c>
      <c r="H305">
        <v>1</v>
      </c>
      <c r="I305" s="8">
        <v>0.60416666666666663</v>
      </c>
      <c r="J305" s="8">
        <v>0.71527777777777779</v>
      </c>
      <c r="K305" s="9">
        <f t="shared" si="4"/>
        <v>2.6666666666666679</v>
      </c>
      <c r="L305" t="s">
        <v>28</v>
      </c>
      <c r="M305" t="s">
        <v>62</v>
      </c>
      <c r="N305" t="s">
        <v>32</v>
      </c>
      <c r="O305" s="3">
        <v>0</v>
      </c>
      <c r="P305" s="4">
        <v>0</v>
      </c>
      <c r="Q305" s="5">
        <v>1</v>
      </c>
      <c r="R305" s="6">
        <v>0</v>
      </c>
      <c r="S305" s="3">
        <v>0</v>
      </c>
      <c r="T305" s="4">
        <v>0</v>
      </c>
      <c r="U305" s="5">
        <v>0</v>
      </c>
      <c r="V305" s="6">
        <v>0</v>
      </c>
      <c r="Y305" t="s">
        <v>123</v>
      </c>
    </row>
    <row r="306" spans="1:25" x14ac:dyDescent="0.3">
      <c r="A306" t="s">
        <v>25</v>
      </c>
      <c r="B306" s="7">
        <v>45177</v>
      </c>
      <c r="C306" t="s">
        <v>42</v>
      </c>
      <c r="D306">
        <v>22</v>
      </c>
      <c r="E306">
        <v>2</v>
      </c>
      <c r="F306">
        <v>2</v>
      </c>
      <c r="G306" t="s">
        <v>27</v>
      </c>
      <c r="H306">
        <v>1</v>
      </c>
      <c r="I306" s="8">
        <v>0.69791666666666663</v>
      </c>
      <c r="J306" s="8">
        <v>0.71875</v>
      </c>
      <c r="K306" s="9">
        <f t="shared" si="4"/>
        <v>0.50000000000000089</v>
      </c>
      <c r="L306" t="s">
        <v>25</v>
      </c>
      <c r="M306" t="s">
        <v>29</v>
      </c>
      <c r="N306" t="s">
        <v>27</v>
      </c>
      <c r="O306" s="3">
        <v>0</v>
      </c>
      <c r="P306" s="4">
        <v>0</v>
      </c>
      <c r="Q306" s="5">
        <v>0</v>
      </c>
      <c r="R306" s="6">
        <v>0</v>
      </c>
      <c r="S306" s="3">
        <v>0</v>
      </c>
      <c r="T306" s="4">
        <v>0</v>
      </c>
      <c r="U306" s="5">
        <v>0</v>
      </c>
      <c r="V306" s="6">
        <v>0</v>
      </c>
      <c r="Y306" t="s">
        <v>127</v>
      </c>
    </row>
    <row r="307" spans="1:25" x14ac:dyDescent="0.3">
      <c r="A307" t="s">
        <v>25</v>
      </c>
      <c r="B307" s="7">
        <v>45177</v>
      </c>
      <c r="C307" t="s">
        <v>42</v>
      </c>
      <c r="D307">
        <v>23</v>
      </c>
      <c r="E307">
        <v>2</v>
      </c>
      <c r="F307">
        <v>4</v>
      </c>
      <c r="G307" t="s">
        <v>27</v>
      </c>
      <c r="H307">
        <v>2</v>
      </c>
      <c r="I307" s="8">
        <v>0.72916666666666663</v>
      </c>
      <c r="J307" s="8">
        <v>0.75</v>
      </c>
      <c r="K307" s="9">
        <f t="shared" si="4"/>
        <v>1.0000000000000018</v>
      </c>
      <c r="L307" t="s">
        <v>28</v>
      </c>
      <c r="M307" t="s">
        <v>56</v>
      </c>
      <c r="N307" t="s">
        <v>27</v>
      </c>
      <c r="O307" s="3">
        <v>0</v>
      </c>
      <c r="P307" s="4">
        <v>0</v>
      </c>
      <c r="Q307" s="5">
        <v>0</v>
      </c>
      <c r="R307" s="6">
        <v>0</v>
      </c>
      <c r="S307" s="3">
        <v>0</v>
      </c>
      <c r="T307" s="4">
        <v>0</v>
      </c>
      <c r="U307" s="5">
        <v>0</v>
      </c>
      <c r="V307" s="6">
        <v>0</v>
      </c>
      <c r="Y307" t="s">
        <v>129</v>
      </c>
    </row>
    <row r="308" spans="1:25" x14ac:dyDescent="0.3">
      <c r="A308" t="s">
        <v>25</v>
      </c>
      <c r="B308" s="7">
        <v>45177</v>
      </c>
      <c r="C308" t="s">
        <v>42</v>
      </c>
      <c r="D308">
        <v>24</v>
      </c>
      <c r="E308">
        <v>2</v>
      </c>
      <c r="F308">
        <v>4</v>
      </c>
      <c r="G308" t="s">
        <v>27</v>
      </c>
      <c r="H308">
        <v>2</v>
      </c>
      <c r="I308" s="8">
        <v>0.6875</v>
      </c>
      <c r="J308" s="8">
        <v>0.76388888888888884</v>
      </c>
      <c r="K308" s="9">
        <f t="shared" si="4"/>
        <v>3.6666666666666643</v>
      </c>
      <c r="L308" t="s">
        <v>28</v>
      </c>
      <c r="M308" t="s">
        <v>82</v>
      </c>
      <c r="N308" t="s">
        <v>151</v>
      </c>
      <c r="O308" s="3">
        <v>0</v>
      </c>
      <c r="P308" s="4">
        <v>0</v>
      </c>
      <c r="Q308" s="5">
        <v>0</v>
      </c>
      <c r="R308" s="6">
        <v>0</v>
      </c>
      <c r="S308" s="3">
        <v>0</v>
      </c>
      <c r="T308" s="4">
        <v>0</v>
      </c>
      <c r="U308" s="5">
        <v>0</v>
      </c>
      <c r="V308" s="6">
        <v>0</v>
      </c>
      <c r="Y308" t="s">
        <v>129</v>
      </c>
    </row>
    <row r="309" spans="1:25" x14ac:dyDescent="0.3">
      <c r="A309" t="s">
        <v>25</v>
      </c>
      <c r="B309" s="7">
        <v>45177</v>
      </c>
      <c r="C309" t="s">
        <v>42</v>
      </c>
      <c r="D309">
        <v>25</v>
      </c>
      <c r="E309">
        <v>2</v>
      </c>
      <c r="F309">
        <v>5</v>
      </c>
      <c r="G309" t="s">
        <v>27</v>
      </c>
      <c r="H309">
        <v>4</v>
      </c>
      <c r="I309" s="8">
        <v>0.75694444444444453</v>
      </c>
      <c r="J309" s="8">
        <v>0.8222222222222223</v>
      </c>
      <c r="K309" s="9">
        <f t="shared" si="4"/>
        <v>6.2666666666666657</v>
      </c>
      <c r="L309" t="s">
        <v>28</v>
      </c>
      <c r="M309" t="s">
        <v>79</v>
      </c>
      <c r="N309" t="s">
        <v>38</v>
      </c>
      <c r="O309" s="3">
        <v>0</v>
      </c>
      <c r="P309" s="4">
        <v>0</v>
      </c>
      <c r="Q309" s="5">
        <v>0</v>
      </c>
      <c r="R309" s="6">
        <v>0</v>
      </c>
      <c r="S309" s="3">
        <v>0</v>
      </c>
      <c r="T309" s="4">
        <v>0</v>
      </c>
      <c r="U309" s="5">
        <v>10</v>
      </c>
      <c r="V309" s="6">
        <v>0</v>
      </c>
      <c r="Y309" t="s">
        <v>132</v>
      </c>
    </row>
    <row r="310" spans="1:25" x14ac:dyDescent="0.3">
      <c r="A310" t="s">
        <v>25</v>
      </c>
      <c r="B310" s="7">
        <v>45177</v>
      </c>
      <c r="C310" t="s">
        <v>42</v>
      </c>
      <c r="D310">
        <v>26</v>
      </c>
      <c r="E310">
        <v>2</v>
      </c>
      <c r="F310">
        <v>4</v>
      </c>
      <c r="G310" t="s">
        <v>27</v>
      </c>
      <c r="H310">
        <v>1</v>
      </c>
      <c r="I310" s="8">
        <v>0.625</v>
      </c>
      <c r="J310" s="8">
        <v>0.7993055555555556</v>
      </c>
      <c r="K310" s="9">
        <f t="shared" si="4"/>
        <v>4.1833333333333345</v>
      </c>
      <c r="L310" t="s">
        <v>25</v>
      </c>
      <c r="M310" t="s">
        <v>104</v>
      </c>
      <c r="N310" t="s">
        <v>27</v>
      </c>
      <c r="O310" s="3">
        <v>0</v>
      </c>
      <c r="P310" s="4">
        <v>0</v>
      </c>
      <c r="Q310" s="5">
        <v>0</v>
      </c>
      <c r="R310" s="6">
        <v>0</v>
      </c>
      <c r="S310" s="3">
        <v>0</v>
      </c>
      <c r="T310" s="4">
        <v>0</v>
      </c>
      <c r="U310" s="5">
        <v>7</v>
      </c>
      <c r="V310" s="6">
        <v>0</v>
      </c>
      <c r="Y310" t="s">
        <v>131</v>
      </c>
    </row>
    <row r="311" spans="1:25" x14ac:dyDescent="0.3">
      <c r="A311" t="s">
        <v>25</v>
      </c>
      <c r="B311" s="7">
        <v>45177</v>
      </c>
      <c r="C311" t="s">
        <v>42</v>
      </c>
      <c r="D311">
        <v>27</v>
      </c>
      <c r="E311">
        <v>2</v>
      </c>
      <c r="F311">
        <v>4</v>
      </c>
      <c r="G311" t="s">
        <v>27</v>
      </c>
      <c r="H311">
        <v>1</v>
      </c>
      <c r="I311" s="8">
        <v>0.66666666666666663</v>
      </c>
      <c r="J311" s="8">
        <v>0.7993055555555556</v>
      </c>
      <c r="K311" s="9">
        <f t="shared" si="4"/>
        <v>3.1833333333333353</v>
      </c>
      <c r="L311" t="s">
        <v>25</v>
      </c>
      <c r="M311" t="s">
        <v>104</v>
      </c>
      <c r="N311" t="s">
        <v>27</v>
      </c>
      <c r="O311" s="3">
        <v>0</v>
      </c>
      <c r="P311" s="4">
        <v>0</v>
      </c>
      <c r="Q311" s="5">
        <v>0</v>
      </c>
      <c r="R311" s="6">
        <v>0</v>
      </c>
      <c r="S311" s="3">
        <v>0</v>
      </c>
      <c r="T311" s="4">
        <v>0</v>
      </c>
      <c r="U311" s="5">
        <v>5</v>
      </c>
      <c r="V311" s="6">
        <v>0</v>
      </c>
      <c r="Y311" t="s">
        <v>131</v>
      </c>
    </row>
    <row r="312" spans="1:25" x14ac:dyDescent="0.3">
      <c r="A312" t="s">
        <v>25</v>
      </c>
      <c r="B312" s="7">
        <v>45177</v>
      </c>
      <c r="C312" t="s">
        <v>42</v>
      </c>
      <c r="D312">
        <v>28</v>
      </c>
      <c r="E312">
        <v>2</v>
      </c>
      <c r="F312">
        <v>4</v>
      </c>
      <c r="G312" t="s">
        <v>27</v>
      </c>
      <c r="H312">
        <v>1</v>
      </c>
      <c r="I312" s="8">
        <v>0.75</v>
      </c>
      <c r="J312" s="8">
        <v>0.80069444444444438</v>
      </c>
      <c r="K312" s="9">
        <f t="shared" si="4"/>
        <v>1.216666666666665</v>
      </c>
      <c r="L312" t="s">
        <v>25</v>
      </c>
      <c r="M312" t="s">
        <v>99</v>
      </c>
      <c r="N312" t="s">
        <v>38</v>
      </c>
      <c r="O312" s="3">
        <v>0</v>
      </c>
      <c r="P312" s="4">
        <v>0</v>
      </c>
      <c r="Q312" s="5">
        <v>0</v>
      </c>
      <c r="R312" s="6">
        <v>0</v>
      </c>
      <c r="S312" s="3">
        <v>0</v>
      </c>
      <c r="T312" s="4">
        <v>0</v>
      </c>
      <c r="U312" s="5">
        <v>0</v>
      </c>
      <c r="V312" s="6">
        <v>0</v>
      </c>
      <c r="Y312" t="s">
        <v>131</v>
      </c>
    </row>
    <row r="313" spans="1:25" x14ac:dyDescent="0.3">
      <c r="A313" t="s">
        <v>25</v>
      </c>
      <c r="B313" s="7">
        <v>45177</v>
      </c>
      <c r="C313" t="s">
        <v>42</v>
      </c>
      <c r="D313">
        <v>29</v>
      </c>
      <c r="E313">
        <v>2</v>
      </c>
      <c r="F313">
        <v>4</v>
      </c>
      <c r="G313" t="s">
        <v>27</v>
      </c>
      <c r="H313">
        <v>1</v>
      </c>
      <c r="I313" s="8">
        <v>0.78125</v>
      </c>
      <c r="J313" s="8">
        <v>0.80208333333333337</v>
      </c>
      <c r="K313" s="9">
        <f t="shared" si="4"/>
        <v>0.50000000000000089</v>
      </c>
      <c r="L313" t="s">
        <v>25</v>
      </c>
      <c r="M313" t="s">
        <v>99</v>
      </c>
      <c r="N313" t="s">
        <v>27</v>
      </c>
      <c r="O313" s="3">
        <v>0</v>
      </c>
      <c r="P313" s="4">
        <v>0</v>
      </c>
      <c r="Q313" s="5">
        <v>0</v>
      </c>
      <c r="R313" s="6">
        <v>0</v>
      </c>
      <c r="S313" s="3">
        <v>0</v>
      </c>
      <c r="T313" s="4">
        <v>0</v>
      </c>
      <c r="U313" s="5">
        <v>0</v>
      </c>
      <c r="V313" s="6">
        <v>0</v>
      </c>
      <c r="Y313" t="s">
        <v>131</v>
      </c>
    </row>
    <row r="314" spans="1:25" x14ac:dyDescent="0.3">
      <c r="A314" t="s">
        <v>25</v>
      </c>
      <c r="B314" s="7">
        <v>45177</v>
      </c>
      <c r="C314" t="s">
        <v>42</v>
      </c>
      <c r="D314">
        <v>30</v>
      </c>
      <c r="E314">
        <v>2</v>
      </c>
      <c r="F314">
        <v>5</v>
      </c>
      <c r="G314" t="s">
        <v>27</v>
      </c>
      <c r="H314">
        <v>1</v>
      </c>
      <c r="I314" s="8">
        <v>0.80208333333333337</v>
      </c>
      <c r="J314" s="8">
        <v>0.82291666666666663</v>
      </c>
      <c r="K314" s="9">
        <f t="shared" si="4"/>
        <v>0.49999999999999822</v>
      </c>
      <c r="L314" t="s">
        <v>25</v>
      </c>
      <c r="M314" t="s">
        <v>29</v>
      </c>
      <c r="N314" t="s">
        <v>32</v>
      </c>
      <c r="O314" s="3">
        <v>0</v>
      </c>
      <c r="P314" s="4">
        <v>0</v>
      </c>
      <c r="Q314" s="5">
        <v>0</v>
      </c>
      <c r="R314" s="6">
        <v>0</v>
      </c>
      <c r="S314" s="3">
        <v>0</v>
      </c>
      <c r="T314" s="4">
        <v>0</v>
      </c>
      <c r="U314" s="5">
        <v>2</v>
      </c>
      <c r="V314" s="6">
        <v>0</v>
      </c>
    </row>
    <row r="315" spans="1:25" x14ac:dyDescent="0.3">
      <c r="A315" t="s">
        <v>25</v>
      </c>
      <c r="B315" s="7">
        <v>45177</v>
      </c>
      <c r="C315" t="s">
        <v>42</v>
      </c>
      <c r="D315">
        <v>31</v>
      </c>
      <c r="E315">
        <v>2</v>
      </c>
      <c r="F315">
        <v>5</v>
      </c>
      <c r="G315" t="s">
        <v>27</v>
      </c>
      <c r="H315">
        <v>2</v>
      </c>
      <c r="I315" s="8">
        <v>0.73958333333333337</v>
      </c>
      <c r="J315" s="8">
        <v>0.82291666666666663</v>
      </c>
      <c r="K315" s="9">
        <f t="shared" si="4"/>
        <v>3.9999999999999964</v>
      </c>
      <c r="L315" t="s">
        <v>25</v>
      </c>
      <c r="M315" t="s">
        <v>82</v>
      </c>
      <c r="N315" t="s">
        <v>75</v>
      </c>
      <c r="O315" s="3">
        <v>0</v>
      </c>
      <c r="P315" s="4">
        <v>0</v>
      </c>
      <c r="Q315" s="5">
        <v>1</v>
      </c>
      <c r="R315" s="6">
        <v>0</v>
      </c>
      <c r="S315" s="3">
        <v>0</v>
      </c>
      <c r="T315" s="4">
        <v>0</v>
      </c>
      <c r="U315" s="5">
        <v>0</v>
      </c>
      <c r="V315" s="6">
        <v>0</v>
      </c>
    </row>
    <row r="316" spans="1:25" x14ac:dyDescent="0.3">
      <c r="A316" t="s">
        <v>25</v>
      </c>
      <c r="B316" s="7">
        <v>45177</v>
      </c>
      <c r="C316" t="s">
        <v>42</v>
      </c>
      <c r="D316">
        <v>32</v>
      </c>
      <c r="E316">
        <v>2</v>
      </c>
      <c r="F316">
        <v>5</v>
      </c>
      <c r="G316" t="s">
        <v>27</v>
      </c>
      <c r="H316">
        <v>2</v>
      </c>
      <c r="I316" s="8">
        <v>0.78125</v>
      </c>
      <c r="J316" s="8">
        <v>0.82291666666666663</v>
      </c>
      <c r="K316" s="9">
        <f t="shared" si="4"/>
        <v>1.9999999999999982</v>
      </c>
      <c r="L316" t="s">
        <v>25</v>
      </c>
      <c r="M316" t="s">
        <v>56</v>
      </c>
      <c r="N316" t="s">
        <v>27</v>
      </c>
      <c r="O316" s="3">
        <v>0</v>
      </c>
      <c r="P316" s="4">
        <v>0</v>
      </c>
      <c r="Q316" s="5">
        <v>0</v>
      </c>
      <c r="R316" s="6">
        <v>0</v>
      </c>
      <c r="S316" s="3">
        <v>0</v>
      </c>
      <c r="T316" s="4">
        <v>0</v>
      </c>
      <c r="U316" s="5">
        <v>0</v>
      </c>
      <c r="V316" s="6">
        <v>0</v>
      </c>
    </row>
    <row r="317" spans="1:25" x14ac:dyDescent="0.3">
      <c r="A317" t="s">
        <v>25</v>
      </c>
      <c r="B317" s="7">
        <v>45177</v>
      </c>
      <c r="C317" t="s">
        <v>42</v>
      </c>
      <c r="D317">
        <v>33</v>
      </c>
      <c r="E317">
        <v>2</v>
      </c>
      <c r="F317">
        <v>5</v>
      </c>
      <c r="G317" t="s">
        <v>27</v>
      </c>
      <c r="H317">
        <v>2</v>
      </c>
      <c r="I317" s="8">
        <v>0.73958333333333337</v>
      </c>
      <c r="J317" s="8">
        <v>0.82291666666666663</v>
      </c>
      <c r="K317" s="9">
        <f t="shared" si="4"/>
        <v>3.9999999999999964</v>
      </c>
      <c r="L317" t="s">
        <v>25</v>
      </c>
      <c r="M317" t="s">
        <v>29</v>
      </c>
      <c r="N317" t="s">
        <v>27</v>
      </c>
      <c r="O317" s="3">
        <v>0</v>
      </c>
      <c r="P317" s="4">
        <v>0</v>
      </c>
      <c r="Q317" s="5">
        <v>1</v>
      </c>
      <c r="R317" s="6">
        <v>0</v>
      </c>
      <c r="S317" s="3">
        <v>0</v>
      </c>
      <c r="T317" s="4">
        <v>0</v>
      </c>
      <c r="U317" s="5">
        <v>0</v>
      </c>
      <c r="V317" s="6">
        <v>0</v>
      </c>
    </row>
    <row r="318" spans="1:25" x14ac:dyDescent="0.3">
      <c r="A318" t="s">
        <v>25</v>
      </c>
      <c r="B318" s="7">
        <v>45178</v>
      </c>
      <c r="C318" t="s">
        <v>26</v>
      </c>
      <c r="D318">
        <v>1</v>
      </c>
      <c r="E318">
        <v>1</v>
      </c>
      <c r="F318">
        <v>2</v>
      </c>
      <c r="G318" t="s">
        <v>27</v>
      </c>
      <c r="H318">
        <v>1</v>
      </c>
      <c r="I318" s="8">
        <v>0.25</v>
      </c>
      <c r="J318" s="8">
        <v>0.29166666666666669</v>
      </c>
      <c r="K318" s="9">
        <f t="shared" si="4"/>
        <v>1.0000000000000004</v>
      </c>
      <c r="L318" t="s">
        <v>28</v>
      </c>
      <c r="M318" t="s">
        <v>29</v>
      </c>
      <c r="N318" t="s">
        <v>32</v>
      </c>
      <c r="O318" s="3">
        <v>0</v>
      </c>
      <c r="P318" s="4">
        <v>0</v>
      </c>
      <c r="Q318" s="5">
        <v>0</v>
      </c>
      <c r="R318" s="6">
        <v>0</v>
      </c>
      <c r="S318" s="3">
        <v>0</v>
      </c>
      <c r="T318" s="4">
        <v>0</v>
      </c>
      <c r="U318" s="5">
        <v>0</v>
      </c>
      <c r="V318" s="6">
        <v>0</v>
      </c>
      <c r="Y318" t="s">
        <v>140</v>
      </c>
    </row>
    <row r="319" spans="1:25" x14ac:dyDescent="0.3">
      <c r="A319" t="s">
        <v>25</v>
      </c>
      <c r="B319" s="7">
        <v>45178</v>
      </c>
      <c r="C319" t="s">
        <v>26</v>
      </c>
      <c r="D319">
        <v>2</v>
      </c>
      <c r="E319">
        <v>1</v>
      </c>
      <c r="F319">
        <v>4</v>
      </c>
      <c r="G319" t="s">
        <v>27</v>
      </c>
      <c r="H319">
        <v>1</v>
      </c>
      <c r="I319" s="8">
        <v>0.22916666666666666</v>
      </c>
      <c r="J319" s="8">
        <v>0.3125</v>
      </c>
      <c r="K319" s="9">
        <f t="shared" si="4"/>
        <v>2</v>
      </c>
      <c r="L319" t="s">
        <v>25</v>
      </c>
      <c r="M319" t="s">
        <v>29</v>
      </c>
      <c r="N319" t="s">
        <v>32</v>
      </c>
      <c r="O319" s="3">
        <v>0</v>
      </c>
      <c r="P319" s="4">
        <v>0</v>
      </c>
      <c r="Q319" s="5">
        <v>6</v>
      </c>
      <c r="R319" s="6">
        <v>0</v>
      </c>
      <c r="S319" s="3">
        <v>0</v>
      </c>
      <c r="T319" s="4">
        <v>0</v>
      </c>
      <c r="U319" s="5">
        <v>3</v>
      </c>
      <c r="V319" s="6">
        <v>0</v>
      </c>
      <c r="Y319" t="s">
        <v>157</v>
      </c>
    </row>
    <row r="320" spans="1:25" x14ac:dyDescent="0.3">
      <c r="A320" t="s">
        <v>25</v>
      </c>
      <c r="B320" s="7">
        <v>45178</v>
      </c>
      <c r="C320" t="s">
        <v>26</v>
      </c>
      <c r="D320">
        <v>3</v>
      </c>
      <c r="E320">
        <v>1</v>
      </c>
      <c r="F320">
        <v>4</v>
      </c>
      <c r="G320" t="s">
        <v>27</v>
      </c>
      <c r="H320">
        <v>1</v>
      </c>
      <c r="I320" s="8">
        <v>0.23958333333333334</v>
      </c>
      <c r="J320" s="8">
        <v>0.3125</v>
      </c>
      <c r="K320" s="9">
        <f t="shared" si="4"/>
        <v>1.7499999999999998</v>
      </c>
      <c r="L320" t="s">
        <v>25</v>
      </c>
      <c r="M320" t="s">
        <v>51</v>
      </c>
      <c r="N320" t="s">
        <v>38</v>
      </c>
      <c r="O320" s="3">
        <v>0</v>
      </c>
      <c r="P320" s="4">
        <v>0</v>
      </c>
      <c r="Q320" s="5">
        <v>0</v>
      </c>
      <c r="R320" s="6">
        <v>0</v>
      </c>
      <c r="S320" s="3">
        <v>0</v>
      </c>
      <c r="T320" s="4">
        <v>0</v>
      </c>
      <c r="U320" s="5">
        <v>2</v>
      </c>
      <c r="V320" s="6">
        <v>0</v>
      </c>
      <c r="Y320" t="s">
        <v>157</v>
      </c>
    </row>
    <row r="321" spans="1:25" x14ac:dyDescent="0.3">
      <c r="A321" t="s">
        <v>25</v>
      </c>
      <c r="B321" s="7">
        <v>45178</v>
      </c>
      <c r="C321" t="s">
        <v>26</v>
      </c>
      <c r="D321">
        <v>4</v>
      </c>
      <c r="E321">
        <v>2</v>
      </c>
      <c r="F321">
        <v>1</v>
      </c>
      <c r="G321" t="s">
        <v>27</v>
      </c>
      <c r="H321">
        <v>1</v>
      </c>
      <c r="I321" s="8">
        <v>0.29166666666666669</v>
      </c>
      <c r="J321" s="8">
        <v>0.32291666666666669</v>
      </c>
      <c r="K321" s="9">
        <f t="shared" si="4"/>
        <v>0.75</v>
      </c>
      <c r="L321" t="s">
        <v>28</v>
      </c>
      <c r="M321" t="s">
        <v>51</v>
      </c>
      <c r="N321" t="s">
        <v>27</v>
      </c>
      <c r="O321" s="3">
        <v>0</v>
      </c>
      <c r="P321" s="4">
        <v>1</v>
      </c>
      <c r="Q321" s="5">
        <v>0</v>
      </c>
      <c r="R321" s="6">
        <v>0</v>
      </c>
      <c r="S321" s="3">
        <v>0</v>
      </c>
      <c r="T321" s="4">
        <v>0</v>
      </c>
      <c r="U321" s="5">
        <v>0</v>
      </c>
      <c r="V321" s="6">
        <v>0</v>
      </c>
    </row>
    <row r="322" spans="1:25" x14ac:dyDescent="0.3">
      <c r="A322" t="s">
        <v>25</v>
      </c>
      <c r="B322" s="7">
        <v>45178</v>
      </c>
      <c r="C322" t="s">
        <v>26</v>
      </c>
      <c r="D322">
        <v>5</v>
      </c>
      <c r="E322">
        <v>2</v>
      </c>
      <c r="F322">
        <v>1</v>
      </c>
      <c r="G322" t="s">
        <v>27</v>
      </c>
      <c r="H322">
        <v>1</v>
      </c>
      <c r="I322" s="8">
        <v>0.27083333333333331</v>
      </c>
      <c r="J322" s="8">
        <v>0.32291666666666669</v>
      </c>
      <c r="K322" s="9">
        <f t="shared" si="4"/>
        <v>1.2500000000000009</v>
      </c>
      <c r="L322" t="s">
        <v>28</v>
      </c>
      <c r="M322" t="s">
        <v>56</v>
      </c>
      <c r="N322" t="s">
        <v>38</v>
      </c>
      <c r="O322" s="3">
        <v>0</v>
      </c>
      <c r="P322" s="4">
        <v>3</v>
      </c>
      <c r="Q322" s="5">
        <v>0</v>
      </c>
      <c r="R322" s="6">
        <v>0</v>
      </c>
      <c r="S322" s="3">
        <v>0</v>
      </c>
      <c r="T322" s="4">
        <v>0</v>
      </c>
      <c r="U322" s="5">
        <v>0</v>
      </c>
      <c r="V322" s="6">
        <v>0</v>
      </c>
    </row>
    <row r="323" spans="1:25" x14ac:dyDescent="0.3">
      <c r="A323" t="s">
        <v>25</v>
      </c>
      <c r="B323" s="7">
        <v>45178</v>
      </c>
      <c r="C323" t="s">
        <v>26</v>
      </c>
      <c r="D323">
        <v>6</v>
      </c>
      <c r="E323">
        <v>2</v>
      </c>
      <c r="F323">
        <v>2</v>
      </c>
      <c r="G323" t="s">
        <v>27</v>
      </c>
      <c r="H323">
        <v>1</v>
      </c>
      <c r="I323" s="8">
        <v>0.25</v>
      </c>
      <c r="J323" s="8">
        <v>0.33333333333333331</v>
      </c>
      <c r="K323" s="9">
        <f t="shared" ref="K323:K386" si="5">(J323-I323)*24*H323</f>
        <v>1.9999999999999996</v>
      </c>
      <c r="L323" t="s">
        <v>25</v>
      </c>
      <c r="M323" t="s">
        <v>56</v>
      </c>
      <c r="N323" t="s">
        <v>38</v>
      </c>
      <c r="O323" s="3">
        <v>0</v>
      </c>
      <c r="P323" s="4">
        <v>5</v>
      </c>
      <c r="Q323" s="5">
        <v>0</v>
      </c>
      <c r="R323" s="6">
        <v>0</v>
      </c>
      <c r="S323" s="3">
        <v>0</v>
      </c>
      <c r="T323" s="4">
        <v>0</v>
      </c>
      <c r="U323" s="5">
        <v>0</v>
      </c>
      <c r="V323" s="6">
        <v>0</v>
      </c>
      <c r="Y323" t="s">
        <v>158</v>
      </c>
    </row>
    <row r="324" spans="1:25" x14ac:dyDescent="0.3">
      <c r="A324" t="s">
        <v>25</v>
      </c>
      <c r="B324" s="7">
        <v>45178</v>
      </c>
      <c r="C324" t="s">
        <v>26</v>
      </c>
      <c r="D324">
        <v>7</v>
      </c>
      <c r="E324">
        <v>2</v>
      </c>
      <c r="F324">
        <v>2</v>
      </c>
      <c r="G324" t="s">
        <v>27</v>
      </c>
      <c r="H324">
        <v>1</v>
      </c>
      <c r="I324" s="8">
        <v>0.25</v>
      </c>
      <c r="J324" s="8">
        <v>0.33333333333333331</v>
      </c>
      <c r="K324" s="9">
        <f t="shared" si="5"/>
        <v>1.9999999999999996</v>
      </c>
      <c r="L324" t="s">
        <v>25</v>
      </c>
      <c r="M324" t="s">
        <v>56</v>
      </c>
      <c r="N324" t="s">
        <v>38</v>
      </c>
      <c r="O324" s="3">
        <v>0</v>
      </c>
      <c r="P324" s="4">
        <v>4</v>
      </c>
      <c r="Q324" s="5">
        <v>0</v>
      </c>
      <c r="R324" s="6">
        <v>0</v>
      </c>
      <c r="S324" s="3">
        <v>0</v>
      </c>
      <c r="T324" s="4">
        <v>0</v>
      </c>
      <c r="U324" s="5">
        <v>0</v>
      </c>
      <c r="V324" s="6">
        <v>0</v>
      </c>
      <c r="Y324" t="s">
        <v>159</v>
      </c>
    </row>
    <row r="325" spans="1:25" x14ac:dyDescent="0.3">
      <c r="A325" t="s">
        <v>25</v>
      </c>
      <c r="B325" s="7">
        <v>45178</v>
      </c>
      <c r="C325" t="s">
        <v>26</v>
      </c>
      <c r="D325">
        <v>8</v>
      </c>
      <c r="E325">
        <v>2</v>
      </c>
      <c r="F325">
        <v>2</v>
      </c>
      <c r="G325" t="s">
        <v>27</v>
      </c>
      <c r="H325">
        <v>1</v>
      </c>
      <c r="I325" s="8">
        <v>0.25</v>
      </c>
      <c r="J325" s="8">
        <v>0.33333333333333331</v>
      </c>
      <c r="K325" s="9">
        <f t="shared" si="5"/>
        <v>1.9999999999999996</v>
      </c>
      <c r="L325" t="s">
        <v>25</v>
      </c>
      <c r="M325" t="s">
        <v>160</v>
      </c>
      <c r="N325" t="s">
        <v>27</v>
      </c>
      <c r="O325" s="3">
        <v>0</v>
      </c>
      <c r="P325" s="4">
        <v>4</v>
      </c>
      <c r="Q325" s="5">
        <v>0</v>
      </c>
      <c r="R325" s="6">
        <v>0</v>
      </c>
      <c r="S325" s="3">
        <v>0</v>
      </c>
      <c r="T325" s="4">
        <v>0</v>
      </c>
      <c r="U325" s="5">
        <v>0</v>
      </c>
      <c r="V325" s="6">
        <v>0</v>
      </c>
      <c r="Y325" t="s">
        <v>159</v>
      </c>
    </row>
    <row r="326" spans="1:25" x14ac:dyDescent="0.3">
      <c r="A326" t="s">
        <v>25</v>
      </c>
      <c r="B326" s="7">
        <v>45178</v>
      </c>
      <c r="C326" t="s">
        <v>26</v>
      </c>
      <c r="D326">
        <v>9</v>
      </c>
      <c r="E326">
        <v>2</v>
      </c>
      <c r="F326">
        <v>2</v>
      </c>
      <c r="G326" t="s">
        <v>27</v>
      </c>
      <c r="H326">
        <v>2</v>
      </c>
      <c r="I326" s="8">
        <v>0.22916666666666666</v>
      </c>
      <c r="J326" s="8">
        <v>0.35416666666666669</v>
      </c>
      <c r="K326" s="9">
        <f t="shared" si="5"/>
        <v>6.0000000000000018</v>
      </c>
      <c r="L326" t="s">
        <v>28</v>
      </c>
      <c r="M326" t="s">
        <v>51</v>
      </c>
      <c r="N326" t="s">
        <v>55</v>
      </c>
      <c r="O326" s="3">
        <v>1</v>
      </c>
      <c r="P326" s="4">
        <v>4</v>
      </c>
      <c r="Q326" s="5">
        <v>0</v>
      </c>
      <c r="R326" s="6">
        <v>0</v>
      </c>
      <c r="S326" s="3">
        <v>0</v>
      </c>
      <c r="T326" s="4">
        <v>0</v>
      </c>
      <c r="U326" s="5">
        <v>2</v>
      </c>
      <c r="V326" s="6">
        <v>0</v>
      </c>
    </row>
    <row r="327" spans="1:25" x14ac:dyDescent="0.3">
      <c r="A327" t="s">
        <v>25</v>
      </c>
      <c r="B327" s="7">
        <v>45178</v>
      </c>
      <c r="C327" t="s">
        <v>26</v>
      </c>
      <c r="D327">
        <v>10</v>
      </c>
      <c r="E327">
        <v>2</v>
      </c>
      <c r="F327">
        <v>2</v>
      </c>
      <c r="G327" t="s">
        <v>27</v>
      </c>
      <c r="H327">
        <v>1</v>
      </c>
      <c r="I327" s="8">
        <v>0.25</v>
      </c>
      <c r="J327" s="8">
        <v>0.35416666666666669</v>
      </c>
      <c r="K327" s="9">
        <f t="shared" si="5"/>
        <v>2.5000000000000004</v>
      </c>
      <c r="L327" t="s">
        <v>25</v>
      </c>
      <c r="M327" t="s">
        <v>56</v>
      </c>
      <c r="N327" t="s">
        <v>55</v>
      </c>
      <c r="O327" s="3">
        <v>1</v>
      </c>
      <c r="P327" s="4">
        <v>2</v>
      </c>
      <c r="Q327" s="5">
        <v>0</v>
      </c>
      <c r="R327" s="6">
        <v>0</v>
      </c>
      <c r="S327" s="3">
        <v>2</v>
      </c>
      <c r="T327" s="4">
        <v>0</v>
      </c>
      <c r="U327" s="5">
        <v>1</v>
      </c>
      <c r="V327" s="6">
        <v>0</v>
      </c>
    </row>
    <row r="328" spans="1:25" x14ac:dyDescent="0.3">
      <c r="A328" t="s">
        <v>25</v>
      </c>
      <c r="B328" s="7">
        <v>45178</v>
      </c>
      <c r="C328" t="s">
        <v>26</v>
      </c>
      <c r="D328">
        <v>11</v>
      </c>
      <c r="E328">
        <v>2</v>
      </c>
      <c r="F328">
        <v>2</v>
      </c>
      <c r="G328" t="s">
        <v>27</v>
      </c>
      <c r="H328">
        <v>1</v>
      </c>
      <c r="I328" s="8">
        <v>0.22916666666666666</v>
      </c>
      <c r="J328" s="8">
        <v>0.36805555555555558</v>
      </c>
      <c r="K328" s="9">
        <f t="shared" si="5"/>
        <v>3.3333333333333339</v>
      </c>
      <c r="L328" t="s">
        <v>25</v>
      </c>
      <c r="M328" t="s">
        <v>56</v>
      </c>
      <c r="N328" t="s">
        <v>38</v>
      </c>
      <c r="O328" s="3">
        <v>1</v>
      </c>
      <c r="P328" s="4">
        <v>2</v>
      </c>
      <c r="Q328" s="5">
        <v>0</v>
      </c>
      <c r="R328" s="6">
        <v>0</v>
      </c>
      <c r="S328" s="3">
        <v>0</v>
      </c>
      <c r="T328" s="4">
        <v>0</v>
      </c>
      <c r="U328" s="5">
        <v>0</v>
      </c>
      <c r="V328" s="6">
        <v>0</v>
      </c>
    </row>
    <row r="329" spans="1:25" x14ac:dyDescent="0.3">
      <c r="A329" t="s">
        <v>25</v>
      </c>
      <c r="B329" s="7">
        <v>45178</v>
      </c>
      <c r="C329" t="s">
        <v>26</v>
      </c>
      <c r="D329">
        <v>12</v>
      </c>
      <c r="E329">
        <v>2</v>
      </c>
      <c r="F329">
        <v>2</v>
      </c>
      <c r="G329" t="s">
        <v>27</v>
      </c>
      <c r="H329">
        <v>1</v>
      </c>
      <c r="I329" s="8">
        <v>0.3125</v>
      </c>
      <c r="J329" s="8">
        <v>0.37083333333333335</v>
      </c>
      <c r="K329" s="9">
        <f t="shared" si="5"/>
        <v>1.4000000000000004</v>
      </c>
      <c r="L329" t="s">
        <v>25</v>
      </c>
      <c r="M329" t="s">
        <v>56</v>
      </c>
      <c r="N329" t="s">
        <v>38</v>
      </c>
      <c r="O329" s="3">
        <v>0</v>
      </c>
      <c r="P329" s="4">
        <v>0</v>
      </c>
      <c r="Q329" s="5">
        <v>0</v>
      </c>
      <c r="R329" s="6">
        <v>0</v>
      </c>
      <c r="S329" s="3">
        <v>0</v>
      </c>
      <c r="T329" s="4">
        <v>0</v>
      </c>
      <c r="U329" s="5">
        <v>0</v>
      </c>
      <c r="V329" s="6">
        <v>0</v>
      </c>
    </row>
    <row r="330" spans="1:25" x14ac:dyDescent="0.3">
      <c r="A330" t="s">
        <v>25</v>
      </c>
      <c r="B330" s="7">
        <v>45178</v>
      </c>
      <c r="C330" t="s">
        <v>26</v>
      </c>
      <c r="D330">
        <v>13</v>
      </c>
      <c r="E330">
        <v>2</v>
      </c>
      <c r="F330">
        <v>2</v>
      </c>
      <c r="G330" t="s">
        <v>27</v>
      </c>
      <c r="H330">
        <v>4</v>
      </c>
      <c r="I330" s="8">
        <v>0.22916666666666666</v>
      </c>
      <c r="J330" s="8">
        <v>0.375</v>
      </c>
      <c r="K330" s="9">
        <f t="shared" si="5"/>
        <v>14</v>
      </c>
      <c r="L330" t="s">
        <v>28</v>
      </c>
      <c r="M330" t="s">
        <v>156</v>
      </c>
      <c r="N330" t="s">
        <v>27</v>
      </c>
      <c r="O330" s="3">
        <v>0</v>
      </c>
      <c r="P330" s="4">
        <v>3</v>
      </c>
      <c r="Q330" s="5">
        <v>0</v>
      </c>
      <c r="R330" s="6">
        <v>0</v>
      </c>
      <c r="S330" s="3">
        <v>2</v>
      </c>
      <c r="T330" s="4">
        <v>0</v>
      </c>
      <c r="U330" s="5">
        <v>0</v>
      </c>
      <c r="V330" s="6">
        <v>0</v>
      </c>
    </row>
    <row r="331" spans="1:25" x14ac:dyDescent="0.3">
      <c r="A331" t="s">
        <v>25</v>
      </c>
      <c r="B331" s="7">
        <v>45178</v>
      </c>
      <c r="C331" t="s">
        <v>26</v>
      </c>
      <c r="D331">
        <v>14</v>
      </c>
      <c r="E331">
        <v>2</v>
      </c>
      <c r="F331">
        <v>2</v>
      </c>
      <c r="G331" t="s">
        <v>27</v>
      </c>
      <c r="H331">
        <v>1</v>
      </c>
      <c r="I331" s="8">
        <v>0.23472222222222219</v>
      </c>
      <c r="J331" s="8">
        <v>0.3833333333333333</v>
      </c>
      <c r="K331" s="9">
        <f t="shared" si="5"/>
        <v>3.5666666666666664</v>
      </c>
      <c r="L331" t="s">
        <v>28</v>
      </c>
      <c r="M331" t="s">
        <v>161</v>
      </c>
      <c r="N331" t="s">
        <v>55</v>
      </c>
      <c r="O331" s="3">
        <v>1</v>
      </c>
      <c r="P331" s="4">
        <v>0</v>
      </c>
      <c r="Q331" s="5">
        <v>0</v>
      </c>
      <c r="R331" s="6">
        <v>0</v>
      </c>
      <c r="S331" s="3">
        <v>0</v>
      </c>
      <c r="T331" s="4">
        <v>0</v>
      </c>
      <c r="U331" s="5">
        <v>0</v>
      </c>
      <c r="V331" s="6">
        <v>0</v>
      </c>
    </row>
    <row r="332" spans="1:25" x14ac:dyDescent="0.3">
      <c r="A332" t="s">
        <v>25</v>
      </c>
      <c r="B332" s="7">
        <v>45178</v>
      </c>
      <c r="C332" t="s">
        <v>26</v>
      </c>
      <c r="D332">
        <v>15</v>
      </c>
      <c r="E332">
        <v>2</v>
      </c>
      <c r="F332">
        <v>2</v>
      </c>
      <c r="G332" t="s">
        <v>27</v>
      </c>
      <c r="H332">
        <v>1</v>
      </c>
      <c r="I332" s="8">
        <v>0.22916666666666666</v>
      </c>
      <c r="J332" s="8">
        <v>0.38680555555555557</v>
      </c>
      <c r="K332" s="9">
        <f t="shared" si="5"/>
        <v>3.7833333333333341</v>
      </c>
      <c r="L332" t="s">
        <v>25</v>
      </c>
      <c r="M332" t="s">
        <v>56</v>
      </c>
      <c r="N332" t="s">
        <v>38</v>
      </c>
      <c r="O332" s="3">
        <v>1</v>
      </c>
      <c r="P332" s="4">
        <v>1</v>
      </c>
      <c r="Q332" s="5">
        <v>0</v>
      </c>
      <c r="R332" s="6">
        <v>0</v>
      </c>
      <c r="S332" s="3">
        <v>0</v>
      </c>
      <c r="T332" s="4">
        <v>0</v>
      </c>
      <c r="U332" s="5">
        <v>0</v>
      </c>
      <c r="V332" s="6">
        <v>0</v>
      </c>
    </row>
    <row r="333" spans="1:25" x14ac:dyDescent="0.3">
      <c r="A333" t="s">
        <v>25</v>
      </c>
      <c r="B333" s="7">
        <v>45178</v>
      </c>
      <c r="C333" t="s">
        <v>26</v>
      </c>
      <c r="D333">
        <v>16</v>
      </c>
      <c r="E333">
        <v>2</v>
      </c>
      <c r="F333">
        <v>2</v>
      </c>
      <c r="G333" t="s">
        <v>27</v>
      </c>
      <c r="H333">
        <v>1</v>
      </c>
      <c r="I333" s="8">
        <v>0.27083333333333331</v>
      </c>
      <c r="J333" s="8">
        <v>0.39027777777777778</v>
      </c>
      <c r="K333" s="9">
        <f t="shared" si="5"/>
        <v>2.8666666666666671</v>
      </c>
      <c r="L333" t="s">
        <v>25</v>
      </c>
      <c r="M333" t="s">
        <v>56</v>
      </c>
      <c r="N333" t="s">
        <v>55</v>
      </c>
      <c r="O333" s="3">
        <v>0</v>
      </c>
      <c r="P333" s="4">
        <v>2</v>
      </c>
      <c r="Q333" s="5">
        <v>0</v>
      </c>
      <c r="R333" s="6">
        <v>0</v>
      </c>
      <c r="S333" s="3">
        <v>0</v>
      </c>
      <c r="T333" s="4">
        <v>0</v>
      </c>
      <c r="U333" s="5">
        <v>0</v>
      </c>
      <c r="V333" s="6">
        <v>0</v>
      </c>
    </row>
    <row r="334" spans="1:25" x14ac:dyDescent="0.3">
      <c r="A334" t="s">
        <v>25</v>
      </c>
      <c r="B334" s="7">
        <v>45178</v>
      </c>
      <c r="C334" t="s">
        <v>26</v>
      </c>
      <c r="D334">
        <v>17</v>
      </c>
      <c r="E334">
        <v>2</v>
      </c>
      <c r="F334">
        <v>2</v>
      </c>
      <c r="G334" t="s">
        <v>27</v>
      </c>
      <c r="H334">
        <v>1</v>
      </c>
      <c r="I334" s="8">
        <v>0.27083333333333331</v>
      </c>
      <c r="J334" s="8">
        <v>0.39583333333333331</v>
      </c>
      <c r="K334" s="9">
        <f t="shared" si="5"/>
        <v>3</v>
      </c>
      <c r="L334" t="s">
        <v>25</v>
      </c>
      <c r="M334" t="s">
        <v>56</v>
      </c>
      <c r="N334" t="s">
        <v>50</v>
      </c>
      <c r="O334" s="3">
        <v>1</v>
      </c>
      <c r="P334" s="4">
        <v>0</v>
      </c>
      <c r="Q334" s="5">
        <v>0</v>
      </c>
      <c r="R334" s="6">
        <v>0</v>
      </c>
      <c r="S334" s="3">
        <v>0</v>
      </c>
      <c r="T334" s="4">
        <v>0</v>
      </c>
      <c r="U334" s="5">
        <v>0</v>
      </c>
      <c r="V334" s="6">
        <v>0</v>
      </c>
    </row>
    <row r="335" spans="1:25" x14ac:dyDescent="0.3">
      <c r="A335" t="s">
        <v>25</v>
      </c>
      <c r="B335" s="7">
        <v>45178</v>
      </c>
      <c r="C335" t="s">
        <v>26</v>
      </c>
      <c r="D335">
        <v>18</v>
      </c>
      <c r="E335">
        <v>2</v>
      </c>
      <c r="F335">
        <v>2</v>
      </c>
      <c r="G335" t="s">
        <v>27</v>
      </c>
      <c r="H335">
        <v>4</v>
      </c>
      <c r="I335" s="8">
        <v>0.27083333333333331</v>
      </c>
      <c r="J335" s="8">
        <v>0.39583333333333331</v>
      </c>
      <c r="K335" s="9">
        <f t="shared" si="5"/>
        <v>12</v>
      </c>
      <c r="L335" t="s">
        <v>28</v>
      </c>
      <c r="M335" t="s">
        <v>56</v>
      </c>
      <c r="N335" t="s">
        <v>27</v>
      </c>
      <c r="O335" s="3">
        <v>4</v>
      </c>
      <c r="P335" s="4">
        <v>5</v>
      </c>
      <c r="Q335" s="5">
        <v>0</v>
      </c>
      <c r="R335" s="6">
        <v>0</v>
      </c>
      <c r="S335" s="3">
        <v>0</v>
      </c>
      <c r="T335" s="4">
        <v>0</v>
      </c>
      <c r="U335" s="5">
        <v>0</v>
      </c>
      <c r="V335" s="6">
        <v>0</v>
      </c>
    </row>
    <row r="336" spans="1:25" x14ac:dyDescent="0.3">
      <c r="A336" t="s">
        <v>25</v>
      </c>
      <c r="B336" s="7">
        <v>45178</v>
      </c>
      <c r="C336" t="s">
        <v>26</v>
      </c>
      <c r="D336">
        <v>19</v>
      </c>
      <c r="E336">
        <v>2</v>
      </c>
      <c r="F336">
        <v>2</v>
      </c>
      <c r="G336" t="s">
        <v>27</v>
      </c>
      <c r="H336">
        <v>1</v>
      </c>
      <c r="I336" s="8">
        <v>0.33333333333333331</v>
      </c>
      <c r="J336" s="8">
        <v>0.40208333333333335</v>
      </c>
      <c r="K336" s="9">
        <f t="shared" si="5"/>
        <v>1.6500000000000008</v>
      </c>
      <c r="L336" t="s">
        <v>25</v>
      </c>
      <c r="M336" t="s">
        <v>51</v>
      </c>
      <c r="N336" t="s">
        <v>27</v>
      </c>
      <c r="O336" s="3">
        <v>0</v>
      </c>
      <c r="P336" s="4">
        <v>0</v>
      </c>
      <c r="Q336" s="5">
        <v>0</v>
      </c>
      <c r="R336" s="6">
        <v>0</v>
      </c>
      <c r="S336" s="3">
        <v>0</v>
      </c>
      <c r="T336" s="4">
        <v>0</v>
      </c>
      <c r="U336" s="5">
        <v>0</v>
      </c>
      <c r="V336" s="6">
        <v>0</v>
      </c>
    </row>
    <row r="337" spans="1:25" x14ac:dyDescent="0.3">
      <c r="A337" t="s">
        <v>25</v>
      </c>
      <c r="B337" s="7">
        <v>45178</v>
      </c>
      <c r="C337" t="s">
        <v>26</v>
      </c>
      <c r="D337">
        <v>20</v>
      </c>
      <c r="E337">
        <v>2</v>
      </c>
      <c r="F337">
        <v>3</v>
      </c>
      <c r="G337" t="s">
        <v>27</v>
      </c>
      <c r="H337">
        <v>2</v>
      </c>
      <c r="I337" s="8">
        <v>0.27083333333333331</v>
      </c>
      <c r="J337" s="8">
        <v>0.4145833333333333</v>
      </c>
      <c r="K337" s="9">
        <f t="shared" si="5"/>
        <v>6.8999999999999995</v>
      </c>
      <c r="L337" t="s">
        <v>25</v>
      </c>
      <c r="M337" t="s">
        <v>29</v>
      </c>
      <c r="N337" t="s">
        <v>32</v>
      </c>
      <c r="O337" s="3">
        <v>0</v>
      </c>
      <c r="P337" s="4">
        <v>0</v>
      </c>
      <c r="Q337" s="5">
        <v>0</v>
      </c>
      <c r="R337" s="6">
        <v>0</v>
      </c>
      <c r="S337" s="3">
        <v>0</v>
      </c>
      <c r="T337" s="4">
        <v>0</v>
      </c>
      <c r="U337" s="5">
        <v>0</v>
      </c>
      <c r="V337" s="6">
        <v>0</v>
      </c>
    </row>
    <row r="338" spans="1:25" x14ac:dyDescent="0.3">
      <c r="A338" t="s">
        <v>25</v>
      </c>
      <c r="B338" s="7">
        <v>45178</v>
      </c>
      <c r="C338" t="s">
        <v>26</v>
      </c>
      <c r="D338">
        <v>21</v>
      </c>
      <c r="E338">
        <v>2</v>
      </c>
      <c r="F338">
        <v>3</v>
      </c>
      <c r="G338" t="s">
        <v>27</v>
      </c>
      <c r="H338">
        <v>1</v>
      </c>
      <c r="I338" s="8">
        <v>0.33333333333333331</v>
      </c>
      <c r="J338" s="8">
        <v>0.4152777777777778</v>
      </c>
      <c r="K338" s="9">
        <f t="shared" si="5"/>
        <v>1.9666666666666677</v>
      </c>
      <c r="L338" t="s">
        <v>28</v>
      </c>
      <c r="M338" t="s">
        <v>29</v>
      </c>
      <c r="N338" t="s">
        <v>27</v>
      </c>
      <c r="O338" s="3">
        <v>0</v>
      </c>
      <c r="P338" s="4">
        <v>0</v>
      </c>
      <c r="Q338" s="5">
        <v>0</v>
      </c>
      <c r="R338" s="6">
        <v>0</v>
      </c>
      <c r="S338" s="3">
        <v>0</v>
      </c>
      <c r="T338" s="4">
        <v>0</v>
      </c>
      <c r="U338" s="5">
        <v>0</v>
      </c>
      <c r="V338" s="6">
        <v>0</v>
      </c>
    </row>
    <row r="339" spans="1:25" x14ac:dyDescent="0.3">
      <c r="A339" t="s">
        <v>25</v>
      </c>
      <c r="B339" s="7">
        <v>45178</v>
      </c>
      <c r="C339" t="s">
        <v>26</v>
      </c>
      <c r="D339">
        <v>22</v>
      </c>
      <c r="E339">
        <v>2</v>
      </c>
      <c r="F339">
        <v>4</v>
      </c>
      <c r="G339" t="s">
        <v>27</v>
      </c>
      <c r="H339">
        <v>1</v>
      </c>
      <c r="I339" s="8">
        <v>0.25</v>
      </c>
      <c r="J339" s="8">
        <v>0.42291666666666666</v>
      </c>
      <c r="K339" s="9">
        <f t="shared" si="5"/>
        <v>4.1500000000000004</v>
      </c>
      <c r="L339" t="s">
        <v>25</v>
      </c>
      <c r="M339" t="s">
        <v>56</v>
      </c>
      <c r="N339" t="s">
        <v>50</v>
      </c>
      <c r="O339" s="3">
        <v>2</v>
      </c>
      <c r="P339" s="4">
        <v>0</v>
      </c>
      <c r="Q339" s="5">
        <v>0</v>
      </c>
      <c r="R339" s="6">
        <v>0</v>
      </c>
      <c r="S339" s="3">
        <v>0</v>
      </c>
      <c r="T339" s="4">
        <v>0</v>
      </c>
      <c r="U339" s="5">
        <v>0</v>
      </c>
      <c r="V339" s="6">
        <v>0</v>
      </c>
    </row>
    <row r="340" spans="1:25" x14ac:dyDescent="0.3">
      <c r="A340" t="s">
        <v>25</v>
      </c>
      <c r="B340" s="7">
        <v>45178</v>
      </c>
      <c r="C340" t="s">
        <v>26</v>
      </c>
      <c r="D340">
        <v>23</v>
      </c>
      <c r="E340">
        <v>2</v>
      </c>
      <c r="F340">
        <v>5</v>
      </c>
      <c r="G340" t="s">
        <v>27</v>
      </c>
      <c r="H340">
        <v>1</v>
      </c>
      <c r="I340" s="8">
        <v>0.35416666666666669</v>
      </c>
      <c r="J340" s="8">
        <v>0.46458333333333335</v>
      </c>
      <c r="K340" s="9">
        <f t="shared" si="5"/>
        <v>2.65</v>
      </c>
      <c r="L340" t="s">
        <v>25</v>
      </c>
      <c r="M340" t="s">
        <v>29</v>
      </c>
      <c r="N340" t="s">
        <v>32</v>
      </c>
      <c r="O340" s="3">
        <v>0</v>
      </c>
      <c r="P340" s="4">
        <v>0</v>
      </c>
      <c r="Q340" s="5">
        <v>1</v>
      </c>
      <c r="R340" s="6">
        <v>0</v>
      </c>
      <c r="S340" s="3">
        <v>0</v>
      </c>
      <c r="T340" s="4">
        <v>0</v>
      </c>
      <c r="U340" s="5">
        <v>0</v>
      </c>
      <c r="V340" s="6">
        <v>0</v>
      </c>
    </row>
    <row r="341" spans="1:25" x14ac:dyDescent="0.3">
      <c r="A341" t="s">
        <v>25</v>
      </c>
      <c r="B341" s="7">
        <v>45178</v>
      </c>
      <c r="C341" t="s">
        <v>42</v>
      </c>
      <c r="D341">
        <v>24</v>
      </c>
      <c r="E341">
        <v>1</v>
      </c>
      <c r="F341">
        <v>1</v>
      </c>
      <c r="G341" t="s">
        <v>35</v>
      </c>
      <c r="H341">
        <v>1</v>
      </c>
      <c r="I341" s="8">
        <v>0.59722222222222221</v>
      </c>
      <c r="J341" s="8">
        <v>0.69305555555555554</v>
      </c>
      <c r="K341" s="9">
        <f t="shared" si="5"/>
        <v>2.2999999999999998</v>
      </c>
      <c r="L341" t="s">
        <v>25</v>
      </c>
      <c r="M341" t="s">
        <v>162</v>
      </c>
      <c r="N341" t="s">
        <v>38</v>
      </c>
      <c r="O341" s="3">
        <v>0</v>
      </c>
      <c r="P341" s="4">
        <v>1</v>
      </c>
      <c r="Q341" s="5">
        <v>0</v>
      </c>
      <c r="R341" s="6">
        <v>0</v>
      </c>
      <c r="S341" s="3">
        <v>0</v>
      </c>
      <c r="T341" s="4">
        <v>0</v>
      </c>
      <c r="U341" s="5">
        <v>0</v>
      </c>
      <c r="V341" s="6">
        <v>0</v>
      </c>
    </row>
    <row r="342" spans="1:25" x14ac:dyDescent="0.3">
      <c r="A342" t="s">
        <v>25</v>
      </c>
      <c r="B342" s="7">
        <v>45178</v>
      </c>
      <c r="C342" t="s">
        <v>42</v>
      </c>
      <c r="D342">
        <v>25</v>
      </c>
      <c r="E342">
        <v>1</v>
      </c>
      <c r="F342">
        <v>1</v>
      </c>
      <c r="G342" t="s">
        <v>35</v>
      </c>
      <c r="H342">
        <v>4</v>
      </c>
      <c r="I342" s="8">
        <v>0.41666666666666669</v>
      </c>
      <c r="J342" s="8">
        <v>0.69513888888888886</v>
      </c>
      <c r="K342" s="9">
        <f t="shared" si="5"/>
        <v>26.733333333333327</v>
      </c>
      <c r="L342" t="s">
        <v>25</v>
      </c>
      <c r="M342" t="s">
        <v>29</v>
      </c>
      <c r="N342" t="s">
        <v>32</v>
      </c>
      <c r="O342" s="3">
        <v>0</v>
      </c>
      <c r="P342" s="4">
        <v>0</v>
      </c>
      <c r="Q342" s="5">
        <v>6</v>
      </c>
      <c r="R342" s="6">
        <v>0</v>
      </c>
      <c r="S342" s="3">
        <v>0</v>
      </c>
      <c r="T342" s="4">
        <v>0</v>
      </c>
      <c r="U342" s="5">
        <v>0</v>
      </c>
      <c r="V342" s="6">
        <v>0</v>
      </c>
    </row>
    <row r="343" spans="1:25" x14ac:dyDescent="0.3">
      <c r="A343" t="s">
        <v>25</v>
      </c>
      <c r="B343" s="7">
        <v>45178</v>
      </c>
      <c r="C343" t="s">
        <v>42</v>
      </c>
      <c r="D343">
        <v>26</v>
      </c>
      <c r="E343">
        <v>1</v>
      </c>
      <c r="F343">
        <v>1</v>
      </c>
      <c r="G343" t="s">
        <v>35</v>
      </c>
      <c r="H343">
        <v>1</v>
      </c>
      <c r="I343" s="8">
        <v>0.3576388888888889</v>
      </c>
      <c r="J343" s="8">
        <v>0.73263888888888884</v>
      </c>
      <c r="K343" s="9">
        <f t="shared" si="5"/>
        <v>8.9999999999999982</v>
      </c>
      <c r="L343" t="s">
        <v>25</v>
      </c>
      <c r="M343" t="s">
        <v>29</v>
      </c>
      <c r="N343" t="s">
        <v>32</v>
      </c>
      <c r="O343" s="3">
        <v>0</v>
      </c>
      <c r="P343" s="4">
        <v>0</v>
      </c>
      <c r="Q343" s="5">
        <v>0</v>
      </c>
      <c r="R343" s="6">
        <v>0</v>
      </c>
      <c r="S343" s="3">
        <v>0</v>
      </c>
      <c r="T343" s="4">
        <v>0</v>
      </c>
      <c r="U343" s="5">
        <v>0</v>
      </c>
      <c r="V343" s="6">
        <v>0</v>
      </c>
    </row>
    <row r="344" spans="1:25" x14ac:dyDescent="0.3">
      <c r="A344" t="s">
        <v>25</v>
      </c>
      <c r="B344" s="7">
        <v>45178</v>
      </c>
      <c r="C344" t="s">
        <v>42</v>
      </c>
      <c r="D344">
        <v>27</v>
      </c>
      <c r="E344">
        <v>1</v>
      </c>
      <c r="F344">
        <v>1</v>
      </c>
      <c r="G344" t="s">
        <v>35</v>
      </c>
      <c r="H344">
        <v>1</v>
      </c>
      <c r="I344" s="8">
        <v>0.54166666666666663</v>
      </c>
      <c r="J344" s="8">
        <v>0.73472222222222217</v>
      </c>
      <c r="K344" s="9">
        <f t="shared" si="5"/>
        <v>4.6333333333333329</v>
      </c>
      <c r="L344" t="s">
        <v>25</v>
      </c>
      <c r="M344" t="s">
        <v>163</v>
      </c>
      <c r="N344" t="s">
        <v>38</v>
      </c>
      <c r="O344" s="3">
        <v>0</v>
      </c>
      <c r="P344" s="4">
        <v>4</v>
      </c>
      <c r="Q344" s="5">
        <v>0</v>
      </c>
      <c r="R344" s="6">
        <v>0</v>
      </c>
      <c r="S344" s="3">
        <v>0</v>
      </c>
      <c r="T344" s="4">
        <v>0</v>
      </c>
      <c r="U344" s="5">
        <v>0</v>
      </c>
      <c r="V344" s="6">
        <v>0</v>
      </c>
      <c r="Y344" t="s">
        <v>159</v>
      </c>
    </row>
    <row r="345" spans="1:25" x14ac:dyDescent="0.3">
      <c r="A345" t="s">
        <v>25</v>
      </c>
      <c r="B345" s="7">
        <v>45178</v>
      </c>
      <c r="C345" t="s">
        <v>42</v>
      </c>
      <c r="D345">
        <v>28</v>
      </c>
      <c r="E345">
        <v>1</v>
      </c>
      <c r="F345">
        <v>1</v>
      </c>
      <c r="G345" t="s">
        <v>35</v>
      </c>
      <c r="H345">
        <v>3</v>
      </c>
      <c r="I345" s="8">
        <v>0.5</v>
      </c>
      <c r="J345" s="8">
        <v>0.7402777777777777</v>
      </c>
      <c r="K345" s="9">
        <f t="shared" si="5"/>
        <v>17.299999999999994</v>
      </c>
      <c r="L345" t="s">
        <v>25</v>
      </c>
      <c r="M345" t="s">
        <v>29</v>
      </c>
      <c r="N345" t="s">
        <v>32</v>
      </c>
      <c r="O345" s="3">
        <v>0</v>
      </c>
      <c r="P345" s="4">
        <v>0</v>
      </c>
      <c r="Q345" s="5">
        <v>1</v>
      </c>
      <c r="R345" s="6">
        <v>0</v>
      </c>
      <c r="S345" s="3">
        <v>0</v>
      </c>
      <c r="T345" s="4">
        <v>0</v>
      </c>
      <c r="U345" s="5">
        <v>0</v>
      </c>
      <c r="V345" s="6">
        <v>0</v>
      </c>
    </row>
    <row r="346" spans="1:25" x14ac:dyDescent="0.3">
      <c r="A346" t="s">
        <v>25</v>
      </c>
      <c r="B346" s="7">
        <v>45178</v>
      </c>
      <c r="C346" t="s">
        <v>42</v>
      </c>
      <c r="D346">
        <v>29</v>
      </c>
      <c r="E346">
        <v>1</v>
      </c>
      <c r="F346">
        <v>1</v>
      </c>
      <c r="G346" t="s">
        <v>35</v>
      </c>
      <c r="H346">
        <v>2</v>
      </c>
      <c r="I346" s="8">
        <v>0.54166666666666663</v>
      </c>
      <c r="J346" s="8">
        <v>0.74722222222222223</v>
      </c>
      <c r="K346" s="9">
        <f t="shared" si="5"/>
        <v>9.8666666666666689</v>
      </c>
      <c r="L346" t="s">
        <v>25</v>
      </c>
      <c r="M346" t="s">
        <v>29</v>
      </c>
      <c r="N346" t="s">
        <v>27</v>
      </c>
      <c r="O346" s="3">
        <v>0</v>
      </c>
      <c r="P346" s="4">
        <v>1</v>
      </c>
      <c r="Q346" s="5">
        <v>8</v>
      </c>
      <c r="R346" s="6">
        <v>0</v>
      </c>
      <c r="S346" s="3">
        <v>0</v>
      </c>
      <c r="T346" s="4">
        <v>0</v>
      </c>
      <c r="U346" s="5">
        <v>3</v>
      </c>
      <c r="V346" s="6">
        <v>0</v>
      </c>
    </row>
    <row r="347" spans="1:25" x14ac:dyDescent="0.3">
      <c r="A347" t="s">
        <v>25</v>
      </c>
      <c r="B347" s="7">
        <v>45178</v>
      </c>
      <c r="C347" t="s">
        <v>42</v>
      </c>
      <c r="D347">
        <v>30</v>
      </c>
      <c r="E347">
        <v>1</v>
      </c>
      <c r="F347">
        <v>1</v>
      </c>
      <c r="G347" t="s">
        <v>35</v>
      </c>
      <c r="H347">
        <v>2</v>
      </c>
      <c r="I347" s="8">
        <v>0.54166666666666663</v>
      </c>
      <c r="J347" s="8">
        <v>0.75</v>
      </c>
      <c r="K347" s="9">
        <f t="shared" si="5"/>
        <v>10.000000000000002</v>
      </c>
      <c r="L347" t="s">
        <v>25</v>
      </c>
      <c r="M347" t="s">
        <v>29</v>
      </c>
      <c r="N347" t="s">
        <v>27</v>
      </c>
      <c r="O347" s="3">
        <v>0</v>
      </c>
      <c r="P347" s="4">
        <v>0</v>
      </c>
      <c r="Q347" s="5">
        <v>0</v>
      </c>
      <c r="R347" s="6">
        <v>0</v>
      </c>
      <c r="S347" s="3">
        <v>0</v>
      </c>
      <c r="T347" s="4">
        <v>0</v>
      </c>
      <c r="U347" s="5">
        <v>20</v>
      </c>
      <c r="V347" s="6">
        <v>0</v>
      </c>
    </row>
    <row r="348" spans="1:25" x14ac:dyDescent="0.3">
      <c r="A348" t="s">
        <v>25</v>
      </c>
      <c r="B348" s="7">
        <v>45178</v>
      </c>
      <c r="C348" t="s">
        <v>42</v>
      </c>
      <c r="D348">
        <v>31</v>
      </c>
      <c r="E348">
        <v>1</v>
      </c>
      <c r="F348">
        <v>1</v>
      </c>
      <c r="G348" t="s">
        <v>35</v>
      </c>
      <c r="H348">
        <v>1</v>
      </c>
      <c r="I348" s="8">
        <v>0.5</v>
      </c>
      <c r="J348" s="8">
        <v>0.75</v>
      </c>
      <c r="K348" s="9">
        <f t="shared" si="5"/>
        <v>6</v>
      </c>
      <c r="L348" t="s">
        <v>25</v>
      </c>
      <c r="M348" t="s">
        <v>29</v>
      </c>
      <c r="N348" t="s">
        <v>27</v>
      </c>
      <c r="O348" s="3">
        <v>0</v>
      </c>
      <c r="P348" s="4">
        <v>0</v>
      </c>
      <c r="Q348" s="5">
        <v>6</v>
      </c>
      <c r="R348" s="6">
        <v>0</v>
      </c>
      <c r="S348" s="3">
        <v>0</v>
      </c>
      <c r="T348" s="4">
        <v>0</v>
      </c>
      <c r="U348" s="5">
        <v>0</v>
      </c>
      <c r="V348" s="6">
        <v>0</v>
      </c>
    </row>
    <row r="349" spans="1:25" x14ac:dyDescent="0.3">
      <c r="A349" t="s">
        <v>25</v>
      </c>
      <c r="B349" s="7">
        <v>45178</v>
      </c>
      <c r="C349" t="s">
        <v>42</v>
      </c>
      <c r="D349">
        <v>32</v>
      </c>
      <c r="E349">
        <v>1</v>
      </c>
      <c r="F349">
        <v>1</v>
      </c>
      <c r="G349" t="s">
        <v>35</v>
      </c>
      <c r="H349">
        <v>1</v>
      </c>
      <c r="I349" s="8">
        <v>0.41666666666666669</v>
      </c>
      <c r="J349" s="8">
        <v>0.75902777777777775</v>
      </c>
      <c r="K349" s="9">
        <f t="shared" si="5"/>
        <v>8.216666666666665</v>
      </c>
      <c r="L349" t="s">
        <v>25</v>
      </c>
      <c r="M349" t="s">
        <v>163</v>
      </c>
      <c r="N349" t="s">
        <v>38</v>
      </c>
      <c r="O349" s="3">
        <v>0</v>
      </c>
      <c r="P349" s="4">
        <v>4</v>
      </c>
      <c r="Q349" s="5">
        <v>0</v>
      </c>
      <c r="R349" s="6">
        <v>0</v>
      </c>
      <c r="S349" s="3">
        <v>0</v>
      </c>
      <c r="T349" s="4">
        <v>0</v>
      </c>
      <c r="U349" s="5">
        <v>4</v>
      </c>
      <c r="V349" s="6">
        <v>0</v>
      </c>
    </row>
    <row r="350" spans="1:25" x14ac:dyDescent="0.3">
      <c r="A350" t="s">
        <v>25</v>
      </c>
      <c r="B350" s="7">
        <v>45178</v>
      </c>
      <c r="C350" t="s">
        <v>42</v>
      </c>
      <c r="D350">
        <v>33</v>
      </c>
      <c r="E350">
        <v>1</v>
      </c>
      <c r="F350">
        <v>1</v>
      </c>
      <c r="G350" t="s">
        <v>35</v>
      </c>
      <c r="H350">
        <v>5</v>
      </c>
      <c r="I350" s="8">
        <v>0.41666666666666669</v>
      </c>
      <c r="J350" s="8">
        <v>0.77083333333333337</v>
      </c>
      <c r="K350" s="9">
        <f t="shared" si="5"/>
        <v>42.5</v>
      </c>
      <c r="L350" t="s">
        <v>25</v>
      </c>
      <c r="M350" t="s">
        <v>29</v>
      </c>
      <c r="N350" t="s">
        <v>32</v>
      </c>
      <c r="O350" s="3">
        <v>0</v>
      </c>
      <c r="P350" s="4">
        <v>0</v>
      </c>
      <c r="Q350" s="5">
        <v>10</v>
      </c>
      <c r="R350" s="6">
        <v>0</v>
      </c>
      <c r="S350" s="3">
        <v>0</v>
      </c>
      <c r="T350" s="4">
        <v>0</v>
      </c>
      <c r="U350" s="5">
        <v>1</v>
      </c>
      <c r="V350" s="6">
        <v>0</v>
      </c>
      <c r="W350" t="s">
        <v>164</v>
      </c>
      <c r="X350" t="s">
        <v>165</v>
      </c>
    </row>
    <row r="351" spans="1:25" x14ac:dyDescent="0.3">
      <c r="A351" t="s">
        <v>25</v>
      </c>
      <c r="B351" s="7">
        <v>45178</v>
      </c>
      <c r="C351" t="s">
        <v>42</v>
      </c>
      <c r="D351">
        <v>34</v>
      </c>
      <c r="E351">
        <v>1</v>
      </c>
      <c r="F351">
        <v>1</v>
      </c>
      <c r="G351" t="s">
        <v>35</v>
      </c>
      <c r="H351">
        <v>3</v>
      </c>
      <c r="I351" s="8">
        <v>0.58333333333333337</v>
      </c>
      <c r="J351" s="8">
        <v>0.79791666666666661</v>
      </c>
      <c r="K351" s="9">
        <f t="shared" si="5"/>
        <v>15.449999999999992</v>
      </c>
      <c r="L351" t="s">
        <v>25</v>
      </c>
      <c r="M351" t="s">
        <v>29</v>
      </c>
      <c r="N351" t="s">
        <v>32</v>
      </c>
      <c r="O351" s="3">
        <v>0</v>
      </c>
      <c r="P351" s="4">
        <v>0</v>
      </c>
      <c r="Q351" s="5">
        <v>0</v>
      </c>
      <c r="R351" s="6">
        <v>0</v>
      </c>
      <c r="S351" s="3">
        <v>0</v>
      </c>
      <c r="T351" s="4">
        <v>0</v>
      </c>
      <c r="U351" s="5">
        <v>0</v>
      </c>
      <c r="V351" s="6">
        <v>0</v>
      </c>
    </row>
    <row r="352" spans="1:25" x14ac:dyDescent="0.3">
      <c r="A352" t="s">
        <v>25</v>
      </c>
      <c r="B352" s="7">
        <v>45178</v>
      </c>
      <c r="C352" t="s">
        <v>42</v>
      </c>
      <c r="D352">
        <v>35</v>
      </c>
      <c r="E352">
        <v>1</v>
      </c>
      <c r="F352">
        <v>1</v>
      </c>
      <c r="G352" t="s">
        <v>35</v>
      </c>
      <c r="H352">
        <v>2</v>
      </c>
      <c r="I352" s="8">
        <v>0.60416666666666663</v>
      </c>
      <c r="J352" s="8">
        <v>0.4236111111111111</v>
      </c>
      <c r="K352" s="9">
        <f t="shared" si="5"/>
        <v>-8.6666666666666643</v>
      </c>
      <c r="L352" t="s">
        <v>25</v>
      </c>
      <c r="M352" t="s">
        <v>29</v>
      </c>
      <c r="N352" t="s">
        <v>32</v>
      </c>
      <c r="O352" s="3">
        <v>0</v>
      </c>
      <c r="P352" s="4">
        <v>0</v>
      </c>
      <c r="Q352" s="5">
        <v>2</v>
      </c>
      <c r="R352" s="6">
        <v>0</v>
      </c>
      <c r="S352" s="3">
        <v>0</v>
      </c>
      <c r="T352" s="4">
        <v>0</v>
      </c>
      <c r="U352" s="5">
        <v>0</v>
      </c>
      <c r="V352" s="6">
        <v>0</v>
      </c>
    </row>
    <row r="353" spans="1:25" x14ac:dyDescent="0.3">
      <c r="A353" t="s">
        <v>25</v>
      </c>
      <c r="B353" s="7">
        <v>45182</v>
      </c>
      <c r="C353" t="s">
        <v>26</v>
      </c>
      <c r="D353">
        <v>1</v>
      </c>
      <c r="E353">
        <v>2</v>
      </c>
      <c r="F353">
        <v>2</v>
      </c>
      <c r="G353" t="s">
        <v>27</v>
      </c>
      <c r="H353">
        <v>2</v>
      </c>
      <c r="I353" s="8">
        <v>0.35416666666666669</v>
      </c>
      <c r="J353" s="8">
        <v>0.37222222222222223</v>
      </c>
      <c r="K353" s="9">
        <f t="shared" si="5"/>
        <v>0.86666666666666625</v>
      </c>
      <c r="L353" t="s">
        <v>28</v>
      </c>
      <c r="M353" t="s">
        <v>47</v>
      </c>
      <c r="N353" t="s">
        <v>151</v>
      </c>
      <c r="O353" s="3">
        <v>0</v>
      </c>
      <c r="P353" s="4">
        <v>0</v>
      </c>
      <c r="Q353" s="5">
        <v>0</v>
      </c>
      <c r="R353" s="6">
        <v>0</v>
      </c>
      <c r="S353" s="3">
        <v>0</v>
      </c>
      <c r="T353" s="4">
        <v>0</v>
      </c>
      <c r="U353" s="5">
        <v>0</v>
      </c>
      <c r="V353" s="6">
        <v>0</v>
      </c>
    </row>
    <row r="354" spans="1:25" x14ac:dyDescent="0.3">
      <c r="A354" t="s">
        <v>25</v>
      </c>
      <c r="B354" s="7">
        <v>45182</v>
      </c>
      <c r="C354" t="s">
        <v>26</v>
      </c>
      <c r="D354">
        <v>2</v>
      </c>
      <c r="E354">
        <v>2</v>
      </c>
      <c r="F354">
        <v>3</v>
      </c>
      <c r="G354" t="s">
        <v>27</v>
      </c>
      <c r="H354">
        <v>2</v>
      </c>
      <c r="I354" s="8">
        <v>0.22916666666666666</v>
      </c>
      <c r="J354" s="8">
        <v>0.3979166666666667</v>
      </c>
      <c r="K354" s="9">
        <f t="shared" si="5"/>
        <v>8.1000000000000014</v>
      </c>
      <c r="L354" t="s">
        <v>28</v>
      </c>
      <c r="M354" t="s">
        <v>56</v>
      </c>
      <c r="N354" t="s">
        <v>55</v>
      </c>
      <c r="O354" s="3">
        <v>0</v>
      </c>
      <c r="P354" s="4">
        <v>5</v>
      </c>
      <c r="Q354" s="5">
        <v>0</v>
      </c>
      <c r="R354" s="6">
        <v>0</v>
      </c>
      <c r="S354" s="3">
        <v>0</v>
      </c>
      <c r="T354" s="4">
        <v>0</v>
      </c>
      <c r="U354" s="5">
        <v>0</v>
      </c>
      <c r="V354" s="6">
        <v>0</v>
      </c>
      <c r="Y354" t="s">
        <v>166</v>
      </c>
    </row>
    <row r="355" spans="1:25" x14ac:dyDescent="0.3">
      <c r="A355" t="s">
        <v>25</v>
      </c>
      <c r="B355" s="7">
        <v>45182</v>
      </c>
      <c r="C355" t="s">
        <v>26</v>
      </c>
      <c r="D355">
        <v>3</v>
      </c>
      <c r="E355">
        <v>2</v>
      </c>
      <c r="F355">
        <v>4</v>
      </c>
      <c r="G355" t="s">
        <v>27</v>
      </c>
      <c r="H355">
        <v>1</v>
      </c>
      <c r="I355" s="8">
        <v>0.33333333333333331</v>
      </c>
      <c r="J355" s="8">
        <v>0.42708333333333331</v>
      </c>
      <c r="K355" s="9">
        <f t="shared" si="5"/>
        <v>2.25</v>
      </c>
      <c r="L355" t="s">
        <v>25</v>
      </c>
      <c r="M355" t="s">
        <v>56</v>
      </c>
      <c r="N355" t="s">
        <v>38</v>
      </c>
      <c r="O355" s="3">
        <v>0</v>
      </c>
      <c r="P355" s="4">
        <v>3</v>
      </c>
      <c r="Q355" s="5">
        <v>0</v>
      </c>
      <c r="R355" s="6">
        <v>0</v>
      </c>
      <c r="S355" s="3">
        <v>0</v>
      </c>
      <c r="T355" s="4">
        <v>0</v>
      </c>
      <c r="U355" s="5">
        <v>0</v>
      </c>
      <c r="V355" s="6">
        <v>0</v>
      </c>
    </row>
    <row r="356" spans="1:25" x14ac:dyDescent="0.3">
      <c r="A356" t="s">
        <v>25</v>
      </c>
      <c r="B356" s="7">
        <v>45182</v>
      </c>
      <c r="C356" t="s">
        <v>26</v>
      </c>
      <c r="D356">
        <v>4</v>
      </c>
      <c r="E356">
        <v>2</v>
      </c>
      <c r="F356">
        <v>4</v>
      </c>
      <c r="G356" t="s">
        <v>27</v>
      </c>
      <c r="H356">
        <v>1</v>
      </c>
      <c r="I356" s="8">
        <v>0.29166666666666669</v>
      </c>
      <c r="J356" s="8">
        <v>0.4284722222222222</v>
      </c>
      <c r="K356" s="9">
        <f t="shared" si="5"/>
        <v>3.2833333333333323</v>
      </c>
      <c r="L356" t="s">
        <v>25</v>
      </c>
      <c r="M356" t="s">
        <v>153</v>
      </c>
      <c r="N356" t="s">
        <v>27</v>
      </c>
      <c r="O356" s="3">
        <v>0</v>
      </c>
      <c r="P356" s="4">
        <v>0</v>
      </c>
      <c r="Q356" s="5">
        <v>0</v>
      </c>
      <c r="R356" s="6">
        <v>0</v>
      </c>
      <c r="S356" s="3">
        <v>0</v>
      </c>
      <c r="T356" s="4">
        <v>0</v>
      </c>
      <c r="U356" s="5">
        <v>0</v>
      </c>
      <c r="V356" s="6">
        <v>0</v>
      </c>
    </row>
    <row r="357" spans="1:25" x14ac:dyDescent="0.3">
      <c r="A357" t="s">
        <v>25</v>
      </c>
      <c r="B357" s="7">
        <v>45182</v>
      </c>
      <c r="C357" t="s">
        <v>26</v>
      </c>
      <c r="D357">
        <v>5</v>
      </c>
      <c r="E357">
        <v>2</v>
      </c>
      <c r="F357">
        <v>4</v>
      </c>
      <c r="G357" t="s">
        <v>27</v>
      </c>
      <c r="H357">
        <v>1</v>
      </c>
      <c r="I357" s="8">
        <v>0.40625</v>
      </c>
      <c r="J357" s="8">
        <v>0.4375</v>
      </c>
      <c r="K357" s="9">
        <f t="shared" si="5"/>
        <v>0.75</v>
      </c>
      <c r="L357" t="s">
        <v>28</v>
      </c>
      <c r="M357" t="s">
        <v>82</v>
      </c>
      <c r="N357" t="s">
        <v>151</v>
      </c>
      <c r="O357" s="3">
        <v>0</v>
      </c>
      <c r="P357" s="4">
        <v>0</v>
      </c>
      <c r="Q357" s="5">
        <v>0</v>
      </c>
      <c r="R357" s="6">
        <v>0</v>
      </c>
      <c r="S357" s="3">
        <v>0</v>
      </c>
      <c r="T357" s="4">
        <v>0</v>
      </c>
      <c r="U357" s="5">
        <v>2</v>
      </c>
      <c r="V357" s="6">
        <v>0</v>
      </c>
    </row>
    <row r="358" spans="1:25" x14ac:dyDescent="0.3">
      <c r="A358" t="s">
        <v>25</v>
      </c>
      <c r="B358" s="7">
        <v>45182</v>
      </c>
      <c r="C358" t="s">
        <v>26</v>
      </c>
      <c r="D358">
        <v>6</v>
      </c>
      <c r="E358">
        <v>2</v>
      </c>
      <c r="F358">
        <v>4</v>
      </c>
      <c r="G358" t="s">
        <v>27</v>
      </c>
      <c r="H358">
        <v>2</v>
      </c>
      <c r="I358" s="8">
        <v>0.35416666666666669</v>
      </c>
      <c r="J358" s="8">
        <v>0.44444444444444442</v>
      </c>
      <c r="K358" s="9">
        <f t="shared" si="5"/>
        <v>4.3333333333333313</v>
      </c>
      <c r="L358" t="s">
        <v>25</v>
      </c>
      <c r="M358" t="s">
        <v>167</v>
      </c>
      <c r="N358" t="s">
        <v>50</v>
      </c>
      <c r="O358" s="3">
        <v>0</v>
      </c>
      <c r="P358" s="4">
        <v>0</v>
      </c>
      <c r="Q358" s="5">
        <v>0</v>
      </c>
      <c r="R358" s="6">
        <v>0</v>
      </c>
      <c r="S358" s="3">
        <v>0</v>
      </c>
      <c r="T358" s="4">
        <v>0</v>
      </c>
      <c r="U358" s="5">
        <v>1</v>
      </c>
      <c r="V358" s="6">
        <v>0</v>
      </c>
    </row>
    <row r="359" spans="1:25" x14ac:dyDescent="0.3">
      <c r="A359" t="s">
        <v>25</v>
      </c>
      <c r="B359" s="7">
        <v>45182</v>
      </c>
      <c r="C359" t="s">
        <v>26</v>
      </c>
      <c r="D359">
        <v>7</v>
      </c>
      <c r="E359">
        <v>2</v>
      </c>
      <c r="F359">
        <v>4</v>
      </c>
      <c r="G359" t="s">
        <v>27</v>
      </c>
      <c r="H359">
        <v>1</v>
      </c>
      <c r="I359" s="8">
        <v>0.3611111111111111</v>
      </c>
      <c r="J359" s="8">
        <v>0.44444444444444442</v>
      </c>
      <c r="K359" s="9">
        <f t="shared" si="5"/>
        <v>1.9999999999999996</v>
      </c>
      <c r="L359" t="s">
        <v>25</v>
      </c>
      <c r="M359" t="s">
        <v>29</v>
      </c>
      <c r="N359" t="s">
        <v>27</v>
      </c>
      <c r="O359" s="3">
        <v>0</v>
      </c>
      <c r="P359" s="4">
        <v>0</v>
      </c>
      <c r="Q359" s="5">
        <v>0</v>
      </c>
      <c r="R359" s="6">
        <v>0</v>
      </c>
      <c r="S359" s="3">
        <v>0</v>
      </c>
      <c r="T359" s="4">
        <v>0</v>
      </c>
      <c r="U359" s="5">
        <v>0</v>
      </c>
      <c r="V359" s="6">
        <v>0</v>
      </c>
    </row>
    <row r="360" spans="1:25" x14ac:dyDescent="0.3">
      <c r="A360" t="s">
        <v>25</v>
      </c>
      <c r="B360" s="7">
        <v>45182</v>
      </c>
      <c r="C360" t="s">
        <v>26</v>
      </c>
      <c r="D360">
        <v>8</v>
      </c>
      <c r="E360">
        <v>2</v>
      </c>
      <c r="F360">
        <v>5</v>
      </c>
      <c r="G360" t="s">
        <v>27</v>
      </c>
      <c r="H360">
        <v>2</v>
      </c>
      <c r="I360" s="8">
        <v>0.41666666666666669</v>
      </c>
      <c r="J360" s="8">
        <v>0.45833333333333331</v>
      </c>
      <c r="K360" s="9">
        <f t="shared" si="5"/>
        <v>1.9999999999999982</v>
      </c>
      <c r="L360" t="s">
        <v>28</v>
      </c>
      <c r="M360" t="s">
        <v>51</v>
      </c>
      <c r="N360" t="s">
        <v>38</v>
      </c>
      <c r="O360" s="3">
        <v>0</v>
      </c>
      <c r="P360" s="4">
        <v>0</v>
      </c>
      <c r="Q360" s="5">
        <v>0</v>
      </c>
      <c r="R360" s="6">
        <v>0</v>
      </c>
      <c r="S360" s="3">
        <v>0</v>
      </c>
      <c r="T360" s="4">
        <v>0</v>
      </c>
      <c r="U360" s="5">
        <v>1</v>
      </c>
      <c r="V360" s="6">
        <v>0</v>
      </c>
    </row>
    <row r="361" spans="1:25" x14ac:dyDescent="0.3">
      <c r="A361" t="s">
        <v>25</v>
      </c>
      <c r="B361" s="7">
        <v>45182</v>
      </c>
      <c r="C361" t="s">
        <v>42</v>
      </c>
      <c r="D361">
        <v>9</v>
      </c>
      <c r="E361">
        <v>2</v>
      </c>
      <c r="F361">
        <v>2</v>
      </c>
      <c r="G361" t="s">
        <v>27</v>
      </c>
      <c r="H361">
        <v>1</v>
      </c>
      <c r="I361" s="8">
        <v>0.65972222222222221</v>
      </c>
      <c r="J361" s="8">
        <v>0.67708333333333337</v>
      </c>
      <c r="K361" s="9">
        <f t="shared" si="5"/>
        <v>0.41666666666666785</v>
      </c>
      <c r="L361" t="s">
        <v>28</v>
      </c>
      <c r="M361" t="s">
        <v>29</v>
      </c>
      <c r="N361" t="s">
        <v>27</v>
      </c>
      <c r="O361" s="3">
        <v>0</v>
      </c>
      <c r="P361" s="4">
        <v>0</v>
      </c>
      <c r="Q361" s="5">
        <v>0</v>
      </c>
      <c r="R361" s="6">
        <v>0</v>
      </c>
      <c r="S361" s="3">
        <v>0</v>
      </c>
      <c r="T361" s="4">
        <v>0</v>
      </c>
      <c r="U361" s="5">
        <v>0</v>
      </c>
      <c r="V361" s="6">
        <v>0</v>
      </c>
    </row>
    <row r="362" spans="1:25" x14ac:dyDescent="0.3">
      <c r="A362" t="s">
        <v>25</v>
      </c>
      <c r="B362" s="7">
        <v>45182</v>
      </c>
      <c r="C362" t="s">
        <v>42</v>
      </c>
      <c r="D362">
        <v>10</v>
      </c>
      <c r="E362">
        <v>2</v>
      </c>
      <c r="F362">
        <v>2</v>
      </c>
      <c r="G362" t="s">
        <v>27</v>
      </c>
      <c r="H362">
        <v>1</v>
      </c>
      <c r="I362" s="8">
        <v>0.69791666666666663</v>
      </c>
      <c r="J362" s="8">
        <v>0.72916666666666663</v>
      </c>
      <c r="K362" s="9">
        <f t="shared" si="5"/>
        <v>0.75</v>
      </c>
      <c r="L362" t="s">
        <v>28</v>
      </c>
      <c r="M362" t="s">
        <v>112</v>
      </c>
      <c r="N362" t="s">
        <v>27</v>
      </c>
      <c r="O362" s="3">
        <v>0</v>
      </c>
      <c r="P362" s="4">
        <v>0</v>
      </c>
      <c r="Q362" s="5">
        <v>0</v>
      </c>
      <c r="R362" s="6">
        <v>0</v>
      </c>
      <c r="S362" s="3">
        <v>0</v>
      </c>
      <c r="T362" s="4">
        <v>0</v>
      </c>
      <c r="U362" s="5">
        <v>0</v>
      </c>
      <c r="V362" s="6">
        <v>0</v>
      </c>
      <c r="Y362" t="s">
        <v>155</v>
      </c>
    </row>
    <row r="363" spans="1:25" x14ac:dyDescent="0.3">
      <c r="A363" t="s">
        <v>25</v>
      </c>
      <c r="B363" s="7">
        <v>45182</v>
      </c>
      <c r="C363" t="s">
        <v>42</v>
      </c>
      <c r="D363">
        <v>11</v>
      </c>
      <c r="E363">
        <v>2</v>
      </c>
      <c r="F363">
        <v>2</v>
      </c>
      <c r="G363" t="s">
        <v>27</v>
      </c>
      <c r="H363">
        <v>1</v>
      </c>
      <c r="I363" s="8">
        <v>0.70833333333333337</v>
      </c>
      <c r="J363" s="8">
        <v>0.72916666666666663</v>
      </c>
      <c r="K363" s="9">
        <f t="shared" si="5"/>
        <v>0.49999999999999822</v>
      </c>
      <c r="L363" t="s">
        <v>25</v>
      </c>
      <c r="M363" t="s">
        <v>56</v>
      </c>
      <c r="N363" t="s">
        <v>146</v>
      </c>
      <c r="O363" s="3">
        <v>0</v>
      </c>
      <c r="P363" s="4">
        <v>0</v>
      </c>
      <c r="Q363" s="5">
        <v>0</v>
      </c>
      <c r="R363" s="6">
        <v>0</v>
      </c>
      <c r="S363" s="3">
        <v>0</v>
      </c>
      <c r="T363" s="4">
        <v>0</v>
      </c>
      <c r="U363" s="5">
        <v>0</v>
      </c>
      <c r="V363" s="6">
        <v>0</v>
      </c>
      <c r="Y363" t="s">
        <v>155</v>
      </c>
    </row>
    <row r="364" spans="1:25" x14ac:dyDescent="0.3">
      <c r="A364" t="s">
        <v>25</v>
      </c>
      <c r="B364" s="7">
        <v>45182</v>
      </c>
      <c r="C364" t="s">
        <v>42</v>
      </c>
      <c r="D364">
        <v>12</v>
      </c>
      <c r="E364">
        <v>2</v>
      </c>
      <c r="F364">
        <v>3</v>
      </c>
      <c r="G364" t="s">
        <v>27</v>
      </c>
      <c r="H364">
        <v>2</v>
      </c>
      <c r="I364" s="8">
        <v>0.72916666666666663</v>
      </c>
      <c r="J364" s="8">
        <v>0.75694444444444453</v>
      </c>
      <c r="K364" s="9">
        <f t="shared" si="5"/>
        <v>1.3333333333333393</v>
      </c>
      <c r="L364" t="s">
        <v>28</v>
      </c>
      <c r="M364" t="s">
        <v>56</v>
      </c>
      <c r="N364" t="s">
        <v>55</v>
      </c>
      <c r="O364" s="3">
        <v>0</v>
      </c>
      <c r="P364" s="4">
        <v>0</v>
      </c>
      <c r="Q364" s="5">
        <v>0</v>
      </c>
      <c r="R364" s="6">
        <v>0</v>
      </c>
      <c r="S364" s="3">
        <v>0</v>
      </c>
      <c r="T364" s="4">
        <v>0</v>
      </c>
      <c r="U364" s="5">
        <v>0</v>
      </c>
      <c r="V364" s="6">
        <v>0</v>
      </c>
      <c r="Y364" t="s">
        <v>83</v>
      </c>
    </row>
    <row r="365" spans="1:25" x14ac:dyDescent="0.3">
      <c r="A365" t="s">
        <v>25</v>
      </c>
      <c r="B365" s="7">
        <v>45182</v>
      </c>
      <c r="C365" t="s">
        <v>42</v>
      </c>
      <c r="D365">
        <v>13</v>
      </c>
      <c r="E365">
        <v>2</v>
      </c>
      <c r="F365">
        <v>4</v>
      </c>
      <c r="G365" t="s">
        <v>27</v>
      </c>
      <c r="H365">
        <v>1</v>
      </c>
      <c r="I365" s="8">
        <v>0.74305555555555547</v>
      </c>
      <c r="J365" s="8">
        <v>0.75694444444444453</v>
      </c>
      <c r="K365" s="9">
        <f t="shared" si="5"/>
        <v>0.33333333333333748</v>
      </c>
      <c r="L365" t="s">
        <v>28</v>
      </c>
      <c r="M365" t="s">
        <v>167</v>
      </c>
      <c r="N365" t="s">
        <v>32</v>
      </c>
      <c r="O365" s="3">
        <v>0</v>
      </c>
      <c r="P365" s="4">
        <v>0</v>
      </c>
      <c r="Q365" s="5">
        <v>0</v>
      </c>
      <c r="R365" s="6">
        <v>0</v>
      </c>
      <c r="S365" s="3">
        <v>0</v>
      </c>
      <c r="T365" s="4">
        <v>0</v>
      </c>
      <c r="U365" s="5">
        <v>1</v>
      </c>
      <c r="V365" s="6">
        <v>0</v>
      </c>
    </row>
    <row r="366" spans="1:25" x14ac:dyDescent="0.3">
      <c r="A366" t="s">
        <v>25</v>
      </c>
      <c r="B366" s="7">
        <v>45182</v>
      </c>
      <c r="C366" t="s">
        <v>42</v>
      </c>
      <c r="D366">
        <v>14</v>
      </c>
      <c r="E366">
        <v>2</v>
      </c>
      <c r="F366">
        <v>4</v>
      </c>
      <c r="G366" t="s">
        <v>27</v>
      </c>
      <c r="H366">
        <v>1</v>
      </c>
      <c r="I366" s="8">
        <v>0.6875</v>
      </c>
      <c r="J366" s="8">
        <v>0.77083333333333337</v>
      </c>
      <c r="K366" s="9">
        <f t="shared" si="5"/>
        <v>2.0000000000000009</v>
      </c>
      <c r="L366" t="s">
        <v>25</v>
      </c>
      <c r="M366" t="s">
        <v>99</v>
      </c>
      <c r="N366" t="s">
        <v>55</v>
      </c>
      <c r="O366" s="3">
        <v>0</v>
      </c>
      <c r="P366" s="4">
        <v>0</v>
      </c>
      <c r="Q366" s="5">
        <v>0</v>
      </c>
      <c r="R366" s="6">
        <v>0</v>
      </c>
      <c r="S366" s="3">
        <v>0</v>
      </c>
      <c r="T366" s="4">
        <v>0</v>
      </c>
      <c r="U366" s="5">
        <v>0</v>
      </c>
      <c r="V366" s="6">
        <v>0</v>
      </c>
    </row>
    <row r="367" spans="1:25" x14ac:dyDescent="0.3">
      <c r="A367" t="s">
        <v>25</v>
      </c>
      <c r="B367" s="7">
        <v>45182</v>
      </c>
      <c r="C367" t="s">
        <v>42</v>
      </c>
      <c r="D367">
        <v>15</v>
      </c>
      <c r="E367">
        <v>2</v>
      </c>
      <c r="F367">
        <v>4</v>
      </c>
      <c r="G367" t="s">
        <v>27</v>
      </c>
      <c r="H367">
        <v>2</v>
      </c>
      <c r="I367" s="8">
        <v>0.66666666666666663</v>
      </c>
      <c r="J367" s="8">
        <v>0.77083333333333337</v>
      </c>
      <c r="K367" s="9">
        <f t="shared" si="5"/>
        <v>5.0000000000000036</v>
      </c>
      <c r="L367" t="s">
        <v>28</v>
      </c>
      <c r="M367" t="s">
        <v>29</v>
      </c>
      <c r="N367" t="s">
        <v>27</v>
      </c>
      <c r="O367" s="3">
        <v>0</v>
      </c>
      <c r="P367" s="4">
        <v>0</v>
      </c>
      <c r="Q367" s="5">
        <v>0</v>
      </c>
      <c r="R367" s="6">
        <v>0</v>
      </c>
      <c r="S367" s="3">
        <v>0</v>
      </c>
      <c r="T367" s="4">
        <v>0</v>
      </c>
      <c r="U367" s="5">
        <v>0</v>
      </c>
      <c r="V367" s="6">
        <v>0</v>
      </c>
    </row>
    <row r="368" spans="1:25" x14ac:dyDescent="0.3">
      <c r="A368" t="s">
        <v>25</v>
      </c>
      <c r="B368" s="7">
        <v>45182</v>
      </c>
      <c r="C368" t="s">
        <v>42</v>
      </c>
      <c r="D368">
        <v>16</v>
      </c>
      <c r="E368">
        <v>2</v>
      </c>
      <c r="F368">
        <v>4</v>
      </c>
      <c r="G368" t="s">
        <v>27</v>
      </c>
      <c r="H368">
        <v>1</v>
      </c>
      <c r="I368" s="8">
        <v>0.75</v>
      </c>
      <c r="J368" s="8">
        <v>0.77083333333333337</v>
      </c>
      <c r="K368" s="9">
        <f t="shared" si="5"/>
        <v>0.50000000000000089</v>
      </c>
      <c r="L368" t="s">
        <v>25</v>
      </c>
      <c r="M368" t="s">
        <v>156</v>
      </c>
      <c r="N368" t="s">
        <v>38</v>
      </c>
      <c r="O368" s="3">
        <v>0</v>
      </c>
      <c r="P368" s="4">
        <v>0</v>
      </c>
      <c r="Q368" s="5">
        <v>0</v>
      </c>
      <c r="R368" s="6">
        <v>0</v>
      </c>
      <c r="S368" s="3">
        <v>0</v>
      </c>
      <c r="T368" s="4">
        <v>0</v>
      </c>
      <c r="U368" s="5">
        <v>0</v>
      </c>
      <c r="V368" s="6">
        <v>0</v>
      </c>
    </row>
    <row r="369" spans="1:25" x14ac:dyDescent="0.3">
      <c r="A369" t="s">
        <v>25</v>
      </c>
      <c r="B369" s="7">
        <v>45182</v>
      </c>
      <c r="C369" t="s">
        <v>42</v>
      </c>
      <c r="D369">
        <v>17</v>
      </c>
      <c r="E369">
        <v>2</v>
      </c>
      <c r="F369">
        <v>4</v>
      </c>
      <c r="G369" t="s">
        <v>27</v>
      </c>
      <c r="H369">
        <v>1</v>
      </c>
      <c r="I369" s="8">
        <v>0.72916666666666663</v>
      </c>
      <c r="J369" s="8">
        <v>0.79166666666666663</v>
      </c>
      <c r="K369" s="9">
        <f t="shared" si="5"/>
        <v>1.5</v>
      </c>
      <c r="L369" t="s">
        <v>25</v>
      </c>
      <c r="M369" t="s">
        <v>99</v>
      </c>
      <c r="N369" t="s">
        <v>32</v>
      </c>
      <c r="O369" s="3">
        <v>0</v>
      </c>
      <c r="P369" s="4">
        <v>0</v>
      </c>
      <c r="Q369" s="5">
        <v>0</v>
      </c>
      <c r="R369" s="6">
        <v>0</v>
      </c>
      <c r="S369" s="3">
        <v>0</v>
      </c>
      <c r="T369" s="4">
        <v>0</v>
      </c>
      <c r="U369" s="5">
        <v>0</v>
      </c>
      <c r="V369" s="6">
        <v>0</v>
      </c>
    </row>
    <row r="370" spans="1:25" x14ac:dyDescent="0.3">
      <c r="A370" t="s">
        <v>25</v>
      </c>
      <c r="B370" s="7">
        <v>45182</v>
      </c>
      <c r="C370" t="s">
        <v>42</v>
      </c>
      <c r="D370">
        <v>18</v>
      </c>
      <c r="E370">
        <v>2</v>
      </c>
      <c r="F370">
        <v>2</v>
      </c>
      <c r="G370" t="s">
        <v>27</v>
      </c>
      <c r="H370">
        <v>1</v>
      </c>
      <c r="I370" s="8">
        <v>0.70833333333333337</v>
      </c>
      <c r="J370" s="8">
        <v>0.8125</v>
      </c>
      <c r="K370" s="9">
        <f t="shared" si="5"/>
        <v>2.4999999999999991</v>
      </c>
      <c r="L370" t="s">
        <v>25</v>
      </c>
      <c r="M370" t="s">
        <v>56</v>
      </c>
      <c r="N370" t="s">
        <v>38</v>
      </c>
      <c r="O370" s="3">
        <v>0</v>
      </c>
      <c r="P370" s="4">
        <v>1</v>
      </c>
      <c r="Q370" s="5">
        <v>0</v>
      </c>
      <c r="R370" s="6">
        <v>0</v>
      </c>
      <c r="S370" s="3">
        <v>0</v>
      </c>
      <c r="T370" s="4">
        <v>0</v>
      </c>
      <c r="U370" s="5">
        <v>0</v>
      </c>
      <c r="V370" s="6">
        <v>0</v>
      </c>
      <c r="Y370" t="s">
        <v>168</v>
      </c>
    </row>
    <row r="371" spans="1:25" x14ac:dyDescent="0.3">
      <c r="A371" t="s">
        <v>25</v>
      </c>
      <c r="B371" s="7">
        <v>45182</v>
      </c>
      <c r="C371" t="s">
        <v>42</v>
      </c>
      <c r="D371">
        <v>19</v>
      </c>
      <c r="E371">
        <v>2</v>
      </c>
      <c r="F371">
        <v>2</v>
      </c>
      <c r="G371" t="s">
        <v>27</v>
      </c>
      <c r="H371">
        <v>1</v>
      </c>
      <c r="I371" s="8">
        <v>0.80208333333333337</v>
      </c>
      <c r="J371" s="8">
        <v>0.81944444444444453</v>
      </c>
      <c r="K371" s="9">
        <f t="shared" si="5"/>
        <v>0.41666666666666785</v>
      </c>
      <c r="L371" t="s">
        <v>25</v>
      </c>
      <c r="M371" t="s">
        <v>29</v>
      </c>
      <c r="N371" t="s">
        <v>27</v>
      </c>
      <c r="O371" s="3">
        <v>0</v>
      </c>
      <c r="P371" s="4">
        <v>0</v>
      </c>
      <c r="Q371" s="5">
        <v>0</v>
      </c>
      <c r="R371" s="6">
        <v>0</v>
      </c>
      <c r="S371" s="3">
        <v>0</v>
      </c>
      <c r="T371" s="4">
        <v>0</v>
      </c>
      <c r="U371" s="5">
        <v>0</v>
      </c>
      <c r="V371" s="6">
        <v>0</v>
      </c>
    </row>
    <row r="372" spans="1:25" x14ac:dyDescent="0.3">
      <c r="A372" t="s">
        <v>25</v>
      </c>
      <c r="B372" s="7">
        <v>45182</v>
      </c>
      <c r="C372" t="s">
        <v>42</v>
      </c>
      <c r="D372">
        <v>20</v>
      </c>
      <c r="E372">
        <v>2</v>
      </c>
      <c r="F372">
        <v>2</v>
      </c>
      <c r="G372" t="s">
        <v>27</v>
      </c>
      <c r="H372">
        <v>1</v>
      </c>
      <c r="I372" s="8">
        <v>0.77083333333333337</v>
      </c>
      <c r="J372" s="8">
        <v>0.82291666666666663</v>
      </c>
      <c r="K372" s="9">
        <f t="shared" si="5"/>
        <v>1.2499999999999982</v>
      </c>
      <c r="L372" t="s">
        <v>25</v>
      </c>
      <c r="M372" t="s">
        <v>56</v>
      </c>
      <c r="N372" t="s">
        <v>55</v>
      </c>
      <c r="O372" s="3">
        <v>0</v>
      </c>
      <c r="P372" s="4">
        <v>0</v>
      </c>
      <c r="Q372" s="5">
        <v>0</v>
      </c>
      <c r="R372" s="6">
        <v>0</v>
      </c>
      <c r="S372" s="3">
        <v>0</v>
      </c>
      <c r="T372" s="4">
        <v>0</v>
      </c>
      <c r="U372" s="5">
        <v>0</v>
      </c>
      <c r="V372" s="6">
        <v>0</v>
      </c>
    </row>
    <row r="373" spans="1:25" x14ac:dyDescent="0.3">
      <c r="A373" t="s">
        <v>25</v>
      </c>
      <c r="B373" s="7">
        <v>45182</v>
      </c>
      <c r="C373" t="s">
        <v>42</v>
      </c>
      <c r="D373">
        <v>21</v>
      </c>
      <c r="E373">
        <v>2</v>
      </c>
      <c r="F373">
        <v>2</v>
      </c>
      <c r="G373" t="s">
        <v>27</v>
      </c>
      <c r="H373">
        <v>1</v>
      </c>
      <c r="I373" s="8">
        <v>0.75</v>
      </c>
      <c r="J373" s="8">
        <v>0.82777777777777783</v>
      </c>
      <c r="K373" s="9">
        <f t="shared" si="5"/>
        <v>1.866666666666668</v>
      </c>
      <c r="L373" t="s">
        <v>25</v>
      </c>
      <c r="M373" t="s">
        <v>56</v>
      </c>
      <c r="N373" t="s">
        <v>55</v>
      </c>
      <c r="O373" s="3">
        <v>0</v>
      </c>
      <c r="P373" s="4">
        <v>0</v>
      </c>
      <c r="Q373" s="5">
        <v>0</v>
      </c>
      <c r="R373" s="6">
        <v>0</v>
      </c>
      <c r="S373" s="3">
        <v>0</v>
      </c>
      <c r="T373" s="4">
        <v>0</v>
      </c>
      <c r="U373" s="5">
        <v>0</v>
      </c>
      <c r="V373" s="6">
        <v>0</v>
      </c>
    </row>
    <row r="374" spans="1:25" x14ac:dyDescent="0.3">
      <c r="A374" t="s">
        <v>25</v>
      </c>
      <c r="B374" s="7">
        <v>45182</v>
      </c>
      <c r="C374" t="s">
        <v>42</v>
      </c>
      <c r="D374">
        <v>22</v>
      </c>
      <c r="E374">
        <v>2</v>
      </c>
      <c r="F374">
        <v>2</v>
      </c>
      <c r="G374" t="s">
        <v>27</v>
      </c>
      <c r="H374">
        <v>1</v>
      </c>
      <c r="I374" s="8">
        <v>0.79166666666666663</v>
      </c>
      <c r="J374" s="8">
        <v>0.82777777777777783</v>
      </c>
      <c r="K374" s="9">
        <f t="shared" si="5"/>
        <v>0.86666666666666892</v>
      </c>
      <c r="L374" t="s">
        <v>25</v>
      </c>
      <c r="M374" t="s">
        <v>99</v>
      </c>
      <c r="N374" t="s">
        <v>169</v>
      </c>
      <c r="O374" s="3">
        <v>0</v>
      </c>
      <c r="P374" s="4">
        <v>0</v>
      </c>
      <c r="Q374" s="5">
        <v>0</v>
      </c>
      <c r="R374" s="6">
        <v>0</v>
      </c>
      <c r="S374" s="3">
        <v>0</v>
      </c>
      <c r="T374" s="4">
        <v>0</v>
      </c>
      <c r="U374" s="5">
        <v>0</v>
      </c>
      <c r="V374" s="6">
        <v>0</v>
      </c>
    </row>
    <row r="375" spans="1:25" x14ac:dyDescent="0.3">
      <c r="A375" t="s">
        <v>25</v>
      </c>
      <c r="B375" s="7">
        <v>45183</v>
      </c>
      <c r="C375" t="s">
        <v>26</v>
      </c>
      <c r="D375">
        <v>1</v>
      </c>
      <c r="E375">
        <v>2</v>
      </c>
      <c r="F375">
        <v>5</v>
      </c>
      <c r="G375" t="s">
        <v>27</v>
      </c>
      <c r="H375">
        <v>1</v>
      </c>
      <c r="I375" s="8">
        <v>0.25</v>
      </c>
      <c r="J375" s="8">
        <v>0.30208333333333331</v>
      </c>
      <c r="K375" s="9">
        <f t="shared" si="5"/>
        <v>1.2499999999999996</v>
      </c>
      <c r="L375" t="s">
        <v>25</v>
      </c>
      <c r="M375" t="s">
        <v>56</v>
      </c>
      <c r="N375" t="s">
        <v>55</v>
      </c>
      <c r="O375" s="3">
        <v>0</v>
      </c>
      <c r="P375" s="4">
        <v>0</v>
      </c>
      <c r="Q375" s="5">
        <v>0</v>
      </c>
      <c r="R375" s="6">
        <v>0</v>
      </c>
      <c r="S375" s="3">
        <v>0</v>
      </c>
      <c r="T375" s="4">
        <v>0</v>
      </c>
      <c r="U375" s="5">
        <v>0</v>
      </c>
      <c r="V375" s="6">
        <v>0</v>
      </c>
    </row>
    <row r="376" spans="1:25" x14ac:dyDescent="0.3">
      <c r="A376" t="s">
        <v>25</v>
      </c>
      <c r="B376" s="7">
        <v>45183</v>
      </c>
      <c r="C376" t="s">
        <v>26</v>
      </c>
      <c r="D376">
        <v>2</v>
      </c>
      <c r="E376">
        <v>2</v>
      </c>
      <c r="F376">
        <v>4</v>
      </c>
      <c r="G376" t="s">
        <v>27</v>
      </c>
      <c r="H376">
        <v>1</v>
      </c>
      <c r="I376" s="8">
        <v>0.25</v>
      </c>
      <c r="J376" s="8">
        <v>0.31944444444444448</v>
      </c>
      <c r="K376" s="9">
        <f t="shared" si="5"/>
        <v>1.6666666666666674</v>
      </c>
      <c r="L376" t="s">
        <v>28</v>
      </c>
      <c r="M376" t="s">
        <v>99</v>
      </c>
      <c r="N376" t="s">
        <v>55</v>
      </c>
      <c r="O376" s="3">
        <v>0</v>
      </c>
      <c r="P376" s="4">
        <v>0</v>
      </c>
      <c r="Q376" s="5">
        <v>0</v>
      </c>
      <c r="R376" s="6">
        <v>0</v>
      </c>
      <c r="S376" s="3">
        <v>0</v>
      </c>
      <c r="T376" s="4">
        <v>0</v>
      </c>
      <c r="U376" s="5">
        <v>0</v>
      </c>
      <c r="V376" s="6">
        <v>0</v>
      </c>
    </row>
    <row r="377" spans="1:25" x14ac:dyDescent="0.3">
      <c r="A377" t="s">
        <v>25</v>
      </c>
      <c r="B377" s="7">
        <v>45183</v>
      </c>
      <c r="C377" t="s">
        <v>26</v>
      </c>
      <c r="D377">
        <v>3</v>
      </c>
      <c r="E377">
        <v>2</v>
      </c>
      <c r="F377">
        <v>4</v>
      </c>
      <c r="G377" t="s">
        <v>27</v>
      </c>
      <c r="H377">
        <v>1</v>
      </c>
      <c r="I377" s="8">
        <v>0.25</v>
      </c>
      <c r="J377" s="8">
        <v>0.35416666666666669</v>
      </c>
      <c r="K377" s="9">
        <f t="shared" si="5"/>
        <v>2.5000000000000004</v>
      </c>
      <c r="L377" t="s">
        <v>28</v>
      </c>
      <c r="M377" t="s">
        <v>56</v>
      </c>
      <c r="N377" t="s">
        <v>55</v>
      </c>
      <c r="O377" s="3">
        <v>1</v>
      </c>
      <c r="P377" s="4">
        <v>0</v>
      </c>
      <c r="Q377" s="5">
        <v>0</v>
      </c>
      <c r="R377" s="6">
        <v>0</v>
      </c>
      <c r="S377" s="3">
        <v>0</v>
      </c>
      <c r="T377" s="4">
        <v>0</v>
      </c>
      <c r="U377" s="5">
        <v>0</v>
      </c>
      <c r="V377" s="6">
        <v>0</v>
      </c>
      <c r="W377" t="s">
        <v>170</v>
      </c>
      <c r="X377" t="s">
        <v>171</v>
      </c>
    </row>
    <row r="378" spans="1:25" x14ac:dyDescent="0.3">
      <c r="A378" t="s">
        <v>25</v>
      </c>
      <c r="B378" s="7">
        <v>45183</v>
      </c>
      <c r="C378" t="s">
        <v>26</v>
      </c>
      <c r="D378">
        <v>4</v>
      </c>
      <c r="E378">
        <v>2</v>
      </c>
      <c r="F378">
        <v>4</v>
      </c>
      <c r="G378" t="s">
        <v>27</v>
      </c>
      <c r="H378">
        <v>1</v>
      </c>
      <c r="I378" s="8">
        <v>0.3125</v>
      </c>
      <c r="J378" s="8">
        <v>0.35416666666666669</v>
      </c>
      <c r="K378" s="9">
        <f t="shared" si="5"/>
        <v>1.0000000000000004</v>
      </c>
      <c r="L378" t="s">
        <v>28</v>
      </c>
      <c r="M378" t="s">
        <v>56</v>
      </c>
      <c r="N378" t="s">
        <v>55</v>
      </c>
      <c r="O378" s="3">
        <v>1</v>
      </c>
      <c r="P378" s="4">
        <v>0</v>
      </c>
      <c r="Q378" s="5">
        <v>0</v>
      </c>
      <c r="R378" s="6">
        <v>0</v>
      </c>
      <c r="S378" s="3">
        <v>0</v>
      </c>
      <c r="T378" s="4">
        <v>0</v>
      </c>
      <c r="U378" s="5">
        <v>0</v>
      </c>
      <c r="V378" s="6">
        <v>0</v>
      </c>
      <c r="W378" t="s">
        <v>172</v>
      </c>
      <c r="X378" t="s">
        <v>171</v>
      </c>
    </row>
    <row r="379" spans="1:25" x14ac:dyDescent="0.3">
      <c r="A379" t="s">
        <v>25</v>
      </c>
      <c r="B379" s="7">
        <v>45183</v>
      </c>
      <c r="C379" t="s">
        <v>26</v>
      </c>
      <c r="D379">
        <v>5</v>
      </c>
      <c r="E379">
        <v>2</v>
      </c>
      <c r="F379">
        <v>3</v>
      </c>
      <c r="G379" t="s">
        <v>27</v>
      </c>
      <c r="H379">
        <v>2</v>
      </c>
      <c r="I379" s="8">
        <v>0.25</v>
      </c>
      <c r="J379" s="8">
        <v>0.35902777777777778</v>
      </c>
      <c r="K379" s="9">
        <f t="shared" si="5"/>
        <v>5.2333333333333334</v>
      </c>
      <c r="L379" t="s">
        <v>28</v>
      </c>
      <c r="M379" t="s">
        <v>29</v>
      </c>
      <c r="N379" t="s">
        <v>32</v>
      </c>
      <c r="O379" s="3">
        <v>0</v>
      </c>
      <c r="P379" s="4">
        <v>0</v>
      </c>
      <c r="Q379" s="5">
        <v>0</v>
      </c>
      <c r="R379" s="6">
        <v>0</v>
      </c>
      <c r="S379" s="3">
        <v>0</v>
      </c>
      <c r="T379" s="4">
        <v>0</v>
      </c>
      <c r="U379" s="5">
        <v>1</v>
      </c>
      <c r="V379" s="6">
        <v>0</v>
      </c>
    </row>
    <row r="380" spans="1:25" x14ac:dyDescent="0.3">
      <c r="A380" t="s">
        <v>25</v>
      </c>
      <c r="B380" s="7">
        <v>45183</v>
      </c>
      <c r="C380" t="s">
        <v>26</v>
      </c>
      <c r="D380">
        <v>6</v>
      </c>
      <c r="E380">
        <v>2</v>
      </c>
      <c r="F380">
        <v>3</v>
      </c>
      <c r="G380" t="s">
        <v>27</v>
      </c>
      <c r="H380">
        <v>1</v>
      </c>
      <c r="I380" s="8">
        <v>0.3125</v>
      </c>
      <c r="J380" s="8">
        <v>0.36805555555555558</v>
      </c>
      <c r="K380" s="9">
        <f t="shared" si="5"/>
        <v>1.3333333333333339</v>
      </c>
      <c r="L380" t="s">
        <v>28</v>
      </c>
      <c r="M380" t="s">
        <v>29</v>
      </c>
      <c r="N380" t="s">
        <v>32</v>
      </c>
      <c r="O380" s="3">
        <v>0</v>
      </c>
      <c r="P380" s="4">
        <v>0</v>
      </c>
      <c r="Q380" s="5">
        <v>2</v>
      </c>
      <c r="R380" s="6">
        <v>0</v>
      </c>
      <c r="S380" s="3">
        <v>0</v>
      </c>
      <c r="T380" s="4">
        <v>0</v>
      </c>
      <c r="U380" s="5">
        <v>0</v>
      </c>
      <c r="V380" s="6">
        <v>0</v>
      </c>
    </row>
    <row r="381" spans="1:25" x14ac:dyDescent="0.3">
      <c r="A381" t="s">
        <v>25</v>
      </c>
      <c r="B381" s="7">
        <v>45183</v>
      </c>
      <c r="C381" t="s">
        <v>26</v>
      </c>
      <c r="D381">
        <v>7</v>
      </c>
      <c r="E381">
        <v>2</v>
      </c>
      <c r="F381">
        <v>2</v>
      </c>
      <c r="G381" t="s">
        <v>27</v>
      </c>
      <c r="H381">
        <v>4</v>
      </c>
      <c r="I381" s="8">
        <v>0.29166666666666669</v>
      </c>
      <c r="J381" s="8">
        <v>0.3972222222222222</v>
      </c>
      <c r="K381" s="9">
        <f t="shared" si="5"/>
        <v>10.133333333333329</v>
      </c>
      <c r="L381" t="s">
        <v>28</v>
      </c>
      <c r="M381" t="s">
        <v>56</v>
      </c>
      <c r="N381" t="s">
        <v>27</v>
      </c>
      <c r="O381" s="3">
        <v>0</v>
      </c>
      <c r="P381" s="4">
        <v>4</v>
      </c>
      <c r="Q381" s="5">
        <v>0</v>
      </c>
      <c r="R381" s="6">
        <v>0</v>
      </c>
      <c r="S381" s="3">
        <v>0</v>
      </c>
      <c r="T381" s="4">
        <v>0</v>
      </c>
      <c r="U381" s="5">
        <v>0</v>
      </c>
      <c r="V381" s="6">
        <v>0</v>
      </c>
    </row>
    <row r="382" spans="1:25" x14ac:dyDescent="0.3">
      <c r="A382" t="s">
        <v>25</v>
      </c>
      <c r="B382" s="7">
        <v>45183</v>
      </c>
      <c r="C382" t="s">
        <v>26</v>
      </c>
      <c r="D382">
        <v>8</v>
      </c>
      <c r="E382">
        <v>2</v>
      </c>
      <c r="F382">
        <v>2</v>
      </c>
      <c r="G382" t="s">
        <v>27</v>
      </c>
      <c r="H382">
        <v>1</v>
      </c>
      <c r="I382" s="8">
        <v>0.29166666666666669</v>
      </c>
      <c r="J382" s="8">
        <v>0.40277777777777773</v>
      </c>
      <c r="K382" s="9">
        <f t="shared" si="5"/>
        <v>2.6666666666666652</v>
      </c>
      <c r="L382" t="s">
        <v>28</v>
      </c>
      <c r="M382" t="s">
        <v>56</v>
      </c>
      <c r="N382" t="s">
        <v>38</v>
      </c>
      <c r="O382" s="3">
        <v>1</v>
      </c>
      <c r="P382" s="4">
        <v>2</v>
      </c>
      <c r="Q382" s="5">
        <v>0</v>
      </c>
      <c r="R382" s="6">
        <v>0</v>
      </c>
      <c r="S382" s="3">
        <v>0</v>
      </c>
      <c r="T382" s="4">
        <v>0</v>
      </c>
      <c r="U382" s="5">
        <v>0</v>
      </c>
      <c r="V382" s="6">
        <v>0</v>
      </c>
    </row>
    <row r="383" spans="1:25" x14ac:dyDescent="0.3">
      <c r="A383" t="s">
        <v>25</v>
      </c>
      <c r="B383" s="7">
        <v>45183</v>
      </c>
      <c r="C383" t="s">
        <v>26</v>
      </c>
      <c r="D383">
        <v>9</v>
      </c>
      <c r="E383">
        <v>2</v>
      </c>
      <c r="F383">
        <v>2</v>
      </c>
      <c r="G383" t="s">
        <v>27</v>
      </c>
      <c r="H383">
        <v>1</v>
      </c>
      <c r="I383" s="8">
        <v>0.23958333333333334</v>
      </c>
      <c r="J383" s="8">
        <v>0.40277777777777773</v>
      </c>
      <c r="K383" s="9">
        <f t="shared" si="5"/>
        <v>3.9166666666666652</v>
      </c>
      <c r="L383" t="s">
        <v>25</v>
      </c>
      <c r="M383" t="s">
        <v>56</v>
      </c>
      <c r="N383" t="s">
        <v>38</v>
      </c>
      <c r="O383" s="3">
        <v>0</v>
      </c>
      <c r="P383" s="4">
        <v>2</v>
      </c>
      <c r="Q383" s="5">
        <v>0</v>
      </c>
      <c r="R383" s="6">
        <v>0</v>
      </c>
      <c r="S383" s="3">
        <v>0</v>
      </c>
      <c r="T383" s="4">
        <v>0</v>
      </c>
      <c r="U383" s="5">
        <v>0</v>
      </c>
      <c r="V383" s="6">
        <v>0</v>
      </c>
    </row>
    <row r="384" spans="1:25" x14ac:dyDescent="0.3">
      <c r="A384" t="s">
        <v>25</v>
      </c>
      <c r="B384" s="7">
        <v>45183</v>
      </c>
      <c r="C384" t="s">
        <v>26</v>
      </c>
      <c r="D384">
        <v>10</v>
      </c>
      <c r="E384">
        <v>2</v>
      </c>
      <c r="F384">
        <v>2</v>
      </c>
      <c r="G384" t="s">
        <v>27</v>
      </c>
      <c r="H384">
        <v>1</v>
      </c>
      <c r="I384" s="8">
        <v>0.23958333333333334</v>
      </c>
      <c r="J384" s="8">
        <v>0.40277777777777773</v>
      </c>
      <c r="K384" s="9">
        <f t="shared" si="5"/>
        <v>3.9166666666666652</v>
      </c>
      <c r="L384" t="s">
        <v>28</v>
      </c>
      <c r="M384" t="s">
        <v>56</v>
      </c>
      <c r="N384" t="s">
        <v>38</v>
      </c>
      <c r="O384" s="3">
        <v>0</v>
      </c>
      <c r="P384" s="4">
        <v>2</v>
      </c>
      <c r="Q384" s="5">
        <v>0</v>
      </c>
      <c r="R384" s="6">
        <v>0</v>
      </c>
      <c r="S384" s="3">
        <v>0</v>
      </c>
      <c r="T384" s="4">
        <v>0</v>
      </c>
      <c r="U384" s="5">
        <v>0</v>
      </c>
      <c r="V384" s="6">
        <v>0</v>
      </c>
    </row>
    <row r="385" spans="1:25" x14ac:dyDescent="0.3">
      <c r="A385" t="s">
        <v>25</v>
      </c>
      <c r="B385" s="7">
        <v>45183</v>
      </c>
      <c r="C385" t="s">
        <v>26</v>
      </c>
      <c r="D385">
        <v>11</v>
      </c>
      <c r="E385">
        <v>2</v>
      </c>
      <c r="F385">
        <v>2</v>
      </c>
      <c r="G385" t="s">
        <v>27</v>
      </c>
      <c r="H385">
        <v>1</v>
      </c>
      <c r="I385" s="8">
        <v>0.33333333333333331</v>
      </c>
      <c r="J385" s="8">
        <v>0.41041666666666665</v>
      </c>
      <c r="K385" s="9">
        <f t="shared" si="5"/>
        <v>1.85</v>
      </c>
      <c r="L385" t="s">
        <v>28</v>
      </c>
      <c r="M385" t="s">
        <v>56</v>
      </c>
      <c r="N385" t="s">
        <v>38</v>
      </c>
      <c r="O385" s="3">
        <v>0</v>
      </c>
      <c r="P385" s="4">
        <v>2</v>
      </c>
      <c r="Q385" s="5">
        <v>0</v>
      </c>
      <c r="R385" s="6">
        <v>0</v>
      </c>
      <c r="S385" s="3">
        <v>0</v>
      </c>
      <c r="T385" s="4">
        <v>0</v>
      </c>
      <c r="U385" s="5">
        <v>0</v>
      </c>
      <c r="V385" s="6">
        <v>0</v>
      </c>
      <c r="Y385" t="s">
        <v>166</v>
      </c>
    </row>
    <row r="386" spans="1:25" x14ac:dyDescent="0.3">
      <c r="A386" t="s">
        <v>25</v>
      </c>
      <c r="B386" s="7">
        <v>45183</v>
      </c>
      <c r="C386" t="s">
        <v>26</v>
      </c>
      <c r="D386">
        <v>12</v>
      </c>
      <c r="E386">
        <v>2</v>
      </c>
      <c r="F386">
        <v>2</v>
      </c>
      <c r="G386" t="s">
        <v>27</v>
      </c>
      <c r="H386">
        <v>2</v>
      </c>
      <c r="I386" s="8">
        <v>0.25</v>
      </c>
      <c r="J386" s="8">
        <v>0.41666666666666669</v>
      </c>
      <c r="K386" s="9">
        <f t="shared" si="5"/>
        <v>8</v>
      </c>
      <c r="L386" t="s">
        <v>28</v>
      </c>
      <c r="M386" t="s">
        <v>82</v>
      </c>
      <c r="N386" t="s">
        <v>151</v>
      </c>
      <c r="O386" s="3">
        <v>0</v>
      </c>
      <c r="P386" s="4">
        <v>0</v>
      </c>
      <c r="Q386" s="5">
        <v>2</v>
      </c>
      <c r="R386" s="6">
        <v>0</v>
      </c>
      <c r="S386" s="3">
        <v>0</v>
      </c>
      <c r="T386" s="4">
        <v>0</v>
      </c>
      <c r="U386" s="5">
        <v>1</v>
      </c>
      <c r="V386" s="6">
        <v>0</v>
      </c>
    </row>
    <row r="387" spans="1:25" x14ac:dyDescent="0.3">
      <c r="A387" t="s">
        <v>25</v>
      </c>
      <c r="B387" s="7">
        <v>45183</v>
      </c>
      <c r="C387" t="s">
        <v>26</v>
      </c>
      <c r="D387">
        <v>13</v>
      </c>
      <c r="E387">
        <v>2</v>
      </c>
      <c r="F387">
        <v>2</v>
      </c>
      <c r="G387" t="s">
        <v>27</v>
      </c>
      <c r="H387">
        <v>1</v>
      </c>
      <c r="I387" s="8">
        <v>0.27083333333333331</v>
      </c>
      <c r="J387" s="8">
        <v>0.41875000000000001</v>
      </c>
      <c r="K387" s="9">
        <f t="shared" ref="K387:K450" si="6">(J387-I387)*24*H387</f>
        <v>3.5500000000000007</v>
      </c>
      <c r="L387" t="s">
        <v>25</v>
      </c>
      <c r="M387" t="s">
        <v>29</v>
      </c>
      <c r="N387" t="s">
        <v>38</v>
      </c>
      <c r="O387" s="3">
        <v>0</v>
      </c>
      <c r="P387" s="4">
        <v>0</v>
      </c>
      <c r="Q387" s="5">
        <v>0</v>
      </c>
      <c r="R387" s="6">
        <v>0</v>
      </c>
      <c r="S387" s="3">
        <v>0</v>
      </c>
      <c r="T387" s="4">
        <v>0</v>
      </c>
      <c r="U387" s="5">
        <v>0</v>
      </c>
      <c r="V387" s="6">
        <v>0</v>
      </c>
    </row>
    <row r="388" spans="1:25" x14ac:dyDescent="0.3">
      <c r="A388" t="s">
        <v>25</v>
      </c>
      <c r="B388" s="7">
        <v>45183</v>
      </c>
      <c r="C388" t="s">
        <v>26</v>
      </c>
      <c r="D388">
        <v>14</v>
      </c>
      <c r="E388">
        <v>2</v>
      </c>
      <c r="F388">
        <v>2</v>
      </c>
      <c r="G388" t="s">
        <v>27</v>
      </c>
      <c r="H388">
        <v>1</v>
      </c>
      <c r="I388" s="8">
        <v>0.25</v>
      </c>
      <c r="J388" s="8">
        <v>0.4375</v>
      </c>
      <c r="K388" s="9">
        <f t="shared" si="6"/>
        <v>4.5</v>
      </c>
      <c r="L388" t="s">
        <v>28</v>
      </c>
      <c r="M388" t="s">
        <v>56</v>
      </c>
      <c r="N388" t="s">
        <v>38</v>
      </c>
      <c r="O388" s="3">
        <v>0</v>
      </c>
      <c r="P388" s="4">
        <v>2</v>
      </c>
      <c r="Q388" s="5">
        <v>0</v>
      </c>
      <c r="R388" s="6">
        <v>0</v>
      </c>
      <c r="S388" s="3">
        <v>0</v>
      </c>
      <c r="T388" s="4">
        <v>0</v>
      </c>
      <c r="U388" s="5">
        <v>0</v>
      </c>
      <c r="V388" s="6">
        <v>0</v>
      </c>
    </row>
    <row r="389" spans="1:25" x14ac:dyDescent="0.3">
      <c r="A389" t="s">
        <v>25</v>
      </c>
      <c r="B389" s="7">
        <v>45183</v>
      </c>
      <c r="C389" t="s">
        <v>26</v>
      </c>
      <c r="D389">
        <v>15</v>
      </c>
      <c r="E389">
        <v>2</v>
      </c>
      <c r="F389">
        <v>1</v>
      </c>
      <c r="G389" t="s">
        <v>27</v>
      </c>
      <c r="H389">
        <v>1</v>
      </c>
      <c r="I389" s="8">
        <v>0.41666666666666669</v>
      </c>
      <c r="J389" s="8">
        <v>0.4375</v>
      </c>
      <c r="K389" s="9">
        <f t="shared" si="6"/>
        <v>0.49999999999999956</v>
      </c>
      <c r="L389" t="s">
        <v>25</v>
      </c>
      <c r="M389" t="s">
        <v>56</v>
      </c>
      <c r="N389" t="s">
        <v>38</v>
      </c>
      <c r="O389" s="3">
        <v>0</v>
      </c>
      <c r="P389" s="4">
        <v>4</v>
      </c>
      <c r="Q389" s="5">
        <v>0</v>
      </c>
      <c r="R389" s="6">
        <v>0</v>
      </c>
      <c r="S389" s="3">
        <v>0</v>
      </c>
      <c r="T389" s="4">
        <v>0</v>
      </c>
      <c r="U389" s="5">
        <v>0</v>
      </c>
      <c r="V389" s="6">
        <v>0</v>
      </c>
      <c r="Y389" t="s">
        <v>173</v>
      </c>
    </row>
    <row r="390" spans="1:25" x14ac:dyDescent="0.3">
      <c r="A390" t="s">
        <v>25</v>
      </c>
      <c r="B390" s="7">
        <v>45183</v>
      </c>
      <c r="C390" t="s">
        <v>26</v>
      </c>
      <c r="D390">
        <v>16</v>
      </c>
      <c r="E390">
        <v>2</v>
      </c>
      <c r="F390">
        <v>1</v>
      </c>
      <c r="G390" t="s">
        <v>27</v>
      </c>
      <c r="H390">
        <v>1</v>
      </c>
      <c r="I390" s="8">
        <v>0.39583333333333331</v>
      </c>
      <c r="J390" s="8">
        <v>0.4375</v>
      </c>
      <c r="K390" s="9">
        <f t="shared" si="6"/>
        <v>1.0000000000000004</v>
      </c>
      <c r="L390" t="s">
        <v>25</v>
      </c>
      <c r="M390" t="s">
        <v>56</v>
      </c>
      <c r="N390" t="s">
        <v>27</v>
      </c>
      <c r="O390" s="3">
        <v>0</v>
      </c>
      <c r="P390" s="4">
        <v>0</v>
      </c>
      <c r="Q390" s="5">
        <v>0</v>
      </c>
      <c r="R390" s="6">
        <v>0</v>
      </c>
      <c r="S390" s="3">
        <v>0</v>
      </c>
      <c r="T390" s="4">
        <v>0</v>
      </c>
      <c r="U390" s="5">
        <v>0</v>
      </c>
      <c r="V390" s="6">
        <v>0</v>
      </c>
    </row>
    <row r="391" spans="1:25" x14ac:dyDescent="0.3">
      <c r="A391" t="s">
        <v>25</v>
      </c>
      <c r="B391" s="7">
        <v>45183</v>
      </c>
      <c r="C391" t="s">
        <v>26</v>
      </c>
      <c r="D391">
        <v>17</v>
      </c>
      <c r="E391">
        <v>1</v>
      </c>
      <c r="F391">
        <v>4</v>
      </c>
      <c r="G391" t="s">
        <v>27</v>
      </c>
      <c r="H391">
        <v>1</v>
      </c>
      <c r="I391" s="8">
        <v>0.33333333333333331</v>
      </c>
      <c r="J391" s="8">
        <v>0.44444444444444442</v>
      </c>
      <c r="K391" s="9">
        <f t="shared" si="6"/>
        <v>2.6666666666666665</v>
      </c>
      <c r="L391" t="s">
        <v>28</v>
      </c>
      <c r="M391" t="s">
        <v>51</v>
      </c>
      <c r="N391" t="s">
        <v>38</v>
      </c>
      <c r="O391" s="3">
        <v>0</v>
      </c>
      <c r="P391" s="4">
        <v>1</v>
      </c>
      <c r="Q391" s="5">
        <v>3</v>
      </c>
      <c r="R391" s="6">
        <v>0</v>
      </c>
      <c r="S391" s="3">
        <v>0</v>
      </c>
      <c r="T391" s="4">
        <v>0</v>
      </c>
      <c r="U391" s="5">
        <v>0</v>
      </c>
      <c r="V391" s="6">
        <v>0</v>
      </c>
    </row>
    <row r="392" spans="1:25" x14ac:dyDescent="0.3">
      <c r="A392" t="s">
        <v>25</v>
      </c>
      <c r="B392" s="7">
        <v>45183</v>
      </c>
      <c r="C392" t="s">
        <v>26</v>
      </c>
      <c r="D392">
        <v>18</v>
      </c>
      <c r="E392">
        <v>1</v>
      </c>
      <c r="F392">
        <v>4</v>
      </c>
      <c r="G392" t="s">
        <v>27</v>
      </c>
      <c r="H392">
        <v>1</v>
      </c>
      <c r="I392" s="8">
        <v>0.22916666666666666</v>
      </c>
      <c r="J392" s="8">
        <v>0.44444444444444442</v>
      </c>
      <c r="K392" s="9">
        <f t="shared" si="6"/>
        <v>5.1666666666666661</v>
      </c>
      <c r="L392" t="s">
        <v>28</v>
      </c>
      <c r="M392" t="s">
        <v>51</v>
      </c>
      <c r="N392" t="s">
        <v>38</v>
      </c>
      <c r="O392" s="3">
        <v>0</v>
      </c>
      <c r="P392" s="4">
        <v>0</v>
      </c>
      <c r="Q392" s="5">
        <v>0</v>
      </c>
      <c r="R392" s="6">
        <v>0</v>
      </c>
      <c r="S392" s="3">
        <v>0</v>
      </c>
      <c r="T392" s="4">
        <v>0</v>
      </c>
      <c r="U392" s="5">
        <v>5</v>
      </c>
      <c r="V392" s="6">
        <v>0</v>
      </c>
    </row>
    <row r="393" spans="1:25" x14ac:dyDescent="0.3">
      <c r="A393" t="s">
        <v>25</v>
      </c>
      <c r="B393" s="7">
        <v>45183</v>
      </c>
      <c r="C393" t="s">
        <v>26</v>
      </c>
      <c r="D393">
        <v>19</v>
      </c>
      <c r="E393">
        <v>1</v>
      </c>
      <c r="F393">
        <v>2</v>
      </c>
      <c r="G393" t="s">
        <v>27</v>
      </c>
      <c r="H393">
        <v>1</v>
      </c>
      <c r="I393" s="8">
        <v>0.375</v>
      </c>
      <c r="J393" s="8">
        <v>0.46388888888888885</v>
      </c>
      <c r="K393" s="9">
        <f t="shared" si="6"/>
        <v>2.1333333333333324</v>
      </c>
      <c r="L393" t="s">
        <v>28</v>
      </c>
      <c r="M393" t="s">
        <v>29</v>
      </c>
      <c r="N393" t="s">
        <v>32</v>
      </c>
      <c r="O393" s="3">
        <v>0</v>
      </c>
      <c r="P393" s="4">
        <v>0</v>
      </c>
      <c r="Q393" s="5">
        <v>3</v>
      </c>
      <c r="R393" s="6">
        <v>0</v>
      </c>
      <c r="S393" s="3">
        <v>0</v>
      </c>
      <c r="T393" s="4">
        <v>0</v>
      </c>
      <c r="U393" s="5">
        <v>0</v>
      </c>
      <c r="V393" s="6">
        <v>0</v>
      </c>
    </row>
    <row r="394" spans="1:25" x14ac:dyDescent="0.3">
      <c r="A394" t="s">
        <v>25</v>
      </c>
      <c r="B394" s="7">
        <v>45183</v>
      </c>
      <c r="C394" t="s">
        <v>26</v>
      </c>
      <c r="D394">
        <v>20</v>
      </c>
      <c r="E394">
        <v>1</v>
      </c>
      <c r="F394">
        <v>2</v>
      </c>
      <c r="G394" t="s">
        <v>27</v>
      </c>
      <c r="H394">
        <v>1</v>
      </c>
      <c r="I394" s="8">
        <v>0.3125</v>
      </c>
      <c r="J394" s="8">
        <v>0.46388888888888885</v>
      </c>
      <c r="K394" s="9">
        <f t="shared" si="6"/>
        <v>3.6333333333333324</v>
      </c>
      <c r="L394" t="s">
        <v>28</v>
      </c>
      <c r="M394" t="s">
        <v>29</v>
      </c>
      <c r="N394" t="s">
        <v>32</v>
      </c>
      <c r="O394" s="3">
        <v>0</v>
      </c>
      <c r="P394" s="4">
        <v>0</v>
      </c>
      <c r="Q394" s="5">
        <v>1</v>
      </c>
      <c r="R394" s="6">
        <v>0</v>
      </c>
      <c r="S394" s="3">
        <v>0</v>
      </c>
      <c r="T394" s="4">
        <v>0</v>
      </c>
      <c r="U394" s="5">
        <v>0</v>
      </c>
      <c r="V394" s="6">
        <v>0</v>
      </c>
    </row>
    <row r="395" spans="1:25" x14ac:dyDescent="0.3">
      <c r="A395" t="s">
        <v>25</v>
      </c>
      <c r="B395" s="7">
        <v>45183</v>
      </c>
      <c r="C395" t="s">
        <v>42</v>
      </c>
      <c r="D395">
        <v>21</v>
      </c>
      <c r="E395">
        <v>1</v>
      </c>
      <c r="F395">
        <v>1</v>
      </c>
      <c r="G395" t="s">
        <v>35</v>
      </c>
      <c r="H395">
        <v>3</v>
      </c>
      <c r="I395" s="8">
        <v>0.54166666666666663</v>
      </c>
      <c r="J395" s="8">
        <v>0.6958333333333333</v>
      </c>
      <c r="K395" s="9">
        <f t="shared" si="6"/>
        <v>11.100000000000001</v>
      </c>
      <c r="L395" t="s">
        <v>25</v>
      </c>
      <c r="M395" t="s">
        <v>162</v>
      </c>
      <c r="N395" t="s">
        <v>38</v>
      </c>
      <c r="O395" s="3">
        <v>0</v>
      </c>
      <c r="P395" s="4">
        <v>3</v>
      </c>
      <c r="Q395" s="5">
        <v>0</v>
      </c>
      <c r="R395" s="6">
        <v>0</v>
      </c>
      <c r="S395" s="3">
        <v>0</v>
      </c>
      <c r="T395" s="4">
        <v>0</v>
      </c>
      <c r="U395" s="5">
        <v>1</v>
      </c>
      <c r="V395" s="6">
        <v>0</v>
      </c>
    </row>
    <row r="396" spans="1:25" x14ac:dyDescent="0.3">
      <c r="A396" t="s">
        <v>25</v>
      </c>
      <c r="B396" s="7">
        <v>45183</v>
      </c>
      <c r="C396" t="s">
        <v>42</v>
      </c>
      <c r="D396">
        <v>22</v>
      </c>
      <c r="E396">
        <v>1</v>
      </c>
      <c r="F396">
        <v>1</v>
      </c>
      <c r="G396" t="s">
        <v>35</v>
      </c>
      <c r="H396">
        <v>1</v>
      </c>
      <c r="I396" s="8">
        <v>0.65763888888888888</v>
      </c>
      <c r="J396" s="8">
        <v>0.78263888888888899</v>
      </c>
      <c r="K396" s="9">
        <f t="shared" si="6"/>
        <v>3.0000000000000027</v>
      </c>
      <c r="L396" t="s">
        <v>25</v>
      </c>
      <c r="M396" t="s">
        <v>29</v>
      </c>
      <c r="N396" t="s">
        <v>27</v>
      </c>
      <c r="O396" s="3">
        <v>0</v>
      </c>
      <c r="P396" s="4">
        <v>0</v>
      </c>
      <c r="Q396" s="5">
        <v>0</v>
      </c>
      <c r="R396" s="6">
        <v>0</v>
      </c>
      <c r="S396" s="3">
        <v>0</v>
      </c>
      <c r="T396" s="4">
        <v>0</v>
      </c>
      <c r="U396" s="5">
        <v>0</v>
      </c>
      <c r="V396" s="6">
        <v>0</v>
      </c>
    </row>
    <row r="397" spans="1:25" x14ac:dyDescent="0.3">
      <c r="A397" t="s">
        <v>25</v>
      </c>
      <c r="B397" s="7">
        <v>45183</v>
      </c>
      <c r="C397" t="s">
        <v>42</v>
      </c>
      <c r="D397">
        <v>23</v>
      </c>
      <c r="E397">
        <v>1</v>
      </c>
      <c r="F397">
        <v>1</v>
      </c>
      <c r="G397" t="s">
        <v>35</v>
      </c>
      <c r="H397">
        <v>4</v>
      </c>
      <c r="I397" s="8">
        <v>0.64583333333333337</v>
      </c>
      <c r="J397" s="8">
        <v>0.81736111111111109</v>
      </c>
      <c r="K397" s="9">
        <f t="shared" si="6"/>
        <v>16.466666666666661</v>
      </c>
      <c r="L397" t="s">
        <v>25</v>
      </c>
      <c r="M397" t="s">
        <v>162</v>
      </c>
      <c r="N397" t="s">
        <v>38</v>
      </c>
      <c r="O397" s="3">
        <v>0</v>
      </c>
      <c r="P397" s="4">
        <v>11</v>
      </c>
      <c r="Q397" s="5">
        <v>0</v>
      </c>
      <c r="R397" s="6">
        <v>0</v>
      </c>
      <c r="S397" s="3">
        <v>0</v>
      </c>
      <c r="T397" s="4">
        <v>0</v>
      </c>
      <c r="U397" s="5">
        <v>2</v>
      </c>
      <c r="V397" s="6">
        <v>0</v>
      </c>
      <c r="Y397" t="s">
        <v>166</v>
      </c>
    </row>
    <row r="398" spans="1:25" x14ac:dyDescent="0.3">
      <c r="A398" t="s">
        <v>25</v>
      </c>
      <c r="B398" s="7">
        <v>45183</v>
      </c>
      <c r="C398" t="s">
        <v>42</v>
      </c>
      <c r="D398">
        <v>24</v>
      </c>
      <c r="E398">
        <v>1</v>
      </c>
      <c r="F398">
        <v>1</v>
      </c>
      <c r="G398" t="s">
        <v>35</v>
      </c>
      <c r="H398">
        <v>1</v>
      </c>
      <c r="I398" s="8">
        <v>0.64583333333333337</v>
      </c>
      <c r="J398" s="8">
        <v>0.81944444444444453</v>
      </c>
      <c r="K398" s="9">
        <f t="shared" si="6"/>
        <v>4.1666666666666679</v>
      </c>
      <c r="L398" t="s">
        <v>25</v>
      </c>
      <c r="M398" t="s">
        <v>162</v>
      </c>
      <c r="N398" t="s">
        <v>38</v>
      </c>
      <c r="O398" s="3">
        <v>0</v>
      </c>
      <c r="P398" s="4">
        <v>2</v>
      </c>
      <c r="Q398" s="5">
        <v>0</v>
      </c>
      <c r="R398" s="6">
        <v>0</v>
      </c>
      <c r="S398" s="3">
        <v>0</v>
      </c>
      <c r="T398" s="4">
        <v>0</v>
      </c>
      <c r="U398" s="5">
        <v>0</v>
      </c>
      <c r="V398" s="6">
        <v>0</v>
      </c>
    </row>
    <row r="399" spans="1:25" x14ac:dyDescent="0.3">
      <c r="A399" t="s">
        <v>25</v>
      </c>
      <c r="B399" s="7">
        <v>45183</v>
      </c>
      <c r="C399" t="s">
        <v>42</v>
      </c>
      <c r="D399">
        <v>25</v>
      </c>
      <c r="E399">
        <v>1</v>
      </c>
      <c r="F399">
        <v>1</v>
      </c>
      <c r="G399" t="s">
        <v>35</v>
      </c>
      <c r="H399">
        <v>2</v>
      </c>
      <c r="I399" s="8">
        <v>0.72916666666666663</v>
      </c>
      <c r="J399" s="8">
        <v>0.83124999999999993</v>
      </c>
      <c r="K399" s="9">
        <f t="shared" si="6"/>
        <v>4.8999999999999986</v>
      </c>
      <c r="L399" t="s">
        <v>25</v>
      </c>
      <c r="M399" t="s">
        <v>29</v>
      </c>
      <c r="N399" t="s">
        <v>32</v>
      </c>
      <c r="O399" s="3">
        <v>0</v>
      </c>
      <c r="P399" s="4">
        <v>0</v>
      </c>
      <c r="Q399" s="5">
        <v>1</v>
      </c>
      <c r="R399" s="6">
        <v>0</v>
      </c>
      <c r="S399" s="3">
        <v>0</v>
      </c>
      <c r="T399" s="4">
        <v>0</v>
      </c>
      <c r="U399" s="5">
        <v>0</v>
      </c>
      <c r="V399" s="6">
        <v>0</v>
      </c>
    </row>
    <row r="400" spans="1:25" x14ac:dyDescent="0.3">
      <c r="A400" t="s">
        <v>25</v>
      </c>
      <c r="B400" s="7">
        <v>45184</v>
      </c>
      <c r="C400" t="s">
        <v>26</v>
      </c>
      <c r="D400">
        <v>1</v>
      </c>
      <c r="E400">
        <v>2</v>
      </c>
      <c r="F400">
        <v>2</v>
      </c>
      <c r="G400" t="s">
        <v>27</v>
      </c>
      <c r="H400">
        <v>1</v>
      </c>
      <c r="I400" s="8">
        <v>0.25</v>
      </c>
      <c r="J400" s="8">
        <v>0.28958333333333336</v>
      </c>
      <c r="K400" s="9">
        <f t="shared" si="6"/>
        <v>0.95000000000000062</v>
      </c>
      <c r="L400" t="s">
        <v>28</v>
      </c>
      <c r="M400" t="s">
        <v>56</v>
      </c>
      <c r="N400" t="s">
        <v>38</v>
      </c>
      <c r="O400" s="3">
        <v>0</v>
      </c>
      <c r="P400" s="4">
        <v>0</v>
      </c>
      <c r="Q400" s="5">
        <v>0</v>
      </c>
      <c r="R400" s="6">
        <v>0</v>
      </c>
      <c r="S400" s="3">
        <v>0</v>
      </c>
      <c r="T400" s="4">
        <v>0</v>
      </c>
      <c r="U400" s="5">
        <v>0</v>
      </c>
      <c r="V400" s="6">
        <v>0</v>
      </c>
    </row>
    <row r="401" spans="1:25" x14ac:dyDescent="0.3">
      <c r="A401" t="s">
        <v>25</v>
      </c>
      <c r="B401" s="7">
        <v>45184</v>
      </c>
      <c r="C401" t="s">
        <v>26</v>
      </c>
      <c r="D401">
        <v>2</v>
      </c>
      <c r="E401">
        <v>2</v>
      </c>
      <c r="F401">
        <v>2</v>
      </c>
      <c r="G401" t="s">
        <v>27</v>
      </c>
      <c r="H401">
        <v>3</v>
      </c>
      <c r="I401" s="8">
        <v>0.25</v>
      </c>
      <c r="J401" s="8">
        <v>0.31527777777777777</v>
      </c>
      <c r="K401" s="9">
        <f t="shared" si="6"/>
        <v>4.6999999999999993</v>
      </c>
      <c r="L401" t="s">
        <v>28</v>
      </c>
      <c r="M401" t="s">
        <v>56</v>
      </c>
      <c r="N401" t="s">
        <v>38</v>
      </c>
      <c r="O401" s="3">
        <v>0</v>
      </c>
      <c r="P401" s="4">
        <v>1</v>
      </c>
      <c r="Q401" s="5">
        <v>0</v>
      </c>
      <c r="R401" s="6">
        <v>0</v>
      </c>
      <c r="S401" s="3">
        <v>1</v>
      </c>
      <c r="T401" s="4">
        <v>0</v>
      </c>
      <c r="U401" s="5">
        <v>0</v>
      </c>
      <c r="V401" s="6">
        <v>0</v>
      </c>
    </row>
    <row r="402" spans="1:25" x14ac:dyDescent="0.3">
      <c r="A402" t="s">
        <v>25</v>
      </c>
      <c r="B402" s="7">
        <v>45184</v>
      </c>
      <c r="C402" t="s">
        <v>26</v>
      </c>
      <c r="D402">
        <v>3</v>
      </c>
      <c r="E402">
        <v>2</v>
      </c>
      <c r="F402">
        <v>3</v>
      </c>
      <c r="G402" t="s">
        <v>27</v>
      </c>
      <c r="H402">
        <v>2</v>
      </c>
      <c r="I402" s="8">
        <v>0.23611111111111113</v>
      </c>
      <c r="J402" s="8">
        <v>0.3611111111111111</v>
      </c>
      <c r="K402" s="9">
        <f t="shared" si="6"/>
        <v>5.9999999999999982</v>
      </c>
      <c r="L402" t="s">
        <v>28</v>
      </c>
      <c r="M402" t="s">
        <v>56</v>
      </c>
      <c r="N402" t="s">
        <v>38</v>
      </c>
      <c r="O402" s="3">
        <v>0</v>
      </c>
      <c r="P402" s="4">
        <v>0</v>
      </c>
      <c r="Q402" s="5">
        <v>1</v>
      </c>
      <c r="R402" s="6">
        <v>0</v>
      </c>
      <c r="S402" s="3">
        <v>0</v>
      </c>
      <c r="T402" s="4">
        <v>0</v>
      </c>
      <c r="U402" s="5">
        <v>0</v>
      </c>
      <c r="V402" s="6">
        <v>0</v>
      </c>
      <c r="Y402" t="s">
        <v>174</v>
      </c>
    </row>
    <row r="403" spans="1:25" x14ac:dyDescent="0.3">
      <c r="A403" t="s">
        <v>25</v>
      </c>
      <c r="B403" s="7">
        <v>45184</v>
      </c>
      <c r="C403" t="s">
        <v>26</v>
      </c>
      <c r="D403">
        <v>4</v>
      </c>
      <c r="E403">
        <v>2</v>
      </c>
      <c r="F403">
        <v>3</v>
      </c>
      <c r="G403" t="s">
        <v>27</v>
      </c>
      <c r="H403">
        <v>1</v>
      </c>
      <c r="I403" s="8">
        <v>0.33333333333333331</v>
      </c>
      <c r="J403" s="8">
        <v>0.3611111111111111</v>
      </c>
      <c r="K403" s="9">
        <f t="shared" si="6"/>
        <v>0.66666666666666696</v>
      </c>
      <c r="L403" t="s">
        <v>28</v>
      </c>
      <c r="M403" t="s">
        <v>56</v>
      </c>
      <c r="N403" t="s">
        <v>38</v>
      </c>
      <c r="O403" s="3">
        <v>1</v>
      </c>
      <c r="P403" s="4">
        <v>0</v>
      </c>
      <c r="Q403" s="5">
        <v>0</v>
      </c>
      <c r="R403" s="6">
        <v>0</v>
      </c>
      <c r="S403" s="3">
        <v>0</v>
      </c>
      <c r="T403" s="4">
        <v>0</v>
      </c>
      <c r="U403" s="5">
        <v>0</v>
      </c>
      <c r="V403" s="6">
        <v>0</v>
      </c>
      <c r="Y403" t="s">
        <v>175</v>
      </c>
    </row>
    <row r="404" spans="1:25" x14ac:dyDescent="0.3">
      <c r="A404" t="s">
        <v>25</v>
      </c>
      <c r="B404" s="7">
        <v>45184</v>
      </c>
      <c r="C404" t="s">
        <v>26</v>
      </c>
      <c r="D404">
        <v>5</v>
      </c>
      <c r="E404">
        <v>2</v>
      </c>
      <c r="F404">
        <v>2</v>
      </c>
      <c r="G404" t="s">
        <v>27</v>
      </c>
      <c r="H404">
        <v>1</v>
      </c>
      <c r="I404" s="8">
        <v>0.39583333333333331</v>
      </c>
      <c r="J404" s="8">
        <v>0.4375</v>
      </c>
      <c r="K404" s="9">
        <f t="shared" si="6"/>
        <v>1.0000000000000004</v>
      </c>
      <c r="L404" t="s">
        <v>25</v>
      </c>
      <c r="M404" t="s">
        <v>29</v>
      </c>
      <c r="N404" t="s">
        <v>27</v>
      </c>
      <c r="O404" s="3">
        <v>0</v>
      </c>
      <c r="P404" s="4">
        <v>0</v>
      </c>
      <c r="Q404" s="5">
        <v>0</v>
      </c>
      <c r="R404" s="6">
        <v>0</v>
      </c>
      <c r="S404" s="3">
        <v>0</v>
      </c>
      <c r="T404" s="4">
        <v>0</v>
      </c>
      <c r="U404" s="5">
        <v>0</v>
      </c>
      <c r="V404" s="6">
        <v>0</v>
      </c>
    </row>
    <row r="405" spans="1:25" x14ac:dyDescent="0.3">
      <c r="A405" t="s">
        <v>25</v>
      </c>
      <c r="B405" s="7">
        <v>45184</v>
      </c>
      <c r="C405" t="s">
        <v>26</v>
      </c>
      <c r="D405">
        <v>6</v>
      </c>
      <c r="E405">
        <v>2</v>
      </c>
      <c r="F405">
        <v>2</v>
      </c>
      <c r="G405" t="s">
        <v>27</v>
      </c>
      <c r="H405">
        <v>1</v>
      </c>
      <c r="I405" s="8">
        <v>0.22916666666666666</v>
      </c>
      <c r="J405" s="8">
        <v>0.4375</v>
      </c>
      <c r="K405" s="9">
        <f t="shared" si="6"/>
        <v>5</v>
      </c>
      <c r="L405" t="s">
        <v>25</v>
      </c>
      <c r="M405" t="s">
        <v>56</v>
      </c>
      <c r="N405" t="s">
        <v>55</v>
      </c>
      <c r="O405" s="3">
        <v>0</v>
      </c>
      <c r="P405" s="4">
        <v>2</v>
      </c>
      <c r="Q405" s="5">
        <v>0</v>
      </c>
      <c r="R405" s="6">
        <v>0</v>
      </c>
      <c r="S405" s="3">
        <v>0</v>
      </c>
      <c r="T405" s="4">
        <v>1</v>
      </c>
      <c r="U405" s="5">
        <v>0</v>
      </c>
      <c r="V405" s="6">
        <v>0</v>
      </c>
      <c r="Y405" t="s">
        <v>176</v>
      </c>
    </row>
    <row r="406" spans="1:25" x14ac:dyDescent="0.3">
      <c r="A406" t="s">
        <v>25</v>
      </c>
      <c r="B406" s="7">
        <v>45184</v>
      </c>
      <c r="C406" t="s">
        <v>26</v>
      </c>
      <c r="D406">
        <v>7</v>
      </c>
      <c r="E406">
        <v>2</v>
      </c>
      <c r="F406">
        <v>2</v>
      </c>
      <c r="G406" t="s">
        <v>27</v>
      </c>
      <c r="H406">
        <v>2</v>
      </c>
      <c r="I406" s="8">
        <v>0.39583333333333331</v>
      </c>
      <c r="J406" s="8">
        <v>0.4375</v>
      </c>
      <c r="K406" s="9">
        <f t="shared" si="6"/>
        <v>2.0000000000000009</v>
      </c>
      <c r="L406" t="s">
        <v>25</v>
      </c>
      <c r="M406" t="s">
        <v>56</v>
      </c>
      <c r="N406" t="s">
        <v>27</v>
      </c>
      <c r="O406" s="3">
        <v>0</v>
      </c>
      <c r="P406" s="4">
        <v>0</v>
      </c>
      <c r="Q406" s="5">
        <v>0</v>
      </c>
      <c r="R406" s="6">
        <v>0</v>
      </c>
      <c r="S406" s="3">
        <v>0</v>
      </c>
      <c r="T406" s="4">
        <v>0</v>
      </c>
      <c r="U406" s="5">
        <v>0</v>
      </c>
      <c r="V406" s="6">
        <v>0</v>
      </c>
    </row>
    <row r="407" spans="1:25" x14ac:dyDescent="0.3">
      <c r="A407" t="s">
        <v>25</v>
      </c>
      <c r="B407" s="7">
        <v>45184</v>
      </c>
      <c r="C407" t="s">
        <v>26</v>
      </c>
      <c r="D407">
        <v>8</v>
      </c>
      <c r="E407">
        <v>2</v>
      </c>
      <c r="F407">
        <v>2</v>
      </c>
      <c r="G407" t="s">
        <v>27</v>
      </c>
      <c r="H407">
        <v>1</v>
      </c>
      <c r="I407" s="8">
        <v>0.25</v>
      </c>
      <c r="J407" s="8">
        <v>0.46319444444444446</v>
      </c>
      <c r="K407" s="9">
        <f t="shared" si="6"/>
        <v>5.1166666666666671</v>
      </c>
      <c r="L407" t="s">
        <v>28</v>
      </c>
      <c r="M407" t="s">
        <v>29</v>
      </c>
      <c r="N407" t="s">
        <v>32</v>
      </c>
      <c r="O407" s="3">
        <v>0</v>
      </c>
      <c r="P407" s="4">
        <v>0</v>
      </c>
      <c r="Q407" s="5">
        <v>0</v>
      </c>
      <c r="R407" s="6">
        <v>0</v>
      </c>
      <c r="S407" s="3">
        <v>0</v>
      </c>
      <c r="T407" s="4">
        <v>0</v>
      </c>
      <c r="U407" s="5">
        <v>0</v>
      </c>
      <c r="V407" s="6">
        <v>0</v>
      </c>
    </row>
    <row r="408" spans="1:25" x14ac:dyDescent="0.3">
      <c r="A408" t="s">
        <v>25</v>
      </c>
      <c r="B408" s="7">
        <v>45184</v>
      </c>
      <c r="C408" t="s">
        <v>26</v>
      </c>
      <c r="D408">
        <v>9</v>
      </c>
      <c r="E408">
        <v>2</v>
      </c>
      <c r="F408">
        <v>2</v>
      </c>
      <c r="G408" t="s">
        <v>27</v>
      </c>
      <c r="H408">
        <v>2</v>
      </c>
      <c r="I408" s="8">
        <v>0.35416666666666669</v>
      </c>
      <c r="J408" s="8">
        <v>0.46527777777777773</v>
      </c>
      <c r="K408" s="9">
        <f t="shared" si="6"/>
        <v>5.3333333333333304</v>
      </c>
      <c r="L408" t="s">
        <v>25</v>
      </c>
      <c r="M408" t="s">
        <v>56</v>
      </c>
      <c r="N408" t="s">
        <v>27</v>
      </c>
      <c r="O408" s="3">
        <v>0</v>
      </c>
      <c r="P408" s="4">
        <v>0</v>
      </c>
      <c r="Q408" s="5">
        <v>0</v>
      </c>
      <c r="R408" s="6">
        <v>0</v>
      </c>
      <c r="S408" s="3">
        <v>0</v>
      </c>
      <c r="T408" s="4">
        <v>0</v>
      </c>
      <c r="U408" s="5">
        <v>0</v>
      </c>
      <c r="V408" s="6">
        <v>0</v>
      </c>
    </row>
    <row r="409" spans="1:25" x14ac:dyDescent="0.3">
      <c r="A409" t="s">
        <v>25</v>
      </c>
      <c r="B409" s="7">
        <v>45184</v>
      </c>
      <c r="C409" t="s">
        <v>42</v>
      </c>
      <c r="D409">
        <v>10</v>
      </c>
      <c r="E409">
        <v>1</v>
      </c>
      <c r="F409">
        <v>2</v>
      </c>
      <c r="G409" t="s">
        <v>27</v>
      </c>
      <c r="H409">
        <v>1</v>
      </c>
      <c r="I409" s="8">
        <v>0.64583333333333337</v>
      </c>
      <c r="J409" s="8">
        <v>0.70833333333333337</v>
      </c>
      <c r="K409" s="9">
        <f t="shared" si="6"/>
        <v>1.5</v>
      </c>
      <c r="L409" t="s">
        <v>28</v>
      </c>
      <c r="M409" t="s">
        <v>29</v>
      </c>
      <c r="N409" t="s">
        <v>32</v>
      </c>
      <c r="O409" s="3">
        <v>0</v>
      </c>
      <c r="P409" s="4">
        <v>0</v>
      </c>
      <c r="Q409" s="5">
        <v>0</v>
      </c>
      <c r="R409" s="6">
        <v>0</v>
      </c>
      <c r="S409" s="3">
        <v>0</v>
      </c>
      <c r="T409" s="4">
        <v>0</v>
      </c>
      <c r="U409" s="5">
        <v>0</v>
      </c>
      <c r="V409" s="6">
        <v>0</v>
      </c>
    </row>
    <row r="410" spans="1:25" x14ac:dyDescent="0.3">
      <c r="A410" t="s">
        <v>25</v>
      </c>
      <c r="B410" s="7">
        <v>45184</v>
      </c>
      <c r="C410" t="s">
        <v>42</v>
      </c>
      <c r="D410">
        <v>11</v>
      </c>
      <c r="E410">
        <v>2</v>
      </c>
      <c r="F410">
        <v>2</v>
      </c>
      <c r="G410" t="s">
        <v>27</v>
      </c>
      <c r="H410">
        <v>1</v>
      </c>
      <c r="I410" s="8">
        <v>0.70833333333333337</v>
      </c>
      <c r="J410" s="8">
        <v>0.73958333333333337</v>
      </c>
      <c r="K410" s="9">
        <f t="shared" si="6"/>
        <v>0.75</v>
      </c>
      <c r="L410" t="s">
        <v>28</v>
      </c>
      <c r="M410" t="s">
        <v>99</v>
      </c>
      <c r="N410" t="s">
        <v>38</v>
      </c>
      <c r="O410" s="3">
        <v>0</v>
      </c>
      <c r="P410" s="4">
        <v>0</v>
      </c>
      <c r="Q410" s="5">
        <v>0</v>
      </c>
      <c r="R410" s="6">
        <v>0</v>
      </c>
      <c r="S410" s="3">
        <v>0</v>
      </c>
      <c r="T410" s="4">
        <v>0</v>
      </c>
      <c r="U410" s="5">
        <v>0</v>
      </c>
      <c r="V410" s="6">
        <v>0</v>
      </c>
    </row>
    <row r="411" spans="1:25" x14ac:dyDescent="0.3">
      <c r="A411" t="s">
        <v>25</v>
      </c>
      <c r="B411" s="7">
        <v>45184</v>
      </c>
      <c r="C411" t="s">
        <v>42</v>
      </c>
      <c r="D411">
        <v>12</v>
      </c>
      <c r="E411">
        <v>2</v>
      </c>
      <c r="F411">
        <v>2</v>
      </c>
      <c r="G411" t="s">
        <v>27</v>
      </c>
      <c r="H411">
        <v>1</v>
      </c>
      <c r="I411" s="8">
        <v>0.54166666666666663</v>
      </c>
      <c r="J411" s="8">
        <v>0.73958333333333337</v>
      </c>
      <c r="K411" s="9">
        <f t="shared" si="6"/>
        <v>4.7500000000000018</v>
      </c>
      <c r="L411" t="s">
        <v>25</v>
      </c>
      <c r="M411" t="s">
        <v>56</v>
      </c>
      <c r="N411" t="s">
        <v>27</v>
      </c>
      <c r="O411" s="3">
        <v>0</v>
      </c>
      <c r="P411" s="4">
        <v>0</v>
      </c>
      <c r="Q411" s="5">
        <v>0</v>
      </c>
      <c r="R411" s="6">
        <v>0</v>
      </c>
      <c r="S411" s="3">
        <v>0</v>
      </c>
      <c r="T411" s="4">
        <v>0</v>
      </c>
      <c r="U411" s="5">
        <v>0</v>
      </c>
      <c r="V411" s="6">
        <v>0</v>
      </c>
    </row>
    <row r="412" spans="1:25" x14ac:dyDescent="0.3">
      <c r="A412" t="s">
        <v>25</v>
      </c>
      <c r="B412" s="7">
        <v>45184</v>
      </c>
      <c r="C412" t="s">
        <v>42</v>
      </c>
      <c r="D412">
        <v>13</v>
      </c>
      <c r="E412">
        <v>2</v>
      </c>
      <c r="F412">
        <v>2</v>
      </c>
      <c r="G412" t="s">
        <v>35</v>
      </c>
      <c r="H412">
        <v>1</v>
      </c>
      <c r="I412" s="8">
        <v>0.41666666666666669</v>
      </c>
      <c r="J412" s="8">
        <v>0.72916666666666663</v>
      </c>
      <c r="K412" s="9">
        <f t="shared" si="6"/>
        <v>7.4999999999999982</v>
      </c>
      <c r="L412" t="s">
        <v>25</v>
      </c>
      <c r="M412" t="s">
        <v>29</v>
      </c>
      <c r="N412" t="s">
        <v>32</v>
      </c>
      <c r="O412" s="3">
        <v>0</v>
      </c>
      <c r="P412" s="4">
        <v>0</v>
      </c>
      <c r="Q412" s="5">
        <v>1</v>
      </c>
      <c r="R412" s="6">
        <v>0</v>
      </c>
      <c r="S412" s="3">
        <v>0</v>
      </c>
      <c r="T412" s="4">
        <v>0</v>
      </c>
      <c r="U412" s="5">
        <v>0</v>
      </c>
      <c r="V412" s="6">
        <v>0</v>
      </c>
      <c r="Y412" t="s">
        <v>100</v>
      </c>
    </row>
    <row r="413" spans="1:25" x14ac:dyDescent="0.3">
      <c r="A413" t="s">
        <v>25</v>
      </c>
      <c r="B413" s="7">
        <v>45184</v>
      </c>
      <c r="C413" t="s">
        <v>42</v>
      </c>
      <c r="D413">
        <v>14</v>
      </c>
      <c r="E413">
        <v>2</v>
      </c>
      <c r="F413">
        <v>4</v>
      </c>
      <c r="G413" t="s">
        <v>27</v>
      </c>
      <c r="H413">
        <v>1</v>
      </c>
      <c r="I413" s="8">
        <v>0.66666666666666663</v>
      </c>
      <c r="J413" s="8">
        <v>0.78125</v>
      </c>
      <c r="K413" s="9">
        <f t="shared" si="6"/>
        <v>2.7500000000000009</v>
      </c>
      <c r="L413" t="s">
        <v>25</v>
      </c>
      <c r="M413" t="s">
        <v>29</v>
      </c>
      <c r="N413" t="s">
        <v>27</v>
      </c>
      <c r="O413" s="3">
        <v>0</v>
      </c>
      <c r="P413" s="4">
        <v>0</v>
      </c>
      <c r="Q413" s="5">
        <v>0</v>
      </c>
      <c r="R413" s="6">
        <v>0</v>
      </c>
      <c r="S413" s="3">
        <v>0</v>
      </c>
      <c r="T413" s="4">
        <v>0</v>
      </c>
      <c r="U413" s="5">
        <v>0</v>
      </c>
      <c r="V413" s="6">
        <v>0</v>
      </c>
    </row>
    <row r="414" spans="1:25" x14ac:dyDescent="0.3">
      <c r="A414" t="s">
        <v>25</v>
      </c>
      <c r="B414" s="7">
        <v>45184</v>
      </c>
      <c r="C414" t="s">
        <v>42</v>
      </c>
      <c r="D414">
        <v>15</v>
      </c>
      <c r="E414">
        <v>2</v>
      </c>
      <c r="F414">
        <v>4</v>
      </c>
      <c r="G414" t="s">
        <v>27</v>
      </c>
      <c r="H414">
        <v>1</v>
      </c>
      <c r="I414" s="8">
        <v>0.77083333333333337</v>
      </c>
      <c r="J414" s="8">
        <v>0.78472222222222221</v>
      </c>
      <c r="K414" s="9">
        <f t="shared" si="6"/>
        <v>0.33333333333333215</v>
      </c>
      <c r="L414" t="s">
        <v>28</v>
      </c>
      <c r="M414" t="s">
        <v>29</v>
      </c>
      <c r="N414" t="s">
        <v>32</v>
      </c>
      <c r="O414" s="3">
        <v>0</v>
      </c>
      <c r="P414" s="4">
        <v>0</v>
      </c>
      <c r="Q414" s="5">
        <v>1</v>
      </c>
      <c r="R414" s="6">
        <v>0</v>
      </c>
      <c r="S414" s="3">
        <v>0</v>
      </c>
      <c r="T414" s="4">
        <v>0</v>
      </c>
      <c r="U414" s="5">
        <v>0</v>
      </c>
      <c r="V414" s="6">
        <v>0</v>
      </c>
    </row>
    <row r="415" spans="1:25" x14ac:dyDescent="0.3">
      <c r="A415" t="s">
        <v>25</v>
      </c>
      <c r="B415" s="7">
        <v>45184</v>
      </c>
      <c r="C415" t="s">
        <v>42</v>
      </c>
      <c r="D415">
        <v>16</v>
      </c>
      <c r="E415">
        <v>2</v>
      </c>
      <c r="F415">
        <v>4</v>
      </c>
      <c r="G415" t="s">
        <v>27</v>
      </c>
      <c r="H415">
        <v>2</v>
      </c>
      <c r="I415" s="8">
        <v>0.78125</v>
      </c>
      <c r="J415" s="8">
        <v>0.80069444444444438</v>
      </c>
      <c r="K415" s="9">
        <f t="shared" si="6"/>
        <v>0.93333333333333002</v>
      </c>
      <c r="L415" t="s">
        <v>25</v>
      </c>
      <c r="M415" t="s">
        <v>29</v>
      </c>
      <c r="N415" t="s">
        <v>50</v>
      </c>
      <c r="O415" s="3">
        <v>0</v>
      </c>
      <c r="P415" s="4">
        <v>0</v>
      </c>
      <c r="Q415" s="5">
        <v>0</v>
      </c>
      <c r="R415" s="6">
        <v>0</v>
      </c>
      <c r="S415" s="3">
        <v>0</v>
      </c>
      <c r="T415" s="4">
        <v>0</v>
      </c>
      <c r="U415" s="5">
        <v>0</v>
      </c>
      <c r="V415" s="6">
        <v>0</v>
      </c>
    </row>
    <row r="416" spans="1:25" x14ac:dyDescent="0.3">
      <c r="A416" t="s">
        <v>25</v>
      </c>
      <c r="B416" s="7">
        <v>45184</v>
      </c>
      <c r="C416" t="s">
        <v>42</v>
      </c>
      <c r="D416">
        <v>17</v>
      </c>
      <c r="E416">
        <v>2</v>
      </c>
      <c r="F416">
        <v>5</v>
      </c>
      <c r="G416" t="s">
        <v>27</v>
      </c>
      <c r="H416">
        <v>3</v>
      </c>
      <c r="I416" s="8">
        <v>0.70833333333333337</v>
      </c>
      <c r="J416" s="8">
        <v>0.82291666666666663</v>
      </c>
      <c r="K416" s="9">
        <f t="shared" si="6"/>
        <v>8.2499999999999947</v>
      </c>
      <c r="L416" t="s">
        <v>25</v>
      </c>
      <c r="M416" t="s">
        <v>29</v>
      </c>
      <c r="N416" t="s">
        <v>32</v>
      </c>
      <c r="O416" s="3">
        <v>0</v>
      </c>
      <c r="P416" s="4">
        <v>0</v>
      </c>
      <c r="Q416" s="5">
        <v>7</v>
      </c>
      <c r="R416" s="6">
        <v>0</v>
      </c>
      <c r="S416" s="3">
        <v>0</v>
      </c>
      <c r="T416" s="4">
        <v>0</v>
      </c>
      <c r="U416" s="5">
        <v>0</v>
      </c>
      <c r="V416" s="6">
        <v>0</v>
      </c>
    </row>
    <row r="417" spans="1:25" x14ac:dyDescent="0.3">
      <c r="A417" t="s">
        <v>25</v>
      </c>
      <c r="B417" s="7">
        <v>45184</v>
      </c>
      <c r="C417" t="s">
        <v>42</v>
      </c>
      <c r="D417">
        <v>18</v>
      </c>
      <c r="E417">
        <v>2</v>
      </c>
      <c r="F417">
        <v>5</v>
      </c>
      <c r="G417" t="s">
        <v>27</v>
      </c>
      <c r="H417">
        <v>2</v>
      </c>
      <c r="I417" s="8">
        <v>0.77083333333333337</v>
      </c>
      <c r="J417" s="8">
        <v>0.82291666666666663</v>
      </c>
      <c r="K417" s="9">
        <f t="shared" si="6"/>
        <v>2.4999999999999964</v>
      </c>
      <c r="L417" t="s">
        <v>25</v>
      </c>
      <c r="M417" t="s">
        <v>79</v>
      </c>
      <c r="N417" t="s">
        <v>50</v>
      </c>
      <c r="O417" s="3">
        <v>1</v>
      </c>
      <c r="P417" s="4">
        <v>0</v>
      </c>
      <c r="Q417" s="5">
        <v>0</v>
      </c>
      <c r="R417" s="6">
        <v>0</v>
      </c>
      <c r="S417" s="3">
        <v>0</v>
      </c>
      <c r="T417" s="4">
        <v>0</v>
      </c>
      <c r="U417" s="5">
        <v>0</v>
      </c>
      <c r="V417" s="6">
        <v>0</v>
      </c>
    </row>
    <row r="418" spans="1:25" x14ac:dyDescent="0.3">
      <c r="A418" t="s">
        <v>25</v>
      </c>
      <c r="B418" s="7">
        <v>45184</v>
      </c>
      <c r="C418" t="s">
        <v>42</v>
      </c>
      <c r="D418">
        <v>19</v>
      </c>
      <c r="E418">
        <v>2</v>
      </c>
      <c r="F418">
        <v>5</v>
      </c>
      <c r="G418" t="s">
        <v>27</v>
      </c>
      <c r="H418">
        <v>1</v>
      </c>
      <c r="I418" s="8">
        <v>0.75</v>
      </c>
      <c r="J418" s="8">
        <v>0.82777777777777783</v>
      </c>
      <c r="K418" s="9">
        <f t="shared" si="6"/>
        <v>1.866666666666668</v>
      </c>
      <c r="L418" t="s">
        <v>25</v>
      </c>
      <c r="M418" t="s">
        <v>56</v>
      </c>
      <c r="N418" t="s">
        <v>38</v>
      </c>
      <c r="O418" s="3">
        <v>0</v>
      </c>
      <c r="P418" s="4">
        <v>0</v>
      </c>
      <c r="Q418" s="5">
        <v>0</v>
      </c>
      <c r="R418" s="6">
        <v>0</v>
      </c>
      <c r="S418" s="3">
        <v>0</v>
      </c>
      <c r="T418" s="4">
        <v>0</v>
      </c>
      <c r="U418" s="5">
        <v>0</v>
      </c>
      <c r="V418" s="6">
        <v>0</v>
      </c>
      <c r="Y418" t="s">
        <v>164</v>
      </c>
    </row>
    <row r="419" spans="1:25" x14ac:dyDescent="0.3">
      <c r="A419" t="s">
        <v>25</v>
      </c>
      <c r="B419" s="7">
        <v>45185</v>
      </c>
      <c r="C419" t="s">
        <v>26</v>
      </c>
      <c r="D419">
        <v>1</v>
      </c>
      <c r="E419">
        <v>1</v>
      </c>
      <c r="F419">
        <v>2</v>
      </c>
      <c r="G419" t="s">
        <v>27</v>
      </c>
      <c r="H419">
        <v>2</v>
      </c>
      <c r="I419" s="8">
        <v>0.27083333333333331</v>
      </c>
      <c r="J419" s="8">
        <v>0.30763888888888891</v>
      </c>
      <c r="K419" s="9">
        <f t="shared" si="6"/>
        <v>1.7666666666666684</v>
      </c>
      <c r="L419" t="s">
        <v>25</v>
      </c>
      <c r="M419" t="s">
        <v>29</v>
      </c>
      <c r="N419" t="s">
        <v>38</v>
      </c>
      <c r="O419" s="3">
        <v>0</v>
      </c>
      <c r="P419" s="4">
        <v>0</v>
      </c>
      <c r="Q419" s="5">
        <v>0</v>
      </c>
      <c r="R419" s="6">
        <v>0</v>
      </c>
      <c r="S419" s="3">
        <v>0</v>
      </c>
      <c r="T419" s="4">
        <v>0</v>
      </c>
      <c r="U419" s="5">
        <v>2</v>
      </c>
      <c r="V419" s="6">
        <v>0</v>
      </c>
    </row>
    <row r="420" spans="1:25" x14ac:dyDescent="0.3">
      <c r="A420" t="s">
        <v>25</v>
      </c>
      <c r="B420" s="7">
        <v>45185</v>
      </c>
      <c r="C420" t="s">
        <v>26</v>
      </c>
      <c r="D420">
        <v>2</v>
      </c>
      <c r="E420">
        <v>1</v>
      </c>
      <c r="F420">
        <v>2</v>
      </c>
      <c r="G420" t="s">
        <v>27</v>
      </c>
      <c r="H420">
        <v>3</v>
      </c>
      <c r="I420" s="8">
        <v>0.25</v>
      </c>
      <c r="J420" s="8">
        <v>0.3125</v>
      </c>
      <c r="K420" s="9">
        <f t="shared" si="6"/>
        <v>4.5</v>
      </c>
      <c r="L420" t="s">
        <v>28</v>
      </c>
      <c r="M420" t="s">
        <v>99</v>
      </c>
      <c r="N420" t="s">
        <v>38</v>
      </c>
      <c r="O420" s="3">
        <v>0</v>
      </c>
      <c r="P420" s="4">
        <v>5</v>
      </c>
      <c r="Q420" s="5">
        <v>0</v>
      </c>
      <c r="R420" s="6">
        <v>0</v>
      </c>
      <c r="S420" s="3">
        <v>0</v>
      </c>
      <c r="T420" s="4">
        <v>0</v>
      </c>
      <c r="U420" s="5">
        <v>1</v>
      </c>
      <c r="V420" s="6">
        <v>0</v>
      </c>
    </row>
    <row r="421" spans="1:25" x14ac:dyDescent="0.3">
      <c r="A421" t="s">
        <v>25</v>
      </c>
      <c r="B421" s="7">
        <v>45185</v>
      </c>
      <c r="C421" t="s">
        <v>26</v>
      </c>
      <c r="D421">
        <v>3</v>
      </c>
      <c r="E421">
        <v>1</v>
      </c>
      <c r="F421">
        <v>2</v>
      </c>
      <c r="G421" t="s">
        <v>27</v>
      </c>
      <c r="H421">
        <v>1</v>
      </c>
      <c r="I421" s="8">
        <v>0.25</v>
      </c>
      <c r="J421" s="8">
        <v>0.31597222222222221</v>
      </c>
      <c r="K421" s="9">
        <f t="shared" si="6"/>
        <v>1.583333333333333</v>
      </c>
      <c r="L421" t="s">
        <v>28</v>
      </c>
      <c r="M421" t="s">
        <v>73</v>
      </c>
      <c r="N421" t="s">
        <v>27</v>
      </c>
      <c r="O421" s="3">
        <v>0</v>
      </c>
      <c r="P421" s="4">
        <v>1</v>
      </c>
      <c r="Q421" s="5">
        <v>0</v>
      </c>
      <c r="R421" s="6">
        <v>0</v>
      </c>
      <c r="S421" s="3">
        <v>0</v>
      </c>
      <c r="T421" s="4">
        <v>0</v>
      </c>
      <c r="U421" s="5">
        <v>1</v>
      </c>
      <c r="V421" s="6">
        <v>0</v>
      </c>
    </row>
    <row r="422" spans="1:25" x14ac:dyDescent="0.3">
      <c r="A422" t="s">
        <v>25</v>
      </c>
      <c r="B422" s="7">
        <v>45185</v>
      </c>
      <c r="C422" t="s">
        <v>26</v>
      </c>
      <c r="D422">
        <v>4</v>
      </c>
      <c r="E422">
        <v>1</v>
      </c>
      <c r="F422">
        <v>3</v>
      </c>
      <c r="G422" t="s">
        <v>27</v>
      </c>
      <c r="H422">
        <v>1</v>
      </c>
      <c r="I422" s="8">
        <v>0.20833333333333334</v>
      </c>
      <c r="J422" s="8">
        <v>0.32500000000000001</v>
      </c>
      <c r="K422" s="9">
        <f t="shared" si="6"/>
        <v>2.8</v>
      </c>
      <c r="L422" t="s">
        <v>28</v>
      </c>
      <c r="M422" t="s">
        <v>29</v>
      </c>
      <c r="N422" t="s">
        <v>32</v>
      </c>
      <c r="O422" s="3">
        <v>0</v>
      </c>
      <c r="P422" s="4">
        <v>0</v>
      </c>
      <c r="Q422" s="5">
        <v>3</v>
      </c>
      <c r="R422" s="6">
        <v>0</v>
      </c>
      <c r="S422" s="3">
        <v>0</v>
      </c>
      <c r="T422" s="4">
        <v>0</v>
      </c>
      <c r="U422" s="5">
        <v>0</v>
      </c>
      <c r="V422" s="6">
        <v>0</v>
      </c>
    </row>
    <row r="423" spans="1:25" x14ac:dyDescent="0.3">
      <c r="A423" t="s">
        <v>25</v>
      </c>
      <c r="B423" s="7">
        <v>45185</v>
      </c>
      <c r="C423" t="s">
        <v>26</v>
      </c>
      <c r="D423">
        <v>5</v>
      </c>
      <c r="E423">
        <v>1</v>
      </c>
      <c r="F423">
        <v>4</v>
      </c>
      <c r="G423" t="s">
        <v>27</v>
      </c>
      <c r="H423">
        <v>3</v>
      </c>
      <c r="I423" s="8">
        <v>0.29166666666666669</v>
      </c>
      <c r="J423" s="8">
        <v>0.33333333333333331</v>
      </c>
      <c r="K423" s="9">
        <f t="shared" si="6"/>
        <v>2.9999999999999973</v>
      </c>
      <c r="L423" t="s">
        <v>28</v>
      </c>
      <c r="M423" t="s">
        <v>29</v>
      </c>
      <c r="N423" t="s">
        <v>32</v>
      </c>
      <c r="O423" s="3">
        <v>0</v>
      </c>
      <c r="P423" s="4">
        <v>0</v>
      </c>
      <c r="Q423" s="5">
        <v>2</v>
      </c>
      <c r="R423" s="6">
        <v>0</v>
      </c>
      <c r="S423" s="3">
        <v>0</v>
      </c>
      <c r="T423" s="4">
        <v>0</v>
      </c>
      <c r="U423" s="5">
        <v>0</v>
      </c>
      <c r="V423" s="6">
        <v>0</v>
      </c>
    </row>
    <row r="424" spans="1:25" x14ac:dyDescent="0.3">
      <c r="A424" t="s">
        <v>25</v>
      </c>
      <c r="B424" s="7">
        <v>45185</v>
      </c>
      <c r="C424" t="s">
        <v>26</v>
      </c>
      <c r="D424">
        <v>6</v>
      </c>
      <c r="E424">
        <v>2</v>
      </c>
      <c r="F424">
        <v>1</v>
      </c>
      <c r="G424" t="s">
        <v>27</v>
      </c>
      <c r="H424">
        <v>2</v>
      </c>
      <c r="I424" s="8">
        <v>0.3125</v>
      </c>
      <c r="J424" s="8">
        <v>0.34027777777777773</v>
      </c>
      <c r="K424" s="9">
        <f t="shared" si="6"/>
        <v>1.3333333333333313</v>
      </c>
      <c r="L424" t="s">
        <v>28</v>
      </c>
      <c r="M424" t="s">
        <v>73</v>
      </c>
      <c r="N424" t="s">
        <v>27</v>
      </c>
      <c r="O424" s="3">
        <v>0</v>
      </c>
      <c r="P424" s="4">
        <v>1</v>
      </c>
      <c r="Q424" s="5">
        <v>0</v>
      </c>
      <c r="R424" s="6">
        <v>0</v>
      </c>
      <c r="S424" s="3">
        <v>0</v>
      </c>
      <c r="T424" s="4">
        <v>0</v>
      </c>
      <c r="U424" s="5">
        <v>0</v>
      </c>
      <c r="V424" s="6">
        <v>0</v>
      </c>
    </row>
    <row r="425" spans="1:25" x14ac:dyDescent="0.3">
      <c r="A425" t="s">
        <v>25</v>
      </c>
      <c r="B425" s="7">
        <v>45185</v>
      </c>
      <c r="C425" t="s">
        <v>26</v>
      </c>
      <c r="D425">
        <v>7</v>
      </c>
      <c r="E425">
        <v>2</v>
      </c>
      <c r="F425">
        <v>1</v>
      </c>
      <c r="G425" t="s">
        <v>27</v>
      </c>
      <c r="H425">
        <v>1</v>
      </c>
      <c r="I425" s="8">
        <v>0.32291666666666669</v>
      </c>
      <c r="J425" s="8">
        <v>0.34027777777777773</v>
      </c>
      <c r="K425" s="9">
        <f t="shared" si="6"/>
        <v>0.41666666666666519</v>
      </c>
      <c r="L425" t="s">
        <v>28</v>
      </c>
      <c r="M425" t="s">
        <v>29</v>
      </c>
      <c r="N425" t="s">
        <v>38</v>
      </c>
      <c r="O425" s="3">
        <v>0</v>
      </c>
      <c r="P425" s="4">
        <v>0</v>
      </c>
      <c r="Q425" s="5">
        <v>0</v>
      </c>
      <c r="R425" s="6">
        <v>0</v>
      </c>
      <c r="S425" s="3">
        <v>0</v>
      </c>
      <c r="T425" s="4">
        <v>0</v>
      </c>
      <c r="U425" s="5">
        <v>1</v>
      </c>
      <c r="V425" s="6">
        <v>0</v>
      </c>
    </row>
    <row r="426" spans="1:25" x14ac:dyDescent="0.3">
      <c r="A426" t="s">
        <v>25</v>
      </c>
      <c r="B426" s="7">
        <v>45185</v>
      </c>
      <c r="C426" t="s">
        <v>26</v>
      </c>
      <c r="D426">
        <v>8</v>
      </c>
      <c r="E426">
        <v>2</v>
      </c>
      <c r="F426">
        <v>2</v>
      </c>
      <c r="G426" t="s">
        <v>27</v>
      </c>
      <c r="H426">
        <v>3</v>
      </c>
      <c r="I426" s="8">
        <v>0.33333333333333331</v>
      </c>
      <c r="J426" s="8">
        <v>0.35416666666666669</v>
      </c>
      <c r="K426" s="9">
        <f t="shared" si="6"/>
        <v>1.5000000000000027</v>
      </c>
      <c r="L426" t="s">
        <v>28</v>
      </c>
      <c r="M426" t="s">
        <v>29</v>
      </c>
      <c r="N426" t="s">
        <v>27</v>
      </c>
      <c r="O426" s="3">
        <v>0</v>
      </c>
      <c r="P426" s="4">
        <v>0</v>
      </c>
      <c r="Q426" s="5">
        <v>1</v>
      </c>
      <c r="R426" s="6">
        <v>0</v>
      </c>
      <c r="S426" s="3">
        <v>0</v>
      </c>
      <c r="T426" s="4">
        <v>0</v>
      </c>
      <c r="U426" s="5">
        <v>0</v>
      </c>
      <c r="V426" s="6">
        <v>0</v>
      </c>
    </row>
    <row r="427" spans="1:25" x14ac:dyDescent="0.3">
      <c r="A427" t="s">
        <v>25</v>
      </c>
      <c r="B427" s="7">
        <v>45185</v>
      </c>
      <c r="C427" t="s">
        <v>26</v>
      </c>
      <c r="D427">
        <v>9</v>
      </c>
      <c r="E427">
        <v>2</v>
      </c>
      <c r="F427">
        <v>2</v>
      </c>
      <c r="G427" t="s">
        <v>27</v>
      </c>
      <c r="H427">
        <v>1</v>
      </c>
      <c r="I427" s="8">
        <v>0.27083333333333331</v>
      </c>
      <c r="J427" s="8">
        <v>0.35416666666666669</v>
      </c>
      <c r="K427" s="9">
        <f t="shared" si="6"/>
        <v>2.0000000000000009</v>
      </c>
      <c r="L427" t="s">
        <v>28</v>
      </c>
      <c r="M427" t="s">
        <v>99</v>
      </c>
      <c r="N427" t="s">
        <v>38</v>
      </c>
      <c r="O427" s="3">
        <v>0</v>
      </c>
      <c r="P427" s="4">
        <v>1</v>
      </c>
      <c r="Q427" s="5">
        <v>0</v>
      </c>
      <c r="R427" s="6">
        <v>0</v>
      </c>
      <c r="S427" s="3">
        <v>0</v>
      </c>
      <c r="T427" s="4">
        <v>0</v>
      </c>
      <c r="U427" s="5">
        <v>0</v>
      </c>
      <c r="V427" s="6">
        <v>0</v>
      </c>
    </row>
    <row r="428" spans="1:25" x14ac:dyDescent="0.3">
      <c r="A428" t="s">
        <v>25</v>
      </c>
      <c r="B428" s="7">
        <v>45185</v>
      </c>
      <c r="C428" t="s">
        <v>26</v>
      </c>
      <c r="D428">
        <v>10</v>
      </c>
      <c r="E428">
        <v>3</v>
      </c>
      <c r="F428">
        <v>1</v>
      </c>
      <c r="G428" t="s">
        <v>27</v>
      </c>
      <c r="H428">
        <v>2</v>
      </c>
      <c r="I428" s="8">
        <v>0.39583333333333331</v>
      </c>
      <c r="J428" s="8">
        <v>0.42708333333333331</v>
      </c>
      <c r="K428" s="9">
        <f t="shared" si="6"/>
        <v>1.5</v>
      </c>
      <c r="L428" t="s">
        <v>28</v>
      </c>
      <c r="M428" t="s">
        <v>29</v>
      </c>
      <c r="N428" t="s">
        <v>32</v>
      </c>
      <c r="O428" s="3">
        <v>0</v>
      </c>
      <c r="P428" s="4">
        <v>0</v>
      </c>
      <c r="Q428" s="5">
        <v>0</v>
      </c>
      <c r="R428" s="6">
        <v>0</v>
      </c>
      <c r="S428" s="3">
        <v>0</v>
      </c>
      <c r="T428" s="4">
        <v>0</v>
      </c>
      <c r="U428" s="5">
        <v>0</v>
      </c>
      <c r="V428" s="6">
        <v>0</v>
      </c>
    </row>
    <row r="429" spans="1:25" x14ac:dyDescent="0.3">
      <c r="A429" t="s">
        <v>25</v>
      </c>
      <c r="B429" s="7">
        <v>45185</v>
      </c>
      <c r="C429" t="s">
        <v>26</v>
      </c>
      <c r="D429">
        <v>11</v>
      </c>
      <c r="E429">
        <v>3</v>
      </c>
      <c r="F429">
        <v>2</v>
      </c>
      <c r="G429" t="s">
        <v>27</v>
      </c>
      <c r="H429">
        <v>1</v>
      </c>
      <c r="I429" s="8">
        <v>0.29166666666666669</v>
      </c>
      <c r="J429" s="8">
        <v>0.44791666666666669</v>
      </c>
      <c r="K429" s="9">
        <f t="shared" si="6"/>
        <v>3.75</v>
      </c>
      <c r="L429" t="s">
        <v>25</v>
      </c>
      <c r="M429" t="s">
        <v>125</v>
      </c>
      <c r="N429" t="s">
        <v>27</v>
      </c>
      <c r="O429" s="3">
        <v>0</v>
      </c>
      <c r="P429" s="4">
        <v>0</v>
      </c>
      <c r="Q429" s="5">
        <v>2</v>
      </c>
      <c r="R429" s="6">
        <v>0</v>
      </c>
      <c r="S429" s="3">
        <v>0</v>
      </c>
      <c r="T429" s="4">
        <v>0</v>
      </c>
      <c r="U429" s="5">
        <v>8</v>
      </c>
      <c r="V429" s="6">
        <v>0</v>
      </c>
    </row>
    <row r="430" spans="1:25" x14ac:dyDescent="0.3">
      <c r="A430" t="s">
        <v>25</v>
      </c>
      <c r="B430" s="7">
        <v>45185</v>
      </c>
      <c r="C430" t="s">
        <v>26</v>
      </c>
      <c r="D430">
        <v>12</v>
      </c>
      <c r="E430">
        <v>3</v>
      </c>
      <c r="F430">
        <v>2</v>
      </c>
      <c r="G430" t="s">
        <v>27</v>
      </c>
      <c r="H430">
        <v>2</v>
      </c>
      <c r="I430" s="8">
        <v>0.4375</v>
      </c>
      <c r="J430" s="8">
        <v>0.46458333333333335</v>
      </c>
      <c r="K430" s="9">
        <f t="shared" si="6"/>
        <v>1.3000000000000007</v>
      </c>
      <c r="L430" t="s">
        <v>28</v>
      </c>
      <c r="M430" t="s">
        <v>29</v>
      </c>
      <c r="N430" t="s">
        <v>27</v>
      </c>
      <c r="O430" s="3">
        <v>0</v>
      </c>
      <c r="P430" s="4">
        <v>0</v>
      </c>
      <c r="Q430" s="5">
        <v>0</v>
      </c>
      <c r="R430" s="6">
        <v>0</v>
      </c>
      <c r="S430" s="3">
        <v>0</v>
      </c>
      <c r="T430" s="4">
        <v>0</v>
      </c>
      <c r="U430" s="5">
        <v>1</v>
      </c>
      <c r="V430" s="6">
        <v>0</v>
      </c>
    </row>
    <row r="431" spans="1:25" x14ac:dyDescent="0.3">
      <c r="A431" t="s">
        <v>25</v>
      </c>
      <c r="B431" s="7">
        <v>45185</v>
      </c>
      <c r="C431" t="s">
        <v>26</v>
      </c>
      <c r="D431">
        <v>13</v>
      </c>
      <c r="E431">
        <v>3</v>
      </c>
      <c r="F431">
        <v>5</v>
      </c>
      <c r="G431" t="s">
        <v>27</v>
      </c>
      <c r="H431">
        <v>3</v>
      </c>
      <c r="I431" s="8">
        <v>0.27083333333333331</v>
      </c>
      <c r="J431" s="8">
        <v>0.4861111111111111</v>
      </c>
      <c r="K431" s="9">
        <f t="shared" si="6"/>
        <v>15.5</v>
      </c>
      <c r="L431" t="s">
        <v>25</v>
      </c>
      <c r="M431" t="s">
        <v>51</v>
      </c>
      <c r="N431" t="s">
        <v>27</v>
      </c>
      <c r="O431" s="3">
        <v>0</v>
      </c>
      <c r="P431" s="4">
        <v>0</v>
      </c>
      <c r="Q431" s="5">
        <v>3</v>
      </c>
      <c r="R431" s="6">
        <v>0</v>
      </c>
      <c r="S431" s="3">
        <v>0</v>
      </c>
      <c r="T431" s="4">
        <v>0</v>
      </c>
      <c r="U431" s="5">
        <v>6</v>
      </c>
      <c r="V431" s="6">
        <v>0</v>
      </c>
    </row>
    <row r="432" spans="1:25" x14ac:dyDescent="0.3">
      <c r="A432" t="s">
        <v>25</v>
      </c>
      <c r="B432" s="7">
        <v>45185</v>
      </c>
      <c r="C432" t="s">
        <v>26</v>
      </c>
      <c r="D432">
        <v>14</v>
      </c>
      <c r="E432">
        <v>3</v>
      </c>
      <c r="F432">
        <v>5</v>
      </c>
      <c r="G432" t="s">
        <v>27</v>
      </c>
      <c r="H432">
        <v>4</v>
      </c>
      <c r="I432" s="8">
        <v>0.41666666666666669</v>
      </c>
      <c r="J432" s="8">
        <v>0.5</v>
      </c>
      <c r="K432" s="9">
        <f t="shared" si="6"/>
        <v>7.9999999999999982</v>
      </c>
      <c r="L432" t="s">
        <v>25</v>
      </c>
      <c r="M432" t="s">
        <v>29</v>
      </c>
      <c r="N432" t="s">
        <v>27</v>
      </c>
      <c r="O432" s="3">
        <v>0</v>
      </c>
      <c r="P432" s="4">
        <v>0</v>
      </c>
      <c r="Q432" s="5">
        <v>6</v>
      </c>
      <c r="R432" s="6">
        <v>0</v>
      </c>
      <c r="S432" s="3">
        <v>0</v>
      </c>
      <c r="T432" s="4">
        <v>0</v>
      </c>
      <c r="U432" s="5">
        <v>2</v>
      </c>
      <c r="V432" s="6">
        <v>0</v>
      </c>
    </row>
    <row r="433" spans="1:25" x14ac:dyDescent="0.3">
      <c r="A433" t="s">
        <v>25</v>
      </c>
      <c r="B433" s="7">
        <v>45185</v>
      </c>
      <c r="C433" t="s">
        <v>26</v>
      </c>
      <c r="D433">
        <v>15</v>
      </c>
      <c r="E433">
        <v>3</v>
      </c>
      <c r="F433">
        <v>6</v>
      </c>
      <c r="G433" t="s">
        <v>27</v>
      </c>
      <c r="H433">
        <v>1</v>
      </c>
      <c r="I433" s="8">
        <v>0.43055555555555558</v>
      </c>
      <c r="J433" s="8">
        <v>0.51388888888888895</v>
      </c>
      <c r="K433" s="9">
        <f t="shared" si="6"/>
        <v>2.0000000000000009</v>
      </c>
      <c r="L433" t="s">
        <v>25</v>
      </c>
      <c r="M433" t="s">
        <v>29</v>
      </c>
      <c r="N433" t="s">
        <v>38</v>
      </c>
      <c r="O433" s="3">
        <v>0</v>
      </c>
      <c r="P433" s="4">
        <v>0</v>
      </c>
      <c r="Q433" s="5">
        <v>0</v>
      </c>
      <c r="R433" s="6">
        <v>0</v>
      </c>
      <c r="S433" s="3">
        <v>0</v>
      </c>
      <c r="T433" s="4">
        <v>0</v>
      </c>
      <c r="U433" s="5">
        <v>0</v>
      </c>
      <c r="V433" s="6">
        <v>0</v>
      </c>
    </row>
    <row r="434" spans="1:25" x14ac:dyDescent="0.3">
      <c r="A434" t="s">
        <v>25</v>
      </c>
      <c r="B434" s="7">
        <v>45185</v>
      </c>
      <c r="C434" t="s">
        <v>26</v>
      </c>
      <c r="D434">
        <v>16</v>
      </c>
      <c r="E434">
        <v>3</v>
      </c>
      <c r="F434">
        <v>7</v>
      </c>
      <c r="G434" t="s">
        <v>27</v>
      </c>
      <c r="H434">
        <v>2</v>
      </c>
      <c r="I434" s="8">
        <v>0.27083333333333331</v>
      </c>
      <c r="J434" s="8">
        <v>0.52222222222222225</v>
      </c>
      <c r="K434" s="9">
        <f t="shared" si="6"/>
        <v>12.06666666666667</v>
      </c>
      <c r="L434" t="s">
        <v>25</v>
      </c>
      <c r="M434" t="s">
        <v>51</v>
      </c>
      <c r="N434" t="s">
        <v>27</v>
      </c>
      <c r="O434" s="3">
        <v>0</v>
      </c>
      <c r="P434" s="4">
        <v>0</v>
      </c>
      <c r="Q434" s="5">
        <v>3</v>
      </c>
      <c r="R434" s="6">
        <v>0</v>
      </c>
      <c r="S434" s="3">
        <v>0</v>
      </c>
      <c r="T434" s="4">
        <v>0</v>
      </c>
      <c r="U434" s="5">
        <v>3</v>
      </c>
      <c r="V434" s="6">
        <v>0</v>
      </c>
    </row>
    <row r="435" spans="1:25" x14ac:dyDescent="0.3">
      <c r="A435" t="s">
        <v>25</v>
      </c>
      <c r="B435" s="7">
        <v>45185</v>
      </c>
      <c r="C435" t="s">
        <v>42</v>
      </c>
      <c r="D435">
        <v>17</v>
      </c>
      <c r="E435">
        <v>1</v>
      </c>
      <c r="F435">
        <v>1</v>
      </c>
      <c r="G435" t="s">
        <v>35</v>
      </c>
      <c r="H435">
        <v>2</v>
      </c>
      <c r="I435" s="8">
        <v>0.4375</v>
      </c>
      <c r="J435" s="8">
        <v>0.70833333333333337</v>
      </c>
      <c r="K435" s="9">
        <f t="shared" si="6"/>
        <v>13.000000000000002</v>
      </c>
      <c r="L435" t="s">
        <v>25</v>
      </c>
      <c r="M435" t="s">
        <v>162</v>
      </c>
      <c r="N435" t="s">
        <v>146</v>
      </c>
      <c r="O435" s="3">
        <v>0</v>
      </c>
      <c r="P435" s="4">
        <v>5</v>
      </c>
      <c r="Q435" s="5">
        <v>0</v>
      </c>
      <c r="R435" s="6">
        <v>0</v>
      </c>
      <c r="S435" s="3">
        <v>0</v>
      </c>
      <c r="T435" s="4">
        <v>0</v>
      </c>
      <c r="U435" s="5">
        <v>0</v>
      </c>
      <c r="V435" s="6">
        <v>0</v>
      </c>
    </row>
    <row r="436" spans="1:25" x14ac:dyDescent="0.3">
      <c r="A436" t="s">
        <v>25</v>
      </c>
      <c r="B436" s="7">
        <v>45185</v>
      </c>
      <c r="C436" t="s">
        <v>42</v>
      </c>
      <c r="D436">
        <v>18</v>
      </c>
      <c r="E436">
        <v>1</v>
      </c>
      <c r="F436">
        <v>1</v>
      </c>
      <c r="G436" t="s">
        <v>35</v>
      </c>
      <c r="H436">
        <v>4</v>
      </c>
      <c r="I436" s="8">
        <v>0.54166666666666663</v>
      </c>
      <c r="J436" s="8">
        <v>0.74305555555555547</v>
      </c>
      <c r="K436" s="9">
        <f t="shared" si="6"/>
        <v>19.333333333333329</v>
      </c>
      <c r="L436" t="s">
        <v>25</v>
      </c>
      <c r="M436" t="s">
        <v>29</v>
      </c>
      <c r="N436" t="s">
        <v>32</v>
      </c>
      <c r="O436" s="3">
        <v>0</v>
      </c>
      <c r="P436" s="4">
        <v>0</v>
      </c>
      <c r="Q436" s="5">
        <v>0</v>
      </c>
      <c r="R436" s="6">
        <v>0</v>
      </c>
      <c r="S436" s="3">
        <v>0</v>
      </c>
      <c r="T436" s="4">
        <v>0</v>
      </c>
      <c r="U436" s="5">
        <v>0</v>
      </c>
      <c r="V436" s="6">
        <v>0</v>
      </c>
    </row>
    <row r="437" spans="1:25" x14ac:dyDescent="0.3">
      <c r="A437" t="s">
        <v>25</v>
      </c>
      <c r="B437" s="7">
        <v>45185</v>
      </c>
      <c r="C437" t="s">
        <v>42</v>
      </c>
      <c r="D437">
        <v>19</v>
      </c>
      <c r="E437">
        <v>1</v>
      </c>
      <c r="F437">
        <v>1</v>
      </c>
      <c r="G437" t="s">
        <v>35</v>
      </c>
      <c r="H437">
        <v>4</v>
      </c>
      <c r="I437" s="8">
        <v>0.29166666666666669</v>
      </c>
      <c r="J437" s="8">
        <v>0.75416666666666676</v>
      </c>
      <c r="K437" s="9">
        <f t="shared" si="6"/>
        <v>44.400000000000006</v>
      </c>
      <c r="L437" t="s">
        <v>25</v>
      </c>
      <c r="M437" t="s">
        <v>29</v>
      </c>
      <c r="N437" t="s">
        <v>27</v>
      </c>
      <c r="O437" s="3">
        <v>0</v>
      </c>
      <c r="P437" s="4">
        <v>0</v>
      </c>
      <c r="Q437" s="5">
        <v>15</v>
      </c>
      <c r="R437" s="6">
        <v>0</v>
      </c>
      <c r="S437" s="3">
        <v>0</v>
      </c>
      <c r="T437" s="4">
        <v>0</v>
      </c>
      <c r="U437" s="5">
        <v>7</v>
      </c>
      <c r="V437" s="6">
        <v>0</v>
      </c>
    </row>
    <row r="438" spans="1:25" x14ac:dyDescent="0.3">
      <c r="A438" t="s">
        <v>25</v>
      </c>
      <c r="B438" s="7">
        <v>45185</v>
      </c>
      <c r="C438" t="s">
        <v>42</v>
      </c>
      <c r="D438">
        <v>20</v>
      </c>
      <c r="E438">
        <v>1</v>
      </c>
      <c r="F438">
        <v>1</v>
      </c>
      <c r="G438" t="s">
        <v>35</v>
      </c>
      <c r="H438">
        <v>1</v>
      </c>
      <c r="I438" s="8">
        <v>0.5625</v>
      </c>
      <c r="J438" s="8">
        <v>0.6875</v>
      </c>
      <c r="K438" s="9">
        <f t="shared" si="6"/>
        <v>3</v>
      </c>
      <c r="L438" t="s">
        <v>25</v>
      </c>
      <c r="M438" t="s">
        <v>101</v>
      </c>
      <c r="N438" t="s">
        <v>38</v>
      </c>
      <c r="O438" s="3">
        <v>0</v>
      </c>
      <c r="P438" s="4">
        <v>3</v>
      </c>
      <c r="Q438" s="5">
        <v>0</v>
      </c>
      <c r="R438" s="6">
        <v>0</v>
      </c>
      <c r="S438" s="3">
        <v>0</v>
      </c>
      <c r="T438" s="4">
        <v>2</v>
      </c>
      <c r="U438" s="5">
        <v>0</v>
      </c>
      <c r="V438" s="6">
        <v>0</v>
      </c>
    </row>
    <row r="439" spans="1:25" x14ac:dyDescent="0.3">
      <c r="A439" t="s">
        <v>25</v>
      </c>
      <c r="B439" s="7">
        <v>45185</v>
      </c>
      <c r="C439" t="s">
        <v>42</v>
      </c>
      <c r="D439">
        <v>21</v>
      </c>
      <c r="E439">
        <v>1</v>
      </c>
      <c r="F439">
        <v>1</v>
      </c>
      <c r="G439" t="s">
        <v>35</v>
      </c>
      <c r="H439">
        <v>2</v>
      </c>
      <c r="I439" s="8">
        <v>0.54166666666666663</v>
      </c>
      <c r="J439" s="8">
        <v>0.6875</v>
      </c>
      <c r="K439" s="9">
        <f t="shared" si="6"/>
        <v>7.0000000000000018</v>
      </c>
      <c r="L439" t="s">
        <v>25</v>
      </c>
      <c r="M439" t="s">
        <v>162</v>
      </c>
      <c r="N439" t="s">
        <v>38</v>
      </c>
      <c r="O439" s="3">
        <v>0</v>
      </c>
      <c r="P439" s="4">
        <v>2</v>
      </c>
      <c r="Q439" s="5">
        <v>3</v>
      </c>
      <c r="R439" s="6">
        <v>0</v>
      </c>
      <c r="S439" s="3">
        <v>0</v>
      </c>
      <c r="T439" s="4">
        <v>0</v>
      </c>
      <c r="U439" s="5">
        <v>0</v>
      </c>
      <c r="V439" s="6">
        <v>0</v>
      </c>
    </row>
    <row r="440" spans="1:25" x14ac:dyDescent="0.3">
      <c r="A440" t="s">
        <v>25</v>
      </c>
      <c r="B440" s="7">
        <v>45185</v>
      </c>
      <c r="C440" t="s">
        <v>42</v>
      </c>
      <c r="D440">
        <v>22</v>
      </c>
      <c r="E440">
        <v>1</v>
      </c>
      <c r="F440">
        <v>1</v>
      </c>
      <c r="G440" t="s">
        <v>35</v>
      </c>
      <c r="H440">
        <v>2</v>
      </c>
      <c r="I440" s="8">
        <v>0.64583333333333337</v>
      </c>
      <c r="J440" s="8">
        <v>0.6875</v>
      </c>
      <c r="K440" s="9">
        <f t="shared" si="6"/>
        <v>1.9999999999999982</v>
      </c>
      <c r="L440" t="s">
        <v>25</v>
      </c>
      <c r="M440" t="s">
        <v>29</v>
      </c>
      <c r="N440" t="s">
        <v>32</v>
      </c>
      <c r="O440" s="3">
        <v>0</v>
      </c>
      <c r="P440" s="4">
        <v>0</v>
      </c>
      <c r="Q440" s="5">
        <v>1</v>
      </c>
      <c r="R440" s="6">
        <v>0</v>
      </c>
      <c r="S440" s="3">
        <v>0</v>
      </c>
      <c r="T440" s="4">
        <v>0</v>
      </c>
      <c r="U440" s="5">
        <v>0</v>
      </c>
      <c r="V440" s="6">
        <v>0</v>
      </c>
    </row>
    <row r="441" spans="1:25" x14ac:dyDescent="0.3">
      <c r="A441" t="s">
        <v>25</v>
      </c>
      <c r="B441" s="7">
        <v>45185</v>
      </c>
      <c r="C441" t="s">
        <v>42</v>
      </c>
      <c r="D441">
        <v>23</v>
      </c>
      <c r="E441">
        <v>1</v>
      </c>
      <c r="F441">
        <v>1</v>
      </c>
      <c r="G441" t="s">
        <v>35</v>
      </c>
      <c r="H441">
        <v>1</v>
      </c>
      <c r="I441" s="8">
        <v>0.63541666666666663</v>
      </c>
      <c r="J441" s="8">
        <v>0.69791666666666663</v>
      </c>
      <c r="K441" s="9">
        <f t="shared" si="6"/>
        <v>1.5</v>
      </c>
      <c r="L441" t="s">
        <v>25</v>
      </c>
      <c r="M441" t="s">
        <v>177</v>
      </c>
      <c r="N441" t="s">
        <v>38</v>
      </c>
      <c r="O441" s="3">
        <v>0</v>
      </c>
      <c r="P441" s="4">
        <v>0</v>
      </c>
      <c r="Q441" s="5">
        <v>0</v>
      </c>
      <c r="R441" s="6">
        <v>0</v>
      </c>
      <c r="S441" s="3">
        <v>0</v>
      </c>
      <c r="T441" s="4">
        <v>0</v>
      </c>
      <c r="U441" s="5">
        <v>0</v>
      </c>
      <c r="V441" s="6">
        <v>0</v>
      </c>
    </row>
    <row r="442" spans="1:25" x14ac:dyDescent="0.3">
      <c r="A442" t="s">
        <v>25</v>
      </c>
      <c r="B442" s="7">
        <v>45185</v>
      </c>
      <c r="C442" t="s">
        <v>42</v>
      </c>
      <c r="D442">
        <v>24</v>
      </c>
      <c r="E442">
        <v>1</v>
      </c>
      <c r="F442">
        <v>1</v>
      </c>
      <c r="G442" t="s">
        <v>35</v>
      </c>
      <c r="H442">
        <v>1</v>
      </c>
      <c r="I442" s="8">
        <v>0.625</v>
      </c>
      <c r="J442" s="8">
        <v>0.80208333333333337</v>
      </c>
      <c r="K442" s="9">
        <f t="shared" si="6"/>
        <v>4.2500000000000009</v>
      </c>
      <c r="L442" t="s">
        <v>25</v>
      </c>
      <c r="M442" t="s">
        <v>177</v>
      </c>
      <c r="N442" t="s">
        <v>38</v>
      </c>
      <c r="O442" s="3">
        <v>0</v>
      </c>
      <c r="P442" s="4">
        <v>3</v>
      </c>
      <c r="Q442" s="5">
        <v>0</v>
      </c>
      <c r="R442" s="6">
        <v>0</v>
      </c>
      <c r="S442" s="3">
        <v>0</v>
      </c>
      <c r="T442" s="4">
        <v>0</v>
      </c>
      <c r="U442" s="5">
        <v>0</v>
      </c>
      <c r="V442" s="6">
        <v>0</v>
      </c>
    </row>
    <row r="443" spans="1:25" x14ac:dyDescent="0.3">
      <c r="A443" t="s">
        <v>25</v>
      </c>
      <c r="B443" s="7">
        <v>45185</v>
      </c>
      <c r="C443" t="s">
        <v>42</v>
      </c>
      <c r="D443">
        <v>25</v>
      </c>
      <c r="E443">
        <v>1</v>
      </c>
      <c r="F443">
        <v>1</v>
      </c>
      <c r="G443" t="s">
        <v>35</v>
      </c>
      <c r="H443">
        <v>3</v>
      </c>
      <c r="I443" s="8">
        <v>0.64583333333333337</v>
      </c>
      <c r="J443" s="8">
        <v>0.8125</v>
      </c>
      <c r="K443" s="9">
        <f t="shared" si="6"/>
        <v>11.999999999999996</v>
      </c>
      <c r="L443" t="s">
        <v>25</v>
      </c>
      <c r="M443" t="s">
        <v>177</v>
      </c>
      <c r="N443" t="s">
        <v>38</v>
      </c>
      <c r="O443" s="3">
        <v>0</v>
      </c>
      <c r="P443" s="4">
        <v>7</v>
      </c>
      <c r="Q443" s="5">
        <v>0</v>
      </c>
      <c r="R443" s="6">
        <v>0</v>
      </c>
      <c r="S443" s="3">
        <v>0</v>
      </c>
      <c r="T443" s="4">
        <v>0</v>
      </c>
      <c r="U443" s="5">
        <v>0</v>
      </c>
      <c r="V443" s="6">
        <v>0</v>
      </c>
    </row>
    <row r="444" spans="1:25" x14ac:dyDescent="0.3">
      <c r="A444" t="s">
        <v>25</v>
      </c>
      <c r="B444" s="7">
        <v>45185</v>
      </c>
      <c r="C444" t="s">
        <v>42</v>
      </c>
      <c r="D444">
        <v>26</v>
      </c>
      <c r="E444">
        <v>1</v>
      </c>
      <c r="F444">
        <v>1</v>
      </c>
      <c r="G444" t="s">
        <v>35</v>
      </c>
      <c r="H444">
        <v>2</v>
      </c>
      <c r="I444" s="8">
        <v>0.6875</v>
      </c>
      <c r="J444" s="8">
        <v>0.8125</v>
      </c>
      <c r="K444" s="9">
        <f t="shared" si="6"/>
        <v>6</v>
      </c>
      <c r="L444" t="s">
        <v>25</v>
      </c>
      <c r="M444" t="s">
        <v>177</v>
      </c>
      <c r="N444" t="s">
        <v>38</v>
      </c>
      <c r="O444" s="3">
        <v>0</v>
      </c>
      <c r="P444" s="4">
        <v>3</v>
      </c>
      <c r="Q444" s="5">
        <v>0</v>
      </c>
      <c r="R444" s="6">
        <v>0</v>
      </c>
      <c r="S444" s="3">
        <v>0</v>
      </c>
      <c r="T444" s="4">
        <v>0</v>
      </c>
      <c r="U444" s="5">
        <v>0</v>
      </c>
      <c r="V444" s="6">
        <v>0</v>
      </c>
    </row>
    <row r="445" spans="1:25" x14ac:dyDescent="0.3">
      <c r="A445" t="s">
        <v>25</v>
      </c>
      <c r="B445" s="7">
        <v>45185</v>
      </c>
      <c r="C445" t="s">
        <v>42</v>
      </c>
      <c r="D445">
        <v>27</v>
      </c>
      <c r="E445">
        <v>1</v>
      </c>
      <c r="F445">
        <v>1</v>
      </c>
      <c r="G445" t="s">
        <v>35</v>
      </c>
      <c r="H445">
        <v>2</v>
      </c>
      <c r="I445" s="8">
        <v>0.22916666666666666</v>
      </c>
      <c r="J445" s="8">
        <v>0.8125</v>
      </c>
      <c r="K445" s="9">
        <f t="shared" si="6"/>
        <v>28</v>
      </c>
      <c r="L445" t="s">
        <v>25</v>
      </c>
      <c r="M445" t="s">
        <v>56</v>
      </c>
      <c r="N445" t="s">
        <v>50</v>
      </c>
      <c r="O445" s="3">
        <v>2</v>
      </c>
      <c r="P445" s="4">
        <v>0</v>
      </c>
      <c r="Q445" s="5">
        <v>0</v>
      </c>
      <c r="R445" s="6">
        <v>0</v>
      </c>
      <c r="S445" s="3">
        <v>0</v>
      </c>
      <c r="T445" s="4">
        <v>0</v>
      </c>
      <c r="U445" s="5">
        <v>6</v>
      </c>
      <c r="V445" s="6">
        <v>0</v>
      </c>
      <c r="Y445" t="s">
        <v>178</v>
      </c>
    </row>
    <row r="446" spans="1:25" x14ac:dyDescent="0.3">
      <c r="A446" t="s">
        <v>25</v>
      </c>
      <c r="B446" s="7">
        <v>45185</v>
      </c>
      <c r="C446" t="s">
        <v>42</v>
      </c>
      <c r="D446">
        <v>28</v>
      </c>
      <c r="E446">
        <v>1</v>
      </c>
      <c r="F446">
        <v>1</v>
      </c>
      <c r="G446" t="s">
        <v>35</v>
      </c>
      <c r="H446">
        <v>1</v>
      </c>
      <c r="I446" s="8">
        <v>0.70833333333333337</v>
      </c>
      <c r="J446" s="8">
        <v>0.81944444444444453</v>
      </c>
      <c r="K446" s="9">
        <f t="shared" si="6"/>
        <v>2.6666666666666679</v>
      </c>
      <c r="L446" t="s">
        <v>25</v>
      </c>
      <c r="M446" t="s">
        <v>99</v>
      </c>
      <c r="N446" t="s">
        <v>38</v>
      </c>
      <c r="O446" s="3">
        <v>0</v>
      </c>
      <c r="P446" s="4">
        <v>0</v>
      </c>
      <c r="Q446" s="5">
        <v>0</v>
      </c>
      <c r="R446" s="6">
        <v>0</v>
      </c>
      <c r="S446" s="3">
        <v>0</v>
      </c>
      <c r="T446" s="4">
        <v>0</v>
      </c>
      <c r="U446" s="5">
        <v>0</v>
      </c>
      <c r="V446" s="6">
        <v>0</v>
      </c>
    </row>
    <row r="447" spans="1:25" x14ac:dyDescent="0.3">
      <c r="A447" t="s">
        <v>25</v>
      </c>
      <c r="B447" s="7">
        <v>45189</v>
      </c>
      <c r="C447" t="s">
        <v>26</v>
      </c>
      <c r="D447">
        <v>1</v>
      </c>
      <c r="E447">
        <v>2</v>
      </c>
      <c r="F447">
        <v>1</v>
      </c>
      <c r="G447" t="s">
        <v>27</v>
      </c>
      <c r="H447">
        <v>1</v>
      </c>
      <c r="I447" s="8">
        <v>0.27083333333333331</v>
      </c>
      <c r="J447" s="8">
        <v>0.34375</v>
      </c>
      <c r="K447" s="9">
        <f t="shared" si="6"/>
        <v>1.7500000000000004</v>
      </c>
      <c r="L447" t="s">
        <v>28</v>
      </c>
      <c r="M447" t="s">
        <v>99</v>
      </c>
      <c r="N447" t="s">
        <v>38</v>
      </c>
      <c r="O447" s="3">
        <v>0</v>
      </c>
      <c r="P447" s="4">
        <v>2</v>
      </c>
      <c r="Q447" s="5">
        <v>0</v>
      </c>
      <c r="R447" s="6">
        <v>0</v>
      </c>
      <c r="S447" s="3">
        <v>0</v>
      </c>
      <c r="T447" s="4">
        <v>0</v>
      </c>
      <c r="U447" s="5">
        <v>0</v>
      </c>
      <c r="V447" s="6">
        <v>0</v>
      </c>
    </row>
    <row r="448" spans="1:25" x14ac:dyDescent="0.3">
      <c r="A448" t="s">
        <v>25</v>
      </c>
      <c r="B448" s="7">
        <v>45189</v>
      </c>
      <c r="C448" t="s">
        <v>26</v>
      </c>
      <c r="D448">
        <v>2</v>
      </c>
      <c r="E448">
        <v>2</v>
      </c>
      <c r="F448">
        <v>1</v>
      </c>
      <c r="G448" t="s">
        <v>27</v>
      </c>
      <c r="H448">
        <v>1</v>
      </c>
      <c r="I448" s="8">
        <v>0.29166666666666669</v>
      </c>
      <c r="J448" s="8">
        <v>0.34375</v>
      </c>
      <c r="K448" s="9">
        <f t="shared" si="6"/>
        <v>1.2499999999999996</v>
      </c>
      <c r="L448" t="s">
        <v>28</v>
      </c>
      <c r="M448" t="s">
        <v>99</v>
      </c>
      <c r="N448" t="s">
        <v>38</v>
      </c>
      <c r="O448" s="3">
        <v>0</v>
      </c>
      <c r="P448" s="4">
        <v>0</v>
      </c>
      <c r="Q448" s="5">
        <v>0</v>
      </c>
      <c r="R448" s="6">
        <v>0</v>
      </c>
      <c r="S448" s="3">
        <v>0</v>
      </c>
      <c r="T448" s="4">
        <v>0</v>
      </c>
      <c r="U448" s="5">
        <v>0</v>
      </c>
      <c r="V448" s="6">
        <v>0</v>
      </c>
    </row>
    <row r="449" spans="1:22" x14ac:dyDescent="0.3">
      <c r="A449" t="s">
        <v>25</v>
      </c>
      <c r="B449" s="7">
        <v>45189</v>
      </c>
      <c r="C449" t="s">
        <v>26</v>
      </c>
      <c r="D449">
        <v>3</v>
      </c>
      <c r="E449">
        <v>2</v>
      </c>
      <c r="F449">
        <v>2</v>
      </c>
      <c r="G449" t="s">
        <v>27</v>
      </c>
      <c r="H449">
        <v>1</v>
      </c>
      <c r="I449" s="8">
        <v>0.34722222222222227</v>
      </c>
      <c r="J449" s="8">
        <v>0.38194444444444442</v>
      </c>
      <c r="K449" s="9">
        <f t="shared" si="6"/>
        <v>0.83333333333333171</v>
      </c>
      <c r="L449" t="s">
        <v>28</v>
      </c>
      <c r="M449" t="s">
        <v>56</v>
      </c>
      <c r="N449" t="s">
        <v>27</v>
      </c>
      <c r="O449" s="3">
        <v>0</v>
      </c>
      <c r="P449" s="4">
        <v>0</v>
      </c>
      <c r="Q449" s="5">
        <v>0</v>
      </c>
      <c r="R449" s="6">
        <v>0</v>
      </c>
      <c r="S449" s="3">
        <v>0</v>
      </c>
      <c r="T449" s="4">
        <v>0</v>
      </c>
      <c r="U449" s="5">
        <v>0</v>
      </c>
      <c r="V449" s="6">
        <v>0</v>
      </c>
    </row>
    <row r="450" spans="1:22" x14ac:dyDescent="0.3">
      <c r="A450" t="s">
        <v>25</v>
      </c>
      <c r="B450" s="7">
        <v>45189</v>
      </c>
      <c r="C450" t="s">
        <v>26</v>
      </c>
      <c r="D450">
        <v>4</v>
      </c>
      <c r="E450">
        <v>2</v>
      </c>
      <c r="F450">
        <v>2</v>
      </c>
      <c r="G450" t="s">
        <v>27</v>
      </c>
      <c r="H450">
        <v>1</v>
      </c>
      <c r="I450" s="8">
        <v>0.25</v>
      </c>
      <c r="J450" s="8">
        <v>0.39583333333333331</v>
      </c>
      <c r="K450" s="9">
        <f t="shared" si="6"/>
        <v>3.4999999999999996</v>
      </c>
      <c r="L450" t="s">
        <v>25</v>
      </c>
      <c r="M450" t="s">
        <v>29</v>
      </c>
      <c r="N450" t="s">
        <v>27</v>
      </c>
      <c r="O450" s="3">
        <v>0</v>
      </c>
      <c r="P450" s="4">
        <v>0</v>
      </c>
      <c r="Q450" s="5">
        <v>0</v>
      </c>
      <c r="R450" s="6">
        <v>0</v>
      </c>
      <c r="S450" s="3">
        <v>0</v>
      </c>
      <c r="T450" s="4">
        <v>0</v>
      </c>
      <c r="U450" s="5">
        <v>0</v>
      </c>
      <c r="V450" s="6">
        <v>0</v>
      </c>
    </row>
    <row r="451" spans="1:22" x14ac:dyDescent="0.3">
      <c r="A451" t="s">
        <v>25</v>
      </c>
      <c r="B451" s="7">
        <v>45189</v>
      </c>
      <c r="C451" t="s">
        <v>26</v>
      </c>
      <c r="D451">
        <v>5</v>
      </c>
      <c r="E451">
        <v>2</v>
      </c>
      <c r="F451">
        <v>4</v>
      </c>
      <c r="G451" t="s">
        <v>27</v>
      </c>
      <c r="H451">
        <v>1</v>
      </c>
      <c r="I451" s="8">
        <v>0.29166666666666669</v>
      </c>
      <c r="J451" s="8">
        <v>0.4236111111111111</v>
      </c>
      <c r="K451" s="9">
        <f t="shared" ref="K451:K514" si="7">(J451-I451)*24*H451</f>
        <v>3.1666666666666661</v>
      </c>
      <c r="L451" t="s">
        <v>25</v>
      </c>
      <c r="M451" t="s">
        <v>56</v>
      </c>
      <c r="N451" t="s">
        <v>38</v>
      </c>
      <c r="O451" s="3">
        <v>0</v>
      </c>
      <c r="P451" s="4">
        <v>0</v>
      </c>
      <c r="Q451" s="5">
        <v>0</v>
      </c>
      <c r="R451" s="6">
        <v>0</v>
      </c>
      <c r="S451" s="3">
        <v>0</v>
      </c>
      <c r="T451" s="4">
        <v>0</v>
      </c>
      <c r="U451" s="5">
        <v>0</v>
      </c>
      <c r="V451" s="6">
        <v>0</v>
      </c>
    </row>
    <row r="452" spans="1:22" x14ac:dyDescent="0.3">
      <c r="A452" t="s">
        <v>25</v>
      </c>
      <c r="B452" s="7">
        <v>45189</v>
      </c>
      <c r="C452" t="s">
        <v>26</v>
      </c>
      <c r="D452">
        <v>6</v>
      </c>
      <c r="E452">
        <v>1</v>
      </c>
      <c r="F452">
        <v>1</v>
      </c>
      <c r="G452" t="s">
        <v>35</v>
      </c>
      <c r="H452">
        <v>2</v>
      </c>
      <c r="I452" s="8">
        <v>0.29166666666666669</v>
      </c>
      <c r="J452" s="8">
        <v>0.51041666666666663</v>
      </c>
      <c r="K452" s="9">
        <f t="shared" si="7"/>
        <v>10.499999999999996</v>
      </c>
      <c r="L452" t="s">
        <v>25</v>
      </c>
      <c r="M452" t="s">
        <v>29</v>
      </c>
      <c r="N452" t="s">
        <v>27</v>
      </c>
      <c r="O452" s="3">
        <v>0</v>
      </c>
      <c r="P452" s="4">
        <v>0</v>
      </c>
      <c r="Q452" s="5">
        <v>1</v>
      </c>
      <c r="R452" s="6">
        <v>0</v>
      </c>
      <c r="S452" s="3">
        <v>0</v>
      </c>
      <c r="T452" s="4">
        <v>0</v>
      </c>
      <c r="U452" s="5">
        <v>0</v>
      </c>
      <c r="V452" s="6">
        <v>0</v>
      </c>
    </row>
    <row r="453" spans="1:22" x14ac:dyDescent="0.3">
      <c r="A453" t="s">
        <v>25</v>
      </c>
      <c r="B453" s="7">
        <v>45189</v>
      </c>
      <c r="C453" t="s">
        <v>42</v>
      </c>
      <c r="D453">
        <v>7</v>
      </c>
      <c r="E453">
        <v>3</v>
      </c>
      <c r="F453">
        <v>4</v>
      </c>
      <c r="G453" t="s">
        <v>27</v>
      </c>
      <c r="H453">
        <v>1</v>
      </c>
      <c r="I453" s="8">
        <v>0.60416666666666663</v>
      </c>
      <c r="J453" s="8">
        <v>0.66666666666666663</v>
      </c>
      <c r="K453" s="9">
        <f t="shared" si="7"/>
        <v>1.5</v>
      </c>
      <c r="L453" t="s">
        <v>28</v>
      </c>
      <c r="M453" t="s">
        <v>125</v>
      </c>
      <c r="N453" t="s">
        <v>38</v>
      </c>
      <c r="O453" s="3">
        <v>0</v>
      </c>
      <c r="P453" s="4">
        <v>1</v>
      </c>
      <c r="Q453" s="5">
        <v>1</v>
      </c>
      <c r="R453" s="6">
        <v>0</v>
      </c>
      <c r="S453" s="3">
        <v>0</v>
      </c>
      <c r="T453" s="4">
        <v>0</v>
      </c>
      <c r="U453" s="5">
        <v>1</v>
      </c>
      <c r="V453" s="6">
        <v>0</v>
      </c>
    </row>
    <row r="454" spans="1:22" x14ac:dyDescent="0.3">
      <c r="A454" t="s">
        <v>25</v>
      </c>
      <c r="B454" s="7">
        <v>45189</v>
      </c>
      <c r="C454" t="s">
        <v>42</v>
      </c>
      <c r="D454">
        <v>8</v>
      </c>
      <c r="E454">
        <v>3</v>
      </c>
      <c r="F454">
        <v>4</v>
      </c>
      <c r="G454" t="s">
        <v>27</v>
      </c>
      <c r="H454">
        <v>1</v>
      </c>
      <c r="I454" s="8">
        <v>0.5</v>
      </c>
      <c r="J454" s="8">
        <v>0.6743055555555556</v>
      </c>
      <c r="K454" s="9">
        <f t="shared" si="7"/>
        <v>4.1833333333333345</v>
      </c>
      <c r="L454" t="s">
        <v>25</v>
      </c>
      <c r="M454" t="s">
        <v>79</v>
      </c>
      <c r="N454" t="s">
        <v>27</v>
      </c>
      <c r="O454" s="3">
        <v>0</v>
      </c>
      <c r="P454" s="4">
        <v>2</v>
      </c>
      <c r="Q454" s="5">
        <v>1</v>
      </c>
      <c r="R454" s="6">
        <v>0</v>
      </c>
      <c r="S454" s="3">
        <v>0</v>
      </c>
      <c r="T454" s="4">
        <v>0</v>
      </c>
      <c r="U454" s="5">
        <v>0</v>
      </c>
      <c r="V454" s="6">
        <v>0</v>
      </c>
    </row>
    <row r="455" spans="1:22" x14ac:dyDescent="0.3">
      <c r="A455" t="s">
        <v>25</v>
      </c>
      <c r="B455" s="7">
        <v>45189</v>
      </c>
      <c r="C455" t="s">
        <v>42</v>
      </c>
      <c r="D455">
        <v>9</v>
      </c>
      <c r="E455">
        <v>3</v>
      </c>
      <c r="F455">
        <v>3</v>
      </c>
      <c r="G455" t="s">
        <v>27</v>
      </c>
      <c r="H455">
        <v>1</v>
      </c>
      <c r="I455" s="8">
        <v>0.25</v>
      </c>
      <c r="J455" s="8">
        <v>0.70138888888888884</v>
      </c>
      <c r="K455" s="9">
        <f t="shared" si="7"/>
        <v>10.833333333333332</v>
      </c>
      <c r="L455" t="s">
        <v>25</v>
      </c>
      <c r="M455" t="s">
        <v>179</v>
      </c>
      <c r="N455" t="s">
        <v>27</v>
      </c>
      <c r="O455" s="3">
        <v>0</v>
      </c>
      <c r="P455" s="4">
        <v>0</v>
      </c>
      <c r="Q455" s="5">
        <v>3</v>
      </c>
      <c r="R455" s="6">
        <v>0</v>
      </c>
      <c r="S455" s="3">
        <v>0</v>
      </c>
      <c r="T455" s="4">
        <v>0</v>
      </c>
      <c r="U455" s="5">
        <v>0</v>
      </c>
      <c r="V455" s="6">
        <v>0</v>
      </c>
    </row>
    <row r="456" spans="1:22" x14ac:dyDescent="0.3">
      <c r="A456" t="s">
        <v>25</v>
      </c>
      <c r="B456" s="7">
        <v>45189</v>
      </c>
      <c r="C456" t="s">
        <v>42</v>
      </c>
      <c r="D456">
        <v>10</v>
      </c>
      <c r="E456">
        <v>2</v>
      </c>
      <c r="F456">
        <v>2</v>
      </c>
      <c r="G456" t="s">
        <v>27</v>
      </c>
      <c r="H456">
        <v>1</v>
      </c>
      <c r="I456" s="8">
        <v>0.75</v>
      </c>
      <c r="J456" s="8">
        <v>0.80694444444444446</v>
      </c>
      <c r="K456" s="9">
        <f t="shared" si="7"/>
        <v>1.3666666666666671</v>
      </c>
      <c r="L456" t="s">
        <v>28</v>
      </c>
      <c r="M456" t="s">
        <v>51</v>
      </c>
      <c r="N456" t="s">
        <v>38</v>
      </c>
      <c r="O456" s="3">
        <v>0</v>
      </c>
      <c r="P456" s="4">
        <v>0</v>
      </c>
      <c r="Q456" s="5">
        <v>0</v>
      </c>
      <c r="R456" s="6">
        <v>0</v>
      </c>
      <c r="S456" s="3">
        <v>0</v>
      </c>
      <c r="T456" s="4">
        <v>0</v>
      </c>
      <c r="U456" s="5">
        <v>0</v>
      </c>
      <c r="V456" s="6">
        <v>0</v>
      </c>
    </row>
    <row r="457" spans="1:22" x14ac:dyDescent="0.3">
      <c r="A457" t="s">
        <v>25</v>
      </c>
      <c r="B457" s="7">
        <v>45189</v>
      </c>
      <c r="C457" t="s">
        <v>42</v>
      </c>
      <c r="D457">
        <v>11</v>
      </c>
      <c r="E457">
        <v>2</v>
      </c>
      <c r="F457">
        <v>1</v>
      </c>
      <c r="G457" t="s">
        <v>27</v>
      </c>
      <c r="H457">
        <v>1</v>
      </c>
      <c r="I457" s="8">
        <v>0.70833333333333337</v>
      </c>
      <c r="J457" s="8">
        <v>0.8125</v>
      </c>
      <c r="K457" s="9">
        <f t="shared" si="7"/>
        <v>2.4999999999999991</v>
      </c>
      <c r="L457" t="s">
        <v>25</v>
      </c>
      <c r="M457" t="s">
        <v>112</v>
      </c>
      <c r="N457" t="s">
        <v>32</v>
      </c>
      <c r="O457" s="3">
        <v>0</v>
      </c>
      <c r="P457" s="4">
        <v>0</v>
      </c>
      <c r="Q457" s="5">
        <v>0</v>
      </c>
      <c r="R457" s="6">
        <v>0</v>
      </c>
      <c r="S457" s="3">
        <v>0</v>
      </c>
      <c r="T457" s="4">
        <v>0</v>
      </c>
      <c r="U457" s="5">
        <v>0</v>
      </c>
      <c r="V457" s="6">
        <v>0</v>
      </c>
    </row>
    <row r="458" spans="1:22" x14ac:dyDescent="0.3">
      <c r="A458" t="s">
        <v>25</v>
      </c>
      <c r="B458" s="7">
        <v>45190</v>
      </c>
      <c r="C458" t="s">
        <v>26</v>
      </c>
      <c r="D458">
        <v>1</v>
      </c>
      <c r="E458">
        <v>2</v>
      </c>
      <c r="F458">
        <v>4</v>
      </c>
      <c r="G458" t="s">
        <v>27</v>
      </c>
      <c r="H458">
        <v>1</v>
      </c>
      <c r="I458" s="8">
        <v>0.29166666666666669</v>
      </c>
      <c r="J458" s="8">
        <v>0.33333333333333331</v>
      </c>
      <c r="K458" s="9">
        <f t="shared" si="7"/>
        <v>0.99999999999999911</v>
      </c>
      <c r="L458" t="s">
        <v>28</v>
      </c>
      <c r="M458" t="s">
        <v>56</v>
      </c>
      <c r="N458" t="s">
        <v>38</v>
      </c>
      <c r="O458" s="3">
        <v>1</v>
      </c>
      <c r="P458" s="4">
        <v>0</v>
      </c>
      <c r="Q458" s="5">
        <v>0</v>
      </c>
      <c r="R458" s="6">
        <v>0</v>
      </c>
      <c r="S458" s="3">
        <v>0</v>
      </c>
      <c r="T458" s="4">
        <v>0</v>
      </c>
      <c r="U458" s="5">
        <v>0</v>
      </c>
      <c r="V458" s="6">
        <v>0</v>
      </c>
    </row>
    <row r="459" spans="1:22" x14ac:dyDescent="0.3">
      <c r="A459" t="s">
        <v>25</v>
      </c>
      <c r="B459" s="7">
        <v>45190</v>
      </c>
      <c r="C459" t="s">
        <v>26</v>
      </c>
      <c r="D459">
        <v>2</v>
      </c>
      <c r="E459">
        <v>2</v>
      </c>
      <c r="F459">
        <v>4</v>
      </c>
      <c r="G459" t="s">
        <v>27</v>
      </c>
      <c r="H459">
        <v>1</v>
      </c>
      <c r="I459" s="8">
        <v>0.3125</v>
      </c>
      <c r="J459" s="8">
        <v>0.33333333333333331</v>
      </c>
      <c r="K459" s="9">
        <f t="shared" si="7"/>
        <v>0.49999999999999956</v>
      </c>
      <c r="L459" t="s">
        <v>28</v>
      </c>
      <c r="M459" t="s">
        <v>56</v>
      </c>
      <c r="N459" t="s">
        <v>38</v>
      </c>
      <c r="O459" s="3">
        <v>1</v>
      </c>
      <c r="P459" s="4">
        <v>0</v>
      </c>
      <c r="Q459" s="5">
        <v>0</v>
      </c>
      <c r="R459" s="6">
        <v>0</v>
      </c>
      <c r="S459" s="3">
        <v>0</v>
      </c>
      <c r="T459" s="4">
        <v>0</v>
      </c>
      <c r="U459" s="5">
        <v>0</v>
      </c>
      <c r="V459" s="6">
        <v>0</v>
      </c>
    </row>
    <row r="460" spans="1:22" x14ac:dyDescent="0.3">
      <c r="A460" t="s">
        <v>25</v>
      </c>
      <c r="B460" s="7">
        <v>45190</v>
      </c>
      <c r="C460" t="s">
        <v>26</v>
      </c>
      <c r="D460">
        <v>3</v>
      </c>
      <c r="E460">
        <v>2</v>
      </c>
      <c r="F460">
        <v>4</v>
      </c>
      <c r="G460" t="s">
        <v>27</v>
      </c>
      <c r="H460">
        <v>1</v>
      </c>
      <c r="I460" s="8">
        <v>0.22916666666666666</v>
      </c>
      <c r="J460" s="8">
        <v>0.42708333333333331</v>
      </c>
      <c r="K460" s="9">
        <f t="shared" si="7"/>
        <v>4.75</v>
      </c>
      <c r="L460" t="s">
        <v>25</v>
      </c>
      <c r="M460" t="s">
        <v>56</v>
      </c>
      <c r="N460" t="s">
        <v>27</v>
      </c>
      <c r="O460" s="3">
        <v>0</v>
      </c>
      <c r="P460" s="4">
        <v>0</v>
      </c>
      <c r="Q460" s="5">
        <v>0</v>
      </c>
      <c r="R460" s="6">
        <v>0</v>
      </c>
      <c r="S460" s="3">
        <v>0</v>
      </c>
      <c r="T460" s="4">
        <v>0</v>
      </c>
      <c r="U460" s="5">
        <v>0</v>
      </c>
      <c r="V460" s="6">
        <v>0</v>
      </c>
    </row>
    <row r="461" spans="1:22" x14ac:dyDescent="0.3">
      <c r="A461" t="s">
        <v>25</v>
      </c>
      <c r="B461" s="7">
        <v>45190</v>
      </c>
      <c r="C461" t="s">
        <v>26</v>
      </c>
      <c r="D461">
        <v>4</v>
      </c>
      <c r="E461">
        <v>2</v>
      </c>
      <c r="F461">
        <v>4</v>
      </c>
      <c r="G461" t="s">
        <v>27</v>
      </c>
      <c r="H461">
        <v>1</v>
      </c>
      <c r="I461" s="8">
        <v>0.375</v>
      </c>
      <c r="J461" s="8">
        <v>0.44027777777777777</v>
      </c>
      <c r="K461" s="9">
        <f t="shared" si="7"/>
        <v>1.5666666666666664</v>
      </c>
      <c r="L461" t="s">
        <v>25</v>
      </c>
      <c r="M461" t="s">
        <v>99</v>
      </c>
      <c r="N461" t="s">
        <v>38</v>
      </c>
      <c r="O461" s="3">
        <v>0</v>
      </c>
      <c r="P461" s="4">
        <v>0</v>
      </c>
      <c r="Q461" s="5">
        <v>0</v>
      </c>
      <c r="R461" s="6">
        <v>0</v>
      </c>
      <c r="S461" s="3">
        <v>0</v>
      </c>
      <c r="T461" s="4">
        <v>0</v>
      </c>
      <c r="U461" s="5">
        <v>0</v>
      </c>
      <c r="V461" s="6">
        <v>0</v>
      </c>
    </row>
    <row r="462" spans="1:22" x14ac:dyDescent="0.3">
      <c r="A462" t="s">
        <v>25</v>
      </c>
      <c r="B462" s="7">
        <v>45190</v>
      </c>
      <c r="C462" t="s">
        <v>26</v>
      </c>
      <c r="D462">
        <v>5</v>
      </c>
      <c r="E462">
        <v>2</v>
      </c>
      <c r="F462">
        <v>3</v>
      </c>
      <c r="G462" t="s">
        <v>27</v>
      </c>
      <c r="H462">
        <v>1</v>
      </c>
      <c r="I462" s="8">
        <v>0.29166666666666669</v>
      </c>
      <c r="J462" s="8">
        <v>0.45833333333333331</v>
      </c>
      <c r="K462" s="9">
        <f t="shared" si="7"/>
        <v>3.9999999999999991</v>
      </c>
      <c r="L462" t="s">
        <v>28</v>
      </c>
      <c r="M462" t="s">
        <v>56</v>
      </c>
      <c r="N462" t="s">
        <v>38</v>
      </c>
      <c r="O462" s="3">
        <v>0</v>
      </c>
      <c r="P462" s="4">
        <v>0</v>
      </c>
      <c r="Q462" s="5">
        <v>0</v>
      </c>
      <c r="R462" s="6">
        <v>0</v>
      </c>
      <c r="S462" s="3">
        <v>0</v>
      </c>
      <c r="T462" s="4">
        <v>0</v>
      </c>
      <c r="U462" s="5">
        <v>8</v>
      </c>
      <c r="V462" s="6">
        <v>0</v>
      </c>
    </row>
    <row r="463" spans="1:22" x14ac:dyDescent="0.3">
      <c r="A463" t="s">
        <v>25</v>
      </c>
      <c r="B463" s="7">
        <v>45190</v>
      </c>
      <c r="C463" t="s">
        <v>26</v>
      </c>
      <c r="D463">
        <v>6</v>
      </c>
      <c r="E463">
        <v>2</v>
      </c>
      <c r="F463">
        <v>3</v>
      </c>
      <c r="G463" t="s">
        <v>27</v>
      </c>
      <c r="H463">
        <v>1</v>
      </c>
      <c r="I463" s="8">
        <v>0.4375</v>
      </c>
      <c r="J463" s="8">
        <v>0.45833333333333331</v>
      </c>
      <c r="K463" s="9">
        <f t="shared" si="7"/>
        <v>0.49999999999999956</v>
      </c>
      <c r="L463" t="s">
        <v>28</v>
      </c>
      <c r="M463" t="s">
        <v>29</v>
      </c>
      <c r="N463" t="s">
        <v>38</v>
      </c>
      <c r="O463" s="3">
        <v>0</v>
      </c>
      <c r="P463" s="4">
        <v>1</v>
      </c>
      <c r="Q463" s="5">
        <v>0</v>
      </c>
      <c r="R463" s="6">
        <v>0</v>
      </c>
      <c r="S463" s="3">
        <v>0</v>
      </c>
      <c r="T463" s="4">
        <v>0</v>
      </c>
      <c r="U463" s="5">
        <v>0</v>
      </c>
      <c r="V463" s="6">
        <v>0</v>
      </c>
    </row>
    <row r="464" spans="1:22" x14ac:dyDescent="0.3">
      <c r="A464" t="s">
        <v>25</v>
      </c>
      <c r="B464" s="7">
        <v>45190</v>
      </c>
      <c r="C464" t="s">
        <v>42</v>
      </c>
      <c r="D464">
        <v>7</v>
      </c>
      <c r="E464">
        <v>1</v>
      </c>
      <c r="F464">
        <v>3</v>
      </c>
      <c r="G464" t="s">
        <v>27</v>
      </c>
      <c r="H464">
        <v>3</v>
      </c>
      <c r="I464" s="8">
        <v>0.625</v>
      </c>
      <c r="J464" s="8">
        <v>0.65625</v>
      </c>
      <c r="K464" s="9">
        <f t="shared" si="7"/>
        <v>2.25</v>
      </c>
      <c r="L464" t="s">
        <v>28</v>
      </c>
      <c r="M464" t="s">
        <v>29</v>
      </c>
      <c r="N464" t="s">
        <v>32</v>
      </c>
      <c r="O464" s="3">
        <v>0</v>
      </c>
      <c r="P464" s="4">
        <v>0</v>
      </c>
      <c r="Q464" s="5">
        <v>1</v>
      </c>
      <c r="R464" s="6">
        <v>0</v>
      </c>
      <c r="S464" s="3">
        <v>0</v>
      </c>
      <c r="T464" s="4">
        <v>0</v>
      </c>
      <c r="U464" s="5">
        <v>0</v>
      </c>
      <c r="V464" s="6">
        <v>0</v>
      </c>
    </row>
    <row r="465" spans="1:25" x14ac:dyDescent="0.3">
      <c r="A465" t="s">
        <v>25</v>
      </c>
      <c r="B465" s="7">
        <v>45190</v>
      </c>
      <c r="C465" t="s">
        <v>42</v>
      </c>
      <c r="D465">
        <v>8</v>
      </c>
      <c r="E465">
        <v>2</v>
      </c>
      <c r="F465">
        <v>1</v>
      </c>
      <c r="G465" t="s">
        <v>27</v>
      </c>
      <c r="H465">
        <v>1</v>
      </c>
      <c r="I465" s="8">
        <v>0.625</v>
      </c>
      <c r="J465" s="8">
        <v>0.66666666666666663</v>
      </c>
      <c r="K465" s="9">
        <f t="shared" si="7"/>
        <v>0.99999999999999911</v>
      </c>
      <c r="L465" t="s">
        <v>25</v>
      </c>
      <c r="M465" t="s">
        <v>99</v>
      </c>
      <c r="N465" t="s">
        <v>27</v>
      </c>
      <c r="O465" s="3">
        <v>0</v>
      </c>
      <c r="P465" s="4">
        <v>1</v>
      </c>
      <c r="Q465" s="5">
        <v>0</v>
      </c>
      <c r="R465" s="6">
        <v>0</v>
      </c>
      <c r="S465" s="3">
        <v>0</v>
      </c>
      <c r="T465" s="4">
        <v>0</v>
      </c>
      <c r="U465" s="5">
        <v>0</v>
      </c>
      <c r="V465" s="6">
        <v>0</v>
      </c>
    </row>
    <row r="466" spans="1:25" x14ac:dyDescent="0.3">
      <c r="A466" t="s">
        <v>25</v>
      </c>
      <c r="B466" s="7">
        <v>45190</v>
      </c>
      <c r="C466" t="s">
        <v>42</v>
      </c>
      <c r="D466">
        <v>9</v>
      </c>
      <c r="E466">
        <v>2</v>
      </c>
      <c r="F466">
        <v>2</v>
      </c>
      <c r="G466" t="s">
        <v>27</v>
      </c>
      <c r="H466">
        <v>1</v>
      </c>
      <c r="I466" s="8">
        <v>0.5</v>
      </c>
      <c r="J466" s="8">
        <v>0.68055555555555547</v>
      </c>
      <c r="K466" s="9">
        <f t="shared" si="7"/>
        <v>4.3333333333333313</v>
      </c>
      <c r="L466" t="s">
        <v>25</v>
      </c>
      <c r="M466" t="s">
        <v>29</v>
      </c>
      <c r="N466" t="s">
        <v>32</v>
      </c>
      <c r="O466" s="3">
        <v>0</v>
      </c>
      <c r="P466" s="4">
        <v>0</v>
      </c>
      <c r="Q466" s="5">
        <v>1</v>
      </c>
      <c r="R466" s="6">
        <v>0</v>
      </c>
      <c r="S466" s="3">
        <v>0</v>
      </c>
      <c r="T466" s="4">
        <v>0</v>
      </c>
      <c r="U466" s="5">
        <v>0</v>
      </c>
      <c r="V466" s="6">
        <v>0</v>
      </c>
    </row>
    <row r="467" spans="1:25" x14ac:dyDescent="0.3">
      <c r="A467" t="s">
        <v>25</v>
      </c>
      <c r="B467" s="7">
        <v>45190</v>
      </c>
      <c r="C467" t="s">
        <v>42</v>
      </c>
      <c r="D467">
        <v>10</v>
      </c>
      <c r="E467">
        <v>2</v>
      </c>
      <c r="F467">
        <v>2</v>
      </c>
      <c r="G467" t="s">
        <v>27</v>
      </c>
      <c r="H467">
        <v>1</v>
      </c>
      <c r="I467" s="8">
        <v>0.66666666666666663</v>
      </c>
      <c r="J467" s="8">
        <v>0.69374999999999998</v>
      </c>
      <c r="K467" s="9">
        <f t="shared" si="7"/>
        <v>0.65000000000000036</v>
      </c>
      <c r="L467" t="s">
        <v>25</v>
      </c>
      <c r="M467" t="s">
        <v>29</v>
      </c>
      <c r="N467" t="s">
        <v>27</v>
      </c>
      <c r="O467" s="3">
        <v>0</v>
      </c>
      <c r="P467" s="4">
        <v>0</v>
      </c>
      <c r="Q467" s="5">
        <v>0</v>
      </c>
      <c r="R467" s="6">
        <v>0</v>
      </c>
      <c r="S467" s="3">
        <v>0</v>
      </c>
      <c r="T467" s="4">
        <v>0</v>
      </c>
      <c r="U467" s="5">
        <v>0</v>
      </c>
      <c r="V467" s="6">
        <v>0</v>
      </c>
    </row>
    <row r="468" spans="1:25" x14ac:dyDescent="0.3">
      <c r="A468" t="s">
        <v>25</v>
      </c>
      <c r="B468" s="7">
        <v>45190</v>
      </c>
      <c r="C468" t="s">
        <v>42</v>
      </c>
      <c r="D468">
        <v>11</v>
      </c>
      <c r="E468">
        <v>2</v>
      </c>
      <c r="F468">
        <v>2</v>
      </c>
      <c r="G468" t="s">
        <v>27</v>
      </c>
      <c r="H468">
        <v>2</v>
      </c>
      <c r="I468" s="8">
        <v>0.64583333333333337</v>
      </c>
      <c r="J468" s="8">
        <v>0.69791666666666663</v>
      </c>
      <c r="K468" s="9">
        <f t="shared" si="7"/>
        <v>2.4999999999999964</v>
      </c>
      <c r="L468" t="s">
        <v>25</v>
      </c>
      <c r="M468" t="s">
        <v>29</v>
      </c>
      <c r="N468" t="s">
        <v>27</v>
      </c>
      <c r="O468" s="3">
        <v>0</v>
      </c>
      <c r="P468" s="4">
        <v>0</v>
      </c>
      <c r="Q468" s="5">
        <v>0</v>
      </c>
      <c r="R468" s="6">
        <v>0</v>
      </c>
      <c r="S468" s="3">
        <v>0</v>
      </c>
      <c r="T468" s="4">
        <v>0</v>
      </c>
      <c r="U468" s="5">
        <v>0</v>
      </c>
      <c r="V468" s="6">
        <v>0</v>
      </c>
    </row>
    <row r="469" spans="1:25" x14ac:dyDescent="0.3">
      <c r="A469" t="s">
        <v>25</v>
      </c>
      <c r="B469" s="7">
        <v>45190</v>
      </c>
      <c r="C469" t="s">
        <v>42</v>
      </c>
      <c r="D469">
        <v>12</v>
      </c>
      <c r="E469">
        <v>2</v>
      </c>
      <c r="F469">
        <v>3</v>
      </c>
      <c r="G469" t="s">
        <v>27</v>
      </c>
      <c r="H469">
        <v>1</v>
      </c>
      <c r="I469" s="8">
        <v>0.625</v>
      </c>
      <c r="J469" s="8">
        <v>0.71666666666666667</v>
      </c>
      <c r="K469" s="9">
        <f t="shared" si="7"/>
        <v>2.2000000000000002</v>
      </c>
      <c r="L469" t="s">
        <v>28</v>
      </c>
      <c r="M469" t="s">
        <v>56</v>
      </c>
      <c r="N469" t="s">
        <v>27</v>
      </c>
      <c r="O469" s="3">
        <v>0</v>
      </c>
      <c r="P469" s="4">
        <v>0</v>
      </c>
      <c r="Q469" s="5">
        <v>1</v>
      </c>
      <c r="R469" s="6">
        <v>0</v>
      </c>
      <c r="S469" s="3">
        <v>0</v>
      </c>
      <c r="T469" s="4">
        <v>0</v>
      </c>
      <c r="U469" s="5">
        <v>0</v>
      </c>
      <c r="V469" s="6">
        <v>0</v>
      </c>
    </row>
    <row r="470" spans="1:25" x14ac:dyDescent="0.3">
      <c r="A470" t="s">
        <v>25</v>
      </c>
      <c r="B470" s="7">
        <v>45190</v>
      </c>
      <c r="C470" t="s">
        <v>42</v>
      </c>
      <c r="D470">
        <v>13</v>
      </c>
      <c r="E470">
        <v>2</v>
      </c>
      <c r="F470">
        <v>3</v>
      </c>
      <c r="G470" t="s">
        <v>27</v>
      </c>
      <c r="H470">
        <v>1</v>
      </c>
      <c r="I470" s="8">
        <v>0.64583333333333337</v>
      </c>
      <c r="J470" s="8">
        <v>0.80555555555555547</v>
      </c>
      <c r="K470" s="9">
        <f t="shared" si="7"/>
        <v>3.8333333333333304</v>
      </c>
      <c r="L470" t="s">
        <v>25</v>
      </c>
      <c r="M470" t="s">
        <v>56</v>
      </c>
      <c r="N470" t="s">
        <v>55</v>
      </c>
      <c r="O470" s="3">
        <v>1</v>
      </c>
      <c r="P470" s="4">
        <v>0</v>
      </c>
      <c r="Q470" s="5">
        <v>0</v>
      </c>
      <c r="R470" s="6">
        <v>0</v>
      </c>
      <c r="S470" s="3">
        <v>0</v>
      </c>
      <c r="T470" s="4">
        <v>0</v>
      </c>
      <c r="U470" s="5">
        <v>2</v>
      </c>
      <c r="V470" s="6">
        <v>0</v>
      </c>
      <c r="Y470" t="s">
        <v>180</v>
      </c>
    </row>
    <row r="471" spans="1:25" x14ac:dyDescent="0.3">
      <c r="A471" t="s">
        <v>25</v>
      </c>
      <c r="B471" s="7">
        <v>45190</v>
      </c>
      <c r="C471" t="s">
        <v>42</v>
      </c>
      <c r="D471">
        <v>14</v>
      </c>
      <c r="E471">
        <v>2</v>
      </c>
      <c r="F471">
        <v>3</v>
      </c>
      <c r="G471" t="s">
        <v>27</v>
      </c>
      <c r="H471">
        <v>1</v>
      </c>
      <c r="I471" s="8">
        <v>0.54166666666666663</v>
      </c>
      <c r="J471" s="8">
        <v>0.80555555555555547</v>
      </c>
      <c r="K471" s="9">
        <f t="shared" si="7"/>
        <v>6.3333333333333321</v>
      </c>
      <c r="L471" t="s">
        <v>25</v>
      </c>
      <c r="M471" t="s">
        <v>56</v>
      </c>
      <c r="N471" t="s">
        <v>27</v>
      </c>
      <c r="O471" s="3">
        <v>2</v>
      </c>
      <c r="P471" s="4">
        <v>0</v>
      </c>
      <c r="Q471" s="5">
        <v>0</v>
      </c>
      <c r="R471" s="6">
        <v>0</v>
      </c>
      <c r="S471" s="3">
        <v>0</v>
      </c>
      <c r="T471" s="4">
        <v>0</v>
      </c>
      <c r="U471" s="5">
        <v>0</v>
      </c>
      <c r="V471" s="6">
        <v>0</v>
      </c>
      <c r="Y471" t="s">
        <v>181</v>
      </c>
    </row>
    <row r="472" spans="1:25" x14ac:dyDescent="0.3">
      <c r="A472" t="s">
        <v>25</v>
      </c>
      <c r="B472" s="7">
        <v>45190</v>
      </c>
      <c r="C472" t="s">
        <v>42</v>
      </c>
      <c r="D472">
        <v>15</v>
      </c>
      <c r="E472">
        <v>2</v>
      </c>
      <c r="F472">
        <v>3</v>
      </c>
      <c r="G472" t="s">
        <v>27</v>
      </c>
      <c r="H472">
        <v>2</v>
      </c>
      <c r="I472" s="8">
        <v>0.64583333333333337</v>
      </c>
      <c r="J472" s="8">
        <v>0.72916666666666663</v>
      </c>
      <c r="K472" s="9">
        <f t="shared" si="7"/>
        <v>3.9999999999999964</v>
      </c>
      <c r="L472" t="s">
        <v>25</v>
      </c>
      <c r="M472" t="s">
        <v>29</v>
      </c>
      <c r="N472" t="s">
        <v>27</v>
      </c>
      <c r="O472" s="3">
        <v>0</v>
      </c>
      <c r="P472" s="4">
        <v>0</v>
      </c>
      <c r="Q472" s="5">
        <v>0</v>
      </c>
      <c r="R472" s="6">
        <v>0</v>
      </c>
      <c r="S472" s="3">
        <v>0</v>
      </c>
      <c r="T472" s="4">
        <v>0</v>
      </c>
      <c r="U472" s="5">
        <v>0</v>
      </c>
      <c r="V472" s="6">
        <v>0</v>
      </c>
    </row>
    <row r="473" spans="1:25" x14ac:dyDescent="0.3">
      <c r="A473" t="s">
        <v>25</v>
      </c>
      <c r="B473" s="7">
        <v>45190</v>
      </c>
      <c r="C473" t="s">
        <v>42</v>
      </c>
      <c r="D473">
        <v>16</v>
      </c>
      <c r="E473">
        <v>2</v>
      </c>
      <c r="F473">
        <v>3</v>
      </c>
      <c r="G473" t="s">
        <v>27</v>
      </c>
      <c r="H473">
        <v>1</v>
      </c>
      <c r="I473" s="8">
        <v>0.6875</v>
      </c>
      <c r="J473" s="8">
        <v>0.73472222222222217</v>
      </c>
      <c r="K473" s="9">
        <f t="shared" si="7"/>
        <v>1.133333333333332</v>
      </c>
      <c r="L473" t="s">
        <v>25</v>
      </c>
      <c r="M473" t="s">
        <v>47</v>
      </c>
      <c r="N473" t="s">
        <v>27</v>
      </c>
      <c r="O473" s="3">
        <v>0</v>
      </c>
      <c r="P473" s="4">
        <v>0</v>
      </c>
      <c r="Q473" s="5">
        <v>0</v>
      </c>
      <c r="R473" s="6">
        <v>0</v>
      </c>
      <c r="S473" s="3">
        <v>0</v>
      </c>
      <c r="T473" s="4">
        <v>0</v>
      </c>
      <c r="U473" s="5">
        <v>0</v>
      </c>
      <c r="V473" s="6">
        <v>0</v>
      </c>
    </row>
    <row r="474" spans="1:25" x14ac:dyDescent="0.3">
      <c r="A474" t="s">
        <v>25</v>
      </c>
      <c r="B474" s="7">
        <v>45190</v>
      </c>
      <c r="C474" t="s">
        <v>42</v>
      </c>
      <c r="D474">
        <v>17</v>
      </c>
      <c r="E474">
        <v>2</v>
      </c>
      <c r="F474">
        <v>4</v>
      </c>
      <c r="G474" t="s">
        <v>27</v>
      </c>
      <c r="H474">
        <v>1</v>
      </c>
      <c r="I474" s="8">
        <v>0.71527777777777779</v>
      </c>
      <c r="J474" s="8">
        <v>0.75347222222222221</v>
      </c>
      <c r="K474" s="9">
        <f t="shared" si="7"/>
        <v>0.91666666666666607</v>
      </c>
      <c r="L474" t="s">
        <v>25</v>
      </c>
      <c r="M474" t="s">
        <v>29</v>
      </c>
      <c r="N474" t="s">
        <v>27</v>
      </c>
      <c r="O474" s="3">
        <v>0</v>
      </c>
      <c r="P474" s="4">
        <v>0</v>
      </c>
      <c r="Q474" s="5">
        <v>0</v>
      </c>
      <c r="R474" s="6">
        <v>0</v>
      </c>
      <c r="S474" s="3">
        <v>0</v>
      </c>
      <c r="T474" s="4">
        <v>0</v>
      </c>
      <c r="U474" s="5">
        <v>0</v>
      </c>
      <c r="V474" s="6">
        <v>0</v>
      </c>
    </row>
    <row r="475" spans="1:25" x14ac:dyDescent="0.3">
      <c r="A475" t="s">
        <v>25</v>
      </c>
      <c r="B475" s="7">
        <v>45190</v>
      </c>
      <c r="C475" t="s">
        <v>42</v>
      </c>
      <c r="D475">
        <v>18</v>
      </c>
      <c r="E475">
        <v>2</v>
      </c>
      <c r="F475">
        <v>5</v>
      </c>
      <c r="G475" t="s">
        <v>27</v>
      </c>
      <c r="H475">
        <v>1</v>
      </c>
      <c r="I475" s="8">
        <v>0.72222222222222221</v>
      </c>
      <c r="J475" s="8">
        <v>0.76388888888888884</v>
      </c>
      <c r="K475" s="9">
        <f t="shared" si="7"/>
        <v>0.99999999999999911</v>
      </c>
      <c r="L475" t="s">
        <v>25</v>
      </c>
      <c r="M475" t="s">
        <v>29</v>
      </c>
      <c r="N475" t="s">
        <v>27</v>
      </c>
      <c r="O475" s="3">
        <v>0</v>
      </c>
      <c r="P475" s="4">
        <v>1</v>
      </c>
      <c r="Q475" s="5">
        <v>0</v>
      </c>
      <c r="R475" s="6">
        <v>0</v>
      </c>
      <c r="S475" s="3">
        <v>0</v>
      </c>
      <c r="T475" s="4">
        <v>0</v>
      </c>
      <c r="U475" s="5">
        <v>2</v>
      </c>
      <c r="V475" s="6">
        <v>0</v>
      </c>
    </row>
    <row r="476" spans="1:25" x14ac:dyDescent="0.3">
      <c r="A476" t="s">
        <v>25</v>
      </c>
      <c r="B476" s="7">
        <v>45190</v>
      </c>
      <c r="C476" t="s">
        <v>42</v>
      </c>
      <c r="D476">
        <v>19</v>
      </c>
      <c r="E476">
        <v>2</v>
      </c>
      <c r="F476">
        <v>5</v>
      </c>
      <c r="G476" t="s">
        <v>27</v>
      </c>
      <c r="H476">
        <v>2</v>
      </c>
      <c r="I476" s="8">
        <v>0.66666666666666663</v>
      </c>
      <c r="J476" s="8">
        <v>0.77777777777777779</v>
      </c>
      <c r="K476" s="9">
        <f t="shared" si="7"/>
        <v>5.3333333333333357</v>
      </c>
      <c r="L476" t="s">
        <v>25</v>
      </c>
      <c r="M476" t="s">
        <v>51</v>
      </c>
      <c r="N476" t="s">
        <v>27</v>
      </c>
      <c r="O476" s="3">
        <v>0</v>
      </c>
      <c r="P476" s="4">
        <v>0</v>
      </c>
      <c r="Q476" s="5">
        <v>0</v>
      </c>
      <c r="R476" s="6">
        <v>0</v>
      </c>
      <c r="S476" s="3">
        <v>0</v>
      </c>
      <c r="T476" s="4">
        <v>0</v>
      </c>
      <c r="U476" s="5">
        <v>10</v>
      </c>
      <c r="V476" s="6">
        <v>0</v>
      </c>
    </row>
    <row r="477" spans="1:25" x14ac:dyDescent="0.3">
      <c r="A477" t="s">
        <v>25</v>
      </c>
      <c r="B477" s="7">
        <v>45190</v>
      </c>
      <c r="C477" t="s">
        <v>42</v>
      </c>
      <c r="D477">
        <v>20</v>
      </c>
      <c r="E477">
        <v>2</v>
      </c>
      <c r="F477">
        <v>3</v>
      </c>
      <c r="G477" t="s">
        <v>27</v>
      </c>
      <c r="H477">
        <v>2</v>
      </c>
      <c r="I477" s="8">
        <v>0.76388888888888884</v>
      </c>
      <c r="J477" s="8">
        <v>0.80555555555555547</v>
      </c>
      <c r="K477" s="9">
        <f t="shared" si="7"/>
        <v>1.9999999999999982</v>
      </c>
      <c r="L477" t="s">
        <v>25</v>
      </c>
      <c r="M477" t="s">
        <v>79</v>
      </c>
      <c r="N477" t="s">
        <v>27</v>
      </c>
      <c r="O477" s="3">
        <v>0</v>
      </c>
      <c r="P477" s="4">
        <v>0</v>
      </c>
      <c r="Q477" s="5">
        <v>0</v>
      </c>
      <c r="R477" s="6">
        <v>0</v>
      </c>
      <c r="S477" s="3">
        <v>0</v>
      </c>
      <c r="T477" s="4">
        <v>0</v>
      </c>
      <c r="U477" s="5">
        <v>0</v>
      </c>
      <c r="V477" s="6">
        <v>0</v>
      </c>
    </row>
    <row r="478" spans="1:25" x14ac:dyDescent="0.3">
      <c r="A478" t="s">
        <v>25</v>
      </c>
      <c r="B478" s="7">
        <v>45190</v>
      </c>
      <c r="C478" t="s">
        <v>42</v>
      </c>
      <c r="D478">
        <v>21</v>
      </c>
      <c r="E478">
        <v>2</v>
      </c>
      <c r="F478">
        <v>2</v>
      </c>
      <c r="G478" t="s">
        <v>27</v>
      </c>
      <c r="H478">
        <v>1</v>
      </c>
      <c r="I478" s="8">
        <v>0.72916666666666663</v>
      </c>
      <c r="J478" s="8">
        <v>0.8125</v>
      </c>
      <c r="K478" s="9">
        <f t="shared" si="7"/>
        <v>2.0000000000000009</v>
      </c>
      <c r="L478" t="s">
        <v>25</v>
      </c>
      <c r="M478" t="s">
        <v>29</v>
      </c>
      <c r="N478" t="s">
        <v>38</v>
      </c>
      <c r="O478" s="3">
        <v>0</v>
      </c>
      <c r="P478" s="4">
        <v>0</v>
      </c>
      <c r="Q478" s="5">
        <v>0</v>
      </c>
      <c r="R478" s="6">
        <v>0</v>
      </c>
      <c r="S478" s="3">
        <v>0</v>
      </c>
      <c r="T478" s="4">
        <v>0</v>
      </c>
      <c r="U478" s="5">
        <v>0</v>
      </c>
      <c r="V478" s="6">
        <v>0</v>
      </c>
    </row>
    <row r="479" spans="1:25" x14ac:dyDescent="0.3">
      <c r="A479" t="s">
        <v>25</v>
      </c>
      <c r="B479" s="7">
        <v>45191</v>
      </c>
      <c r="C479" t="s">
        <v>26</v>
      </c>
      <c r="D479">
        <v>1</v>
      </c>
      <c r="E479">
        <v>3</v>
      </c>
      <c r="F479">
        <v>8</v>
      </c>
      <c r="G479" t="s">
        <v>27</v>
      </c>
      <c r="H479">
        <v>1</v>
      </c>
      <c r="I479" s="8">
        <v>0.27083333333333331</v>
      </c>
      <c r="J479" s="8">
        <v>0.28125</v>
      </c>
      <c r="K479" s="9">
        <f t="shared" si="7"/>
        <v>0.25000000000000044</v>
      </c>
      <c r="L479" t="s">
        <v>28</v>
      </c>
      <c r="M479" t="s">
        <v>51</v>
      </c>
      <c r="N479" t="s">
        <v>38</v>
      </c>
      <c r="O479" s="3">
        <v>0</v>
      </c>
      <c r="P479" s="4">
        <v>1</v>
      </c>
      <c r="Q479" s="5">
        <v>0</v>
      </c>
      <c r="R479" s="6">
        <v>0</v>
      </c>
      <c r="S479" s="3">
        <v>0</v>
      </c>
      <c r="T479" s="4">
        <v>0</v>
      </c>
      <c r="U479" s="5">
        <v>0</v>
      </c>
      <c r="V479" s="6">
        <v>0</v>
      </c>
      <c r="Y479" t="s">
        <v>175</v>
      </c>
    </row>
    <row r="480" spans="1:25" x14ac:dyDescent="0.3">
      <c r="A480" t="s">
        <v>25</v>
      </c>
      <c r="B480" s="7">
        <v>45191</v>
      </c>
      <c r="C480" t="s">
        <v>26</v>
      </c>
      <c r="D480">
        <v>2</v>
      </c>
      <c r="E480">
        <v>3</v>
      </c>
      <c r="F480">
        <v>7</v>
      </c>
      <c r="G480" t="s">
        <v>27</v>
      </c>
      <c r="H480">
        <v>2</v>
      </c>
      <c r="I480" s="8">
        <v>0.28125</v>
      </c>
      <c r="J480" s="8">
        <v>0.31458333333333333</v>
      </c>
      <c r="K480" s="9">
        <f t="shared" si="7"/>
        <v>1.5999999999999996</v>
      </c>
      <c r="L480" t="s">
        <v>28</v>
      </c>
      <c r="M480" t="s">
        <v>51</v>
      </c>
      <c r="N480" t="s">
        <v>27</v>
      </c>
      <c r="O480" s="3">
        <v>0</v>
      </c>
      <c r="P480" s="4">
        <v>0</v>
      </c>
      <c r="Q480" s="5">
        <v>3</v>
      </c>
      <c r="R480" s="6">
        <v>0</v>
      </c>
      <c r="S480" s="3">
        <v>0</v>
      </c>
      <c r="T480" s="4">
        <v>0</v>
      </c>
      <c r="U480" s="5">
        <v>3</v>
      </c>
      <c r="V480" s="6">
        <v>0</v>
      </c>
    </row>
    <row r="481" spans="1:25" x14ac:dyDescent="0.3">
      <c r="A481" t="s">
        <v>25</v>
      </c>
      <c r="B481" s="7">
        <v>45191</v>
      </c>
      <c r="C481" t="s">
        <v>26</v>
      </c>
      <c r="D481">
        <v>3</v>
      </c>
      <c r="E481">
        <v>3</v>
      </c>
      <c r="F481">
        <v>7</v>
      </c>
      <c r="G481" t="s">
        <v>27</v>
      </c>
      <c r="H481">
        <v>1</v>
      </c>
      <c r="I481" s="8">
        <v>0.24722222222222223</v>
      </c>
      <c r="J481" s="8">
        <v>0.31944444444444448</v>
      </c>
      <c r="K481" s="9">
        <f t="shared" si="7"/>
        <v>1.7333333333333338</v>
      </c>
      <c r="L481" t="s">
        <v>28</v>
      </c>
      <c r="M481" t="s">
        <v>29</v>
      </c>
      <c r="N481" t="s">
        <v>27</v>
      </c>
      <c r="O481" s="3">
        <v>0</v>
      </c>
      <c r="P481" s="4">
        <v>0</v>
      </c>
      <c r="Q481" s="5">
        <v>1</v>
      </c>
      <c r="R481" s="6">
        <v>0</v>
      </c>
      <c r="S481" s="3">
        <v>0</v>
      </c>
      <c r="T481" s="4">
        <v>0</v>
      </c>
      <c r="U481" s="5">
        <v>5</v>
      </c>
      <c r="V481" s="6">
        <v>0</v>
      </c>
    </row>
    <row r="482" spans="1:25" x14ac:dyDescent="0.3">
      <c r="A482" t="s">
        <v>25</v>
      </c>
      <c r="B482" s="7">
        <v>45191</v>
      </c>
      <c r="C482" t="s">
        <v>26</v>
      </c>
      <c r="D482">
        <v>4</v>
      </c>
      <c r="E482">
        <v>3</v>
      </c>
      <c r="F482">
        <v>6</v>
      </c>
      <c r="G482" t="s">
        <v>27</v>
      </c>
      <c r="H482">
        <v>1</v>
      </c>
      <c r="I482" s="8">
        <v>0.29166666666666669</v>
      </c>
      <c r="J482" s="8">
        <v>0.33124999999999999</v>
      </c>
      <c r="K482" s="9">
        <f t="shared" si="7"/>
        <v>0.94999999999999929</v>
      </c>
      <c r="L482" t="s">
        <v>28</v>
      </c>
      <c r="M482" t="s">
        <v>29</v>
      </c>
      <c r="N482" t="s">
        <v>32</v>
      </c>
      <c r="O482" s="3">
        <v>0</v>
      </c>
      <c r="P482" s="4">
        <v>0</v>
      </c>
      <c r="Q482" s="5">
        <v>0</v>
      </c>
      <c r="R482" s="6">
        <v>0</v>
      </c>
      <c r="S482" s="3">
        <v>0</v>
      </c>
      <c r="T482" s="4">
        <v>0</v>
      </c>
      <c r="U482" s="5">
        <v>0</v>
      </c>
      <c r="V482" s="6">
        <v>0</v>
      </c>
    </row>
    <row r="483" spans="1:25" x14ac:dyDescent="0.3">
      <c r="A483" t="s">
        <v>25</v>
      </c>
      <c r="B483" s="7">
        <v>45191</v>
      </c>
      <c r="C483" t="s">
        <v>26</v>
      </c>
      <c r="D483">
        <v>5</v>
      </c>
      <c r="E483">
        <v>3</v>
      </c>
      <c r="F483">
        <v>6</v>
      </c>
      <c r="G483" t="s">
        <v>27</v>
      </c>
      <c r="H483">
        <v>1</v>
      </c>
      <c r="I483" s="8">
        <v>0.27083333333333331</v>
      </c>
      <c r="J483" s="8">
        <v>0.33124999999999999</v>
      </c>
      <c r="K483" s="9">
        <f t="shared" si="7"/>
        <v>1.4500000000000002</v>
      </c>
      <c r="L483" t="s">
        <v>28</v>
      </c>
      <c r="M483" t="s">
        <v>99</v>
      </c>
      <c r="N483" t="s">
        <v>32</v>
      </c>
      <c r="O483" s="3">
        <v>0</v>
      </c>
      <c r="P483" s="4">
        <v>0</v>
      </c>
      <c r="Q483" s="5">
        <v>0</v>
      </c>
      <c r="R483" s="6">
        <v>0</v>
      </c>
      <c r="S483" s="3">
        <v>0</v>
      </c>
      <c r="T483" s="4">
        <v>0</v>
      </c>
      <c r="U483" s="5">
        <v>0</v>
      </c>
      <c r="V483" s="6">
        <v>0</v>
      </c>
    </row>
    <row r="484" spans="1:25" x14ac:dyDescent="0.3">
      <c r="A484" t="s">
        <v>25</v>
      </c>
      <c r="B484" s="7">
        <v>45191</v>
      </c>
      <c r="C484" t="s">
        <v>26</v>
      </c>
      <c r="D484">
        <v>6</v>
      </c>
      <c r="E484">
        <v>3</v>
      </c>
      <c r="F484">
        <v>6</v>
      </c>
      <c r="G484" t="s">
        <v>27</v>
      </c>
      <c r="H484">
        <v>1</v>
      </c>
      <c r="I484" s="8">
        <v>0.3125</v>
      </c>
      <c r="J484" s="8">
        <v>0.3444444444444445</v>
      </c>
      <c r="K484" s="9">
        <f t="shared" si="7"/>
        <v>0.76666666666666794</v>
      </c>
      <c r="L484" t="s">
        <v>28</v>
      </c>
      <c r="M484" t="s">
        <v>51</v>
      </c>
      <c r="N484" t="s">
        <v>27</v>
      </c>
      <c r="O484" s="3">
        <v>0</v>
      </c>
      <c r="P484" s="4">
        <v>0</v>
      </c>
      <c r="Q484" s="5">
        <v>1</v>
      </c>
      <c r="R484" s="6">
        <v>0</v>
      </c>
      <c r="S484" s="3">
        <v>0</v>
      </c>
      <c r="T484" s="4">
        <v>0</v>
      </c>
      <c r="U484" s="5">
        <v>1</v>
      </c>
      <c r="V484" s="6">
        <v>0</v>
      </c>
    </row>
    <row r="485" spans="1:25" x14ac:dyDescent="0.3">
      <c r="A485" t="s">
        <v>25</v>
      </c>
      <c r="B485" s="7">
        <v>45191</v>
      </c>
      <c r="C485" t="s">
        <v>26</v>
      </c>
      <c r="D485">
        <v>7</v>
      </c>
      <c r="E485">
        <v>3</v>
      </c>
      <c r="F485">
        <v>6</v>
      </c>
      <c r="G485" t="s">
        <v>27</v>
      </c>
      <c r="H485">
        <v>2</v>
      </c>
      <c r="I485" s="8">
        <v>0.25</v>
      </c>
      <c r="J485" s="8">
        <v>0.35000000000000003</v>
      </c>
      <c r="K485" s="9">
        <f t="shared" si="7"/>
        <v>4.8000000000000016</v>
      </c>
      <c r="L485" t="s">
        <v>28</v>
      </c>
      <c r="M485" t="s">
        <v>51</v>
      </c>
      <c r="N485" t="s">
        <v>27</v>
      </c>
      <c r="O485" s="3">
        <v>0</v>
      </c>
      <c r="P485" s="4">
        <v>0</v>
      </c>
      <c r="Q485" s="5">
        <v>4</v>
      </c>
      <c r="R485" s="6">
        <v>0</v>
      </c>
      <c r="S485" s="3">
        <v>0</v>
      </c>
      <c r="T485" s="4">
        <v>0</v>
      </c>
      <c r="U485" s="5">
        <v>3</v>
      </c>
      <c r="V485" s="6">
        <v>0</v>
      </c>
    </row>
    <row r="486" spans="1:25" x14ac:dyDescent="0.3">
      <c r="A486" t="s">
        <v>25</v>
      </c>
      <c r="B486" s="7">
        <v>45191</v>
      </c>
      <c r="C486" t="s">
        <v>26</v>
      </c>
      <c r="D486">
        <v>8</v>
      </c>
      <c r="E486">
        <v>3</v>
      </c>
      <c r="F486">
        <v>2</v>
      </c>
      <c r="G486" t="s">
        <v>27</v>
      </c>
      <c r="H486">
        <v>1</v>
      </c>
      <c r="I486" s="8">
        <v>0.375</v>
      </c>
      <c r="J486" s="8">
        <v>0.39583333333333331</v>
      </c>
      <c r="K486" s="9">
        <f t="shared" si="7"/>
        <v>0.49999999999999956</v>
      </c>
      <c r="L486" t="s">
        <v>28</v>
      </c>
      <c r="M486" t="s">
        <v>29</v>
      </c>
      <c r="N486" t="s">
        <v>32</v>
      </c>
      <c r="O486" s="3">
        <v>0</v>
      </c>
      <c r="P486" s="4">
        <v>0</v>
      </c>
      <c r="Q486" s="5">
        <v>1</v>
      </c>
      <c r="R486" s="6">
        <v>0</v>
      </c>
      <c r="S486" s="3">
        <v>0</v>
      </c>
      <c r="T486" s="4">
        <v>0</v>
      </c>
      <c r="U486" s="5">
        <v>6</v>
      </c>
      <c r="V486" s="6">
        <v>0</v>
      </c>
    </row>
    <row r="487" spans="1:25" x14ac:dyDescent="0.3">
      <c r="A487" t="s">
        <v>25</v>
      </c>
      <c r="B487" s="7">
        <v>45191</v>
      </c>
      <c r="C487" t="s">
        <v>26</v>
      </c>
      <c r="D487">
        <v>9</v>
      </c>
      <c r="E487">
        <v>3</v>
      </c>
      <c r="F487">
        <v>2</v>
      </c>
      <c r="G487" t="s">
        <v>27</v>
      </c>
      <c r="H487">
        <v>1</v>
      </c>
      <c r="I487" s="8">
        <v>0.35416666666666669</v>
      </c>
      <c r="J487" s="8">
        <v>0.39583333333333331</v>
      </c>
      <c r="K487" s="9">
        <f t="shared" si="7"/>
        <v>0.99999999999999911</v>
      </c>
      <c r="L487" t="s">
        <v>28</v>
      </c>
      <c r="M487" t="s">
        <v>29</v>
      </c>
      <c r="N487" t="s">
        <v>27</v>
      </c>
      <c r="O487" s="3">
        <v>0</v>
      </c>
      <c r="P487" s="4">
        <v>0</v>
      </c>
      <c r="Q487" s="5">
        <v>2</v>
      </c>
      <c r="R487" s="6">
        <v>0</v>
      </c>
      <c r="S487" s="3">
        <v>0</v>
      </c>
      <c r="T487" s="4">
        <v>0</v>
      </c>
      <c r="U487" s="5">
        <v>2</v>
      </c>
      <c r="V487" s="6">
        <v>0</v>
      </c>
    </row>
    <row r="488" spans="1:25" x14ac:dyDescent="0.3">
      <c r="A488" t="s">
        <v>25</v>
      </c>
      <c r="B488" s="7">
        <v>45191</v>
      </c>
      <c r="C488" t="s">
        <v>26</v>
      </c>
      <c r="D488">
        <v>10</v>
      </c>
      <c r="E488">
        <v>2</v>
      </c>
      <c r="F488">
        <v>4</v>
      </c>
      <c r="G488" t="s">
        <v>27</v>
      </c>
      <c r="H488">
        <v>1</v>
      </c>
      <c r="I488" s="8">
        <v>0.29166666666666669</v>
      </c>
      <c r="J488" s="8">
        <v>0.45347222222222222</v>
      </c>
      <c r="K488" s="9">
        <f t="shared" si="7"/>
        <v>3.8833333333333329</v>
      </c>
      <c r="L488" t="s">
        <v>28</v>
      </c>
      <c r="M488" t="s">
        <v>56</v>
      </c>
      <c r="N488" t="s">
        <v>55</v>
      </c>
      <c r="O488" s="3">
        <v>0</v>
      </c>
      <c r="P488" s="4">
        <v>2</v>
      </c>
      <c r="Q488" s="5">
        <v>0</v>
      </c>
      <c r="R488" s="6">
        <v>0</v>
      </c>
      <c r="S488" s="3">
        <v>0</v>
      </c>
      <c r="T488" s="4">
        <v>1</v>
      </c>
      <c r="U488" s="5">
        <v>0</v>
      </c>
      <c r="V488" s="6">
        <v>0</v>
      </c>
    </row>
    <row r="489" spans="1:25" x14ac:dyDescent="0.3">
      <c r="A489" t="s">
        <v>25</v>
      </c>
      <c r="B489" s="7">
        <v>45191</v>
      </c>
      <c r="C489" t="s">
        <v>26</v>
      </c>
      <c r="D489">
        <v>11</v>
      </c>
      <c r="E489">
        <v>2</v>
      </c>
      <c r="F489">
        <v>3</v>
      </c>
      <c r="G489" t="s">
        <v>27</v>
      </c>
      <c r="H489">
        <v>1</v>
      </c>
      <c r="I489" s="8">
        <v>0.39583333333333331</v>
      </c>
      <c r="J489" s="8">
        <v>0.46666666666666662</v>
      </c>
      <c r="K489" s="9">
        <f t="shared" si="7"/>
        <v>1.6999999999999993</v>
      </c>
      <c r="L489" t="s">
        <v>28</v>
      </c>
      <c r="M489" t="s">
        <v>29</v>
      </c>
      <c r="N489" t="s">
        <v>38</v>
      </c>
      <c r="O489" s="3">
        <v>0</v>
      </c>
      <c r="P489" s="4">
        <v>0</v>
      </c>
      <c r="Q489" s="5">
        <v>0</v>
      </c>
      <c r="R489" s="6">
        <v>0</v>
      </c>
      <c r="S489" s="3">
        <v>0</v>
      </c>
      <c r="T489" s="4">
        <v>0</v>
      </c>
      <c r="U489" s="5">
        <v>2</v>
      </c>
      <c r="V489" s="6">
        <v>0</v>
      </c>
    </row>
    <row r="490" spans="1:25" x14ac:dyDescent="0.3">
      <c r="A490" t="s">
        <v>25</v>
      </c>
      <c r="B490" s="7">
        <v>45191</v>
      </c>
      <c r="C490" t="s">
        <v>26</v>
      </c>
      <c r="D490">
        <v>12</v>
      </c>
      <c r="E490">
        <v>2</v>
      </c>
      <c r="F490">
        <v>2</v>
      </c>
      <c r="G490" t="s">
        <v>27</v>
      </c>
      <c r="H490">
        <v>1</v>
      </c>
      <c r="I490" s="8">
        <v>0.4375</v>
      </c>
      <c r="J490" s="8">
        <v>0.48958333333333331</v>
      </c>
      <c r="K490" s="9">
        <f t="shared" si="7"/>
        <v>1.2499999999999996</v>
      </c>
      <c r="L490" t="s">
        <v>25</v>
      </c>
      <c r="M490" t="s">
        <v>56</v>
      </c>
      <c r="N490" t="s">
        <v>55</v>
      </c>
      <c r="O490" s="3">
        <v>0</v>
      </c>
      <c r="P490" s="4">
        <v>1</v>
      </c>
      <c r="Q490" s="5">
        <v>0</v>
      </c>
      <c r="R490" s="6">
        <v>0</v>
      </c>
      <c r="S490" s="3">
        <v>0</v>
      </c>
      <c r="T490" s="4">
        <v>0</v>
      </c>
      <c r="U490" s="5">
        <v>0</v>
      </c>
      <c r="V490" s="6">
        <v>0</v>
      </c>
    </row>
    <row r="491" spans="1:25" x14ac:dyDescent="0.3">
      <c r="A491" t="s">
        <v>25</v>
      </c>
      <c r="B491" s="7">
        <v>45191</v>
      </c>
      <c r="C491" t="s">
        <v>26</v>
      </c>
      <c r="D491">
        <v>13</v>
      </c>
      <c r="E491">
        <v>2</v>
      </c>
      <c r="F491">
        <v>1</v>
      </c>
      <c r="G491" t="s">
        <v>27</v>
      </c>
      <c r="H491">
        <v>2</v>
      </c>
      <c r="I491" s="8">
        <v>0.27083333333333331</v>
      </c>
      <c r="J491" s="8">
        <v>0.5</v>
      </c>
      <c r="K491" s="9">
        <f t="shared" si="7"/>
        <v>11</v>
      </c>
      <c r="L491" t="s">
        <v>28</v>
      </c>
      <c r="M491" t="s">
        <v>167</v>
      </c>
      <c r="N491" t="s">
        <v>27</v>
      </c>
      <c r="O491" s="3">
        <v>0</v>
      </c>
      <c r="P491" s="4">
        <v>0</v>
      </c>
      <c r="Q491" s="5">
        <v>0</v>
      </c>
      <c r="R491" s="6">
        <v>0</v>
      </c>
      <c r="S491" s="3">
        <v>0</v>
      </c>
      <c r="T491" s="4">
        <v>0</v>
      </c>
      <c r="U491" s="5">
        <v>0</v>
      </c>
      <c r="V491" s="6">
        <v>0</v>
      </c>
    </row>
    <row r="492" spans="1:25" x14ac:dyDescent="0.3">
      <c r="A492" t="s">
        <v>25</v>
      </c>
      <c r="B492" s="7">
        <v>45191</v>
      </c>
      <c r="C492" t="s">
        <v>42</v>
      </c>
      <c r="D492">
        <v>14</v>
      </c>
      <c r="E492">
        <v>1</v>
      </c>
      <c r="F492">
        <v>1</v>
      </c>
      <c r="G492" t="s">
        <v>35</v>
      </c>
      <c r="H492">
        <v>2</v>
      </c>
      <c r="I492" s="8">
        <v>0.27083333333333331</v>
      </c>
      <c r="J492" s="8">
        <v>0.69444444444444453</v>
      </c>
      <c r="K492" s="9">
        <f t="shared" si="7"/>
        <v>20.333333333333339</v>
      </c>
      <c r="L492" t="s">
        <v>25</v>
      </c>
      <c r="M492" t="s">
        <v>162</v>
      </c>
      <c r="N492" t="s">
        <v>38</v>
      </c>
      <c r="O492" s="3">
        <v>0</v>
      </c>
      <c r="P492" s="4">
        <v>6</v>
      </c>
      <c r="Q492" s="5">
        <v>0</v>
      </c>
      <c r="R492" s="6">
        <v>0</v>
      </c>
      <c r="S492" s="3">
        <v>0</v>
      </c>
      <c r="T492" s="4">
        <v>0</v>
      </c>
      <c r="U492" s="5">
        <v>1</v>
      </c>
      <c r="V492" s="6">
        <v>0</v>
      </c>
      <c r="Y492" t="s">
        <v>182</v>
      </c>
    </row>
    <row r="493" spans="1:25" x14ac:dyDescent="0.3">
      <c r="A493" t="s">
        <v>25</v>
      </c>
      <c r="B493" s="7">
        <v>45191</v>
      </c>
      <c r="C493" t="s">
        <v>42</v>
      </c>
      <c r="D493">
        <v>15</v>
      </c>
      <c r="E493">
        <v>1</v>
      </c>
      <c r="F493">
        <v>1</v>
      </c>
      <c r="G493" t="s">
        <v>35</v>
      </c>
      <c r="H493">
        <v>3</v>
      </c>
      <c r="I493" s="8">
        <v>0.55208333333333337</v>
      </c>
      <c r="J493" s="8">
        <v>0.69444444444444453</v>
      </c>
      <c r="K493" s="9">
        <f t="shared" si="7"/>
        <v>10.250000000000004</v>
      </c>
      <c r="L493" t="s">
        <v>25</v>
      </c>
      <c r="M493" t="s">
        <v>162</v>
      </c>
      <c r="N493" t="s">
        <v>38</v>
      </c>
      <c r="O493" s="3">
        <v>0</v>
      </c>
      <c r="P493" s="4">
        <v>9</v>
      </c>
      <c r="Q493" s="5">
        <v>0</v>
      </c>
      <c r="R493" s="6">
        <v>0</v>
      </c>
      <c r="S493" s="3">
        <v>0</v>
      </c>
      <c r="T493" s="4">
        <v>0</v>
      </c>
      <c r="U493" s="5">
        <v>0</v>
      </c>
      <c r="V493" s="6">
        <v>0</v>
      </c>
    </row>
    <row r="494" spans="1:25" x14ac:dyDescent="0.3">
      <c r="A494" t="s">
        <v>25</v>
      </c>
      <c r="B494" s="7">
        <v>45191</v>
      </c>
      <c r="C494" t="s">
        <v>42</v>
      </c>
      <c r="D494">
        <v>16</v>
      </c>
      <c r="E494">
        <v>1</v>
      </c>
      <c r="F494">
        <v>1</v>
      </c>
      <c r="G494" t="s">
        <v>35</v>
      </c>
      <c r="H494">
        <v>2</v>
      </c>
      <c r="I494" s="8">
        <v>0.52083333333333337</v>
      </c>
      <c r="J494" s="8">
        <v>0.70000000000000007</v>
      </c>
      <c r="K494" s="9">
        <f t="shared" si="7"/>
        <v>8.6000000000000014</v>
      </c>
      <c r="L494" t="s">
        <v>25</v>
      </c>
      <c r="M494" t="s">
        <v>162</v>
      </c>
      <c r="N494" t="s">
        <v>38</v>
      </c>
      <c r="O494" s="3">
        <v>0</v>
      </c>
      <c r="P494" s="4">
        <v>1</v>
      </c>
      <c r="Q494" s="5">
        <v>0</v>
      </c>
      <c r="R494" s="6">
        <v>0</v>
      </c>
      <c r="S494" s="3">
        <v>0</v>
      </c>
      <c r="T494" s="4">
        <v>0</v>
      </c>
      <c r="U494" s="5">
        <v>0</v>
      </c>
      <c r="V494" s="6">
        <v>0</v>
      </c>
    </row>
    <row r="495" spans="1:25" x14ac:dyDescent="0.3">
      <c r="A495" t="s">
        <v>25</v>
      </c>
      <c r="B495" s="7">
        <v>45191</v>
      </c>
      <c r="C495" t="s">
        <v>42</v>
      </c>
      <c r="D495">
        <v>17</v>
      </c>
      <c r="E495">
        <v>1</v>
      </c>
      <c r="F495">
        <v>1</v>
      </c>
      <c r="G495" t="s">
        <v>35</v>
      </c>
      <c r="H495">
        <v>2</v>
      </c>
      <c r="I495" s="8">
        <v>0.3125</v>
      </c>
      <c r="J495" s="8">
        <v>0.72916666666666663</v>
      </c>
      <c r="K495" s="9">
        <f t="shared" si="7"/>
        <v>20</v>
      </c>
      <c r="L495" t="s">
        <v>25</v>
      </c>
      <c r="M495" t="s">
        <v>145</v>
      </c>
      <c r="N495" t="s">
        <v>27</v>
      </c>
      <c r="O495" s="3">
        <v>0</v>
      </c>
      <c r="P495" s="4">
        <v>5</v>
      </c>
      <c r="Q495" s="5">
        <v>11</v>
      </c>
      <c r="R495" s="6">
        <v>0</v>
      </c>
      <c r="S495" s="3">
        <v>0</v>
      </c>
      <c r="T495" s="4">
        <v>0</v>
      </c>
      <c r="U495" s="5">
        <v>0</v>
      </c>
      <c r="V495" s="6">
        <v>0</v>
      </c>
    </row>
    <row r="496" spans="1:25" x14ac:dyDescent="0.3">
      <c r="A496" t="s">
        <v>25</v>
      </c>
      <c r="B496" s="7">
        <v>45191</v>
      </c>
      <c r="C496" t="s">
        <v>42</v>
      </c>
      <c r="D496">
        <v>18</v>
      </c>
      <c r="E496">
        <v>1</v>
      </c>
      <c r="F496">
        <v>1</v>
      </c>
      <c r="G496" t="s">
        <v>35</v>
      </c>
      <c r="H496">
        <v>1</v>
      </c>
      <c r="I496" s="8">
        <v>0.64583333333333337</v>
      </c>
      <c r="J496" s="8">
        <v>0.79305555555555562</v>
      </c>
      <c r="K496" s="9">
        <f t="shared" si="7"/>
        <v>3.5333333333333341</v>
      </c>
      <c r="L496" t="s">
        <v>25</v>
      </c>
      <c r="M496" t="s">
        <v>162</v>
      </c>
      <c r="N496" t="s">
        <v>38</v>
      </c>
      <c r="O496" s="3">
        <v>0</v>
      </c>
      <c r="P496" s="4">
        <v>0</v>
      </c>
      <c r="Q496" s="5">
        <v>0</v>
      </c>
      <c r="R496" s="6">
        <v>0</v>
      </c>
      <c r="S496" s="3">
        <v>0</v>
      </c>
      <c r="T496" s="4">
        <v>0</v>
      </c>
      <c r="U496" s="5">
        <v>0</v>
      </c>
      <c r="V496" s="6">
        <v>0</v>
      </c>
    </row>
    <row r="497" spans="1:25" x14ac:dyDescent="0.3">
      <c r="A497" t="s">
        <v>25</v>
      </c>
      <c r="B497" s="7">
        <v>45191</v>
      </c>
      <c r="C497" t="s">
        <v>42</v>
      </c>
      <c r="D497">
        <v>19</v>
      </c>
      <c r="E497">
        <v>1</v>
      </c>
      <c r="F497">
        <v>1</v>
      </c>
      <c r="G497" t="s">
        <v>35</v>
      </c>
      <c r="H497">
        <v>3</v>
      </c>
      <c r="I497" s="8">
        <v>0.625</v>
      </c>
      <c r="J497" s="8">
        <v>0.79652777777777783</v>
      </c>
      <c r="K497" s="9">
        <f t="shared" si="7"/>
        <v>12.350000000000005</v>
      </c>
      <c r="L497" t="s">
        <v>25</v>
      </c>
      <c r="M497" t="s">
        <v>162</v>
      </c>
      <c r="N497" t="s">
        <v>38</v>
      </c>
      <c r="O497" s="3">
        <v>0</v>
      </c>
      <c r="P497" s="4">
        <v>7</v>
      </c>
      <c r="Q497" s="5">
        <v>2</v>
      </c>
      <c r="R497" s="6">
        <v>0</v>
      </c>
      <c r="S497" s="3">
        <v>0</v>
      </c>
      <c r="T497" s="4">
        <v>0</v>
      </c>
      <c r="U497" s="5">
        <v>0</v>
      </c>
      <c r="V497" s="6">
        <v>0</v>
      </c>
    </row>
    <row r="498" spans="1:25" x14ac:dyDescent="0.3">
      <c r="A498" t="s">
        <v>25</v>
      </c>
      <c r="B498" s="7">
        <v>45191</v>
      </c>
      <c r="C498" t="s">
        <v>42</v>
      </c>
      <c r="D498">
        <v>20</v>
      </c>
      <c r="E498">
        <v>1</v>
      </c>
      <c r="F498">
        <v>1</v>
      </c>
      <c r="G498" t="s">
        <v>35</v>
      </c>
      <c r="H498">
        <v>1</v>
      </c>
      <c r="I498" s="8">
        <v>0.6875</v>
      </c>
      <c r="J498" s="8">
        <v>0.79861111111111116</v>
      </c>
      <c r="K498" s="9">
        <f t="shared" si="7"/>
        <v>2.6666666666666679</v>
      </c>
      <c r="L498" t="s">
        <v>25</v>
      </c>
      <c r="M498" t="s">
        <v>29</v>
      </c>
      <c r="N498" t="s">
        <v>32</v>
      </c>
      <c r="O498" s="3">
        <v>0</v>
      </c>
      <c r="P498" s="4">
        <v>0</v>
      </c>
      <c r="Q498" s="5">
        <v>2</v>
      </c>
      <c r="R498" s="6">
        <v>0</v>
      </c>
      <c r="S498" s="3">
        <v>0</v>
      </c>
      <c r="T498" s="4">
        <v>1</v>
      </c>
      <c r="U498" s="5">
        <v>0</v>
      </c>
      <c r="V498" s="6">
        <v>0</v>
      </c>
    </row>
    <row r="499" spans="1:25" x14ac:dyDescent="0.3">
      <c r="A499" t="s">
        <v>25</v>
      </c>
      <c r="B499" s="7">
        <v>45191</v>
      </c>
      <c r="C499" t="s">
        <v>42</v>
      </c>
      <c r="D499">
        <v>21</v>
      </c>
      <c r="E499">
        <v>1</v>
      </c>
      <c r="F499">
        <v>1</v>
      </c>
      <c r="G499" t="s">
        <v>35</v>
      </c>
      <c r="H499">
        <v>1</v>
      </c>
      <c r="I499" s="8">
        <v>0.66666666666666663</v>
      </c>
      <c r="J499" s="8">
        <v>0.8041666666666667</v>
      </c>
      <c r="K499" s="9">
        <f t="shared" si="7"/>
        <v>3.3000000000000016</v>
      </c>
      <c r="L499" t="s">
        <v>25</v>
      </c>
      <c r="M499" t="s">
        <v>162</v>
      </c>
      <c r="N499" t="s">
        <v>38</v>
      </c>
      <c r="O499" s="3">
        <v>0</v>
      </c>
      <c r="P499" s="4">
        <v>0</v>
      </c>
      <c r="Q499" s="5">
        <v>0</v>
      </c>
      <c r="R499" s="6">
        <v>0</v>
      </c>
      <c r="S499" s="3">
        <v>1</v>
      </c>
      <c r="T499" s="4">
        <v>1</v>
      </c>
      <c r="U499" s="5">
        <v>0</v>
      </c>
      <c r="V499" s="6">
        <v>0</v>
      </c>
    </row>
    <row r="500" spans="1:25" x14ac:dyDescent="0.3">
      <c r="A500" t="s">
        <v>25</v>
      </c>
      <c r="B500" s="7">
        <v>45192</v>
      </c>
      <c r="C500" t="s">
        <v>26</v>
      </c>
      <c r="D500">
        <v>1</v>
      </c>
      <c r="E500">
        <v>2</v>
      </c>
      <c r="F500">
        <v>1</v>
      </c>
      <c r="G500" t="s">
        <v>27</v>
      </c>
      <c r="H500">
        <v>2</v>
      </c>
      <c r="I500" s="8">
        <v>0.28125</v>
      </c>
      <c r="J500" s="8">
        <v>0.31944444444444448</v>
      </c>
      <c r="K500" s="9">
        <f t="shared" si="7"/>
        <v>1.8333333333333348</v>
      </c>
      <c r="L500" t="s">
        <v>28</v>
      </c>
      <c r="M500" t="s">
        <v>56</v>
      </c>
      <c r="N500" t="s">
        <v>38</v>
      </c>
      <c r="O500" s="3">
        <v>0</v>
      </c>
      <c r="P500" s="4">
        <v>1</v>
      </c>
      <c r="Q500" s="5">
        <v>0</v>
      </c>
      <c r="R500" s="6">
        <v>0</v>
      </c>
      <c r="S500" s="3">
        <v>0</v>
      </c>
      <c r="T500" s="4">
        <v>0</v>
      </c>
      <c r="U500" s="5">
        <v>0</v>
      </c>
      <c r="V500" s="6">
        <v>0</v>
      </c>
    </row>
    <row r="501" spans="1:25" x14ac:dyDescent="0.3">
      <c r="A501" t="s">
        <v>25</v>
      </c>
      <c r="B501" s="7">
        <v>45192</v>
      </c>
      <c r="C501" t="s">
        <v>26</v>
      </c>
      <c r="D501">
        <v>2</v>
      </c>
      <c r="E501">
        <v>2</v>
      </c>
      <c r="F501">
        <v>1</v>
      </c>
      <c r="G501" t="s">
        <v>27</v>
      </c>
      <c r="H501">
        <v>2</v>
      </c>
      <c r="I501" s="8">
        <v>0.25</v>
      </c>
      <c r="J501" s="8">
        <v>0.31944444444444448</v>
      </c>
      <c r="K501" s="9">
        <f t="shared" si="7"/>
        <v>3.3333333333333348</v>
      </c>
      <c r="L501" t="s">
        <v>28</v>
      </c>
      <c r="M501" t="s">
        <v>56</v>
      </c>
      <c r="N501" t="s">
        <v>38</v>
      </c>
      <c r="O501" s="3">
        <v>0</v>
      </c>
      <c r="P501" s="4">
        <v>3</v>
      </c>
      <c r="Q501" s="5">
        <v>0</v>
      </c>
      <c r="R501" s="6">
        <v>0</v>
      </c>
      <c r="S501" s="3">
        <v>0</v>
      </c>
      <c r="T501" s="4">
        <v>0</v>
      </c>
      <c r="U501" s="5">
        <v>0</v>
      </c>
      <c r="V501" s="6">
        <v>0</v>
      </c>
    </row>
    <row r="502" spans="1:25" x14ac:dyDescent="0.3">
      <c r="A502" t="s">
        <v>25</v>
      </c>
      <c r="B502" s="7">
        <v>45192</v>
      </c>
      <c r="C502" t="s">
        <v>26</v>
      </c>
      <c r="D502">
        <v>3</v>
      </c>
      <c r="E502">
        <v>2</v>
      </c>
      <c r="F502">
        <v>1</v>
      </c>
      <c r="G502" t="s">
        <v>27</v>
      </c>
      <c r="H502">
        <v>2</v>
      </c>
      <c r="I502" s="8">
        <v>0.29166666666666669</v>
      </c>
      <c r="J502" s="8">
        <v>0.3263888888888889</v>
      </c>
      <c r="K502" s="9">
        <f t="shared" si="7"/>
        <v>1.6666666666666661</v>
      </c>
      <c r="L502" t="s">
        <v>28</v>
      </c>
      <c r="M502" t="s">
        <v>56</v>
      </c>
      <c r="N502" t="s">
        <v>38</v>
      </c>
      <c r="O502" s="3">
        <v>0</v>
      </c>
      <c r="P502" s="4">
        <v>2</v>
      </c>
      <c r="Q502" s="5">
        <v>0</v>
      </c>
      <c r="R502" s="6">
        <v>0</v>
      </c>
      <c r="S502" s="3">
        <v>0</v>
      </c>
      <c r="T502" s="4">
        <v>0</v>
      </c>
      <c r="U502" s="5">
        <v>0</v>
      </c>
      <c r="V502" s="6">
        <v>0</v>
      </c>
    </row>
    <row r="503" spans="1:25" x14ac:dyDescent="0.3">
      <c r="A503" t="s">
        <v>25</v>
      </c>
      <c r="B503" s="7">
        <v>45192</v>
      </c>
      <c r="C503" t="s">
        <v>26</v>
      </c>
      <c r="D503">
        <v>4</v>
      </c>
      <c r="E503">
        <v>2</v>
      </c>
      <c r="F503">
        <v>2</v>
      </c>
      <c r="G503" t="s">
        <v>27</v>
      </c>
      <c r="H503">
        <v>1</v>
      </c>
      <c r="I503" s="8">
        <v>0.27777777777777779</v>
      </c>
      <c r="J503" s="8">
        <v>0.33680555555555558</v>
      </c>
      <c r="K503" s="9">
        <f t="shared" si="7"/>
        <v>1.416666666666667</v>
      </c>
      <c r="L503" t="s">
        <v>25</v>
      </c>
      <c r="M503" t="s">
        <v>56</v>
      </c>
      <c r="N503" t="s">
        <v>27</v>
      </c>
      <c r="O503" s="3">
        <v>0</v>
      </c>
      <c r="P503" s="4">
        <v>4</v>
      </c>
      <c r="Q503" s="5">
        <v>0</v>
      </c>
      <c r="R503" s="6">
        <v>0</v>
      </c>
      <c r="S503" s="3">
        <v>0</v>
      </c>
      <c r="T503" s="4">
        <v>0</v>
      </c>
      <c r="U503" s="5">
        <v>0</v>
      </c>
      <c r="V503" s="6">
        <v>0</v>
      </c>
      <c r="Y503" t="s">
        <v>183</v>
      </c>
    </row>
    <row r="504" spans="1:25" x14ac:dyDescent="0.3">
      <c r="A504" t="s">
        <v>25</v>
      </c>
      <c r="B504" s="7">
        <v>45192</v>
      </c>
      <c r="C504" t="s">
        <v>26</v>
      </c>
      <c r="D504">
        <v>5</v>
      </c>
      <c r="E504">
        <v>2</v>
      </c>
      <c r="F504">
        <v>2</v>
      </c>
      <c r="G504" t="s">
        <v>27</v>
      </c>
      <c r="H504">
        <v>3</v>
      </c>
      <c r="I504" s="8">
        <v>0.28125</v>
      </c>
      <c r="J504" s="8">
        <v>0.34375</v>
      </c>
      <c r="K504" s="9">
        <f t="shared" si="7"/>
        <v>4.5</v>
      </c>
      <c r="L504" t="s">
        <v>28</v>
      </c>
      <c r="M504" t="s">
        <v>56</v>
      </c>
      <c r="N504" t="s">
        <v>38</v>
      </c>
      <c r="O504" s="3">
        <v>0</v>
      </c>
      <c r="P504" s="4">
        <v>5</v>
      </c>
      <c r="Q504" s="5">
        <v>0</v>
      </c>
      <c r="R504" s="6">
        <v>0</v>
      </c>
      <c r="S504" s="3">
        <v>0</v>
      </c>
      <c r="T504" s="4">
        <v>0</v>
      </c>
      <c r="U504" s="5">
        <v>0</v>
      </c>
      <c r="V504" s="6">
        <v>0</v>
      </c>
    </row>
    <row r="505" spans="1:25" x14ac:dyDescent="0.3">
      <c r="A505" t="s">
        <v>25</v>
      </c>
      <c r="B505" s="7">
        <v>45192</v>
      </c>
      <c r="C505" t="s">
        <v>26</v>
      </c>
      <c r="D505">
        <v>6</v>
      </c>
      <c r="E505">
        <v>2</v>
      </c>
      <c r="F505">
        <v>2</v>
      </c>
      <c r="G505" t="s">
        <v>27</v>
      </c>
      <c r="H505">
        <v>1</v>
      </c>
      <c r="I505" s="8">
        <v>0.26041666666666669</v>
      </c>
      <c r="J505" s="8">
        <v>0.34722222222222227</v>
      </c>
      <c r="K505" s="9">
        <f t="shared" si="7"/>
        <v>2.0833333333333339</v>
      </c>
      <c r="L505" t="s">
        <v>25</v>
      </c>
      <c r="M505" t="s">
        <v>56</v>
      </c>
      <c r="N505" t="s">
        <v>38</v>
      </c>
      <c r="O505" s="3">
        <v>0</v>
      </c>
      <c r="P505" s="4">
        <v>2</v>
      </c>
      <c r="Q505" s="5">
        <v>0</v>
      </c>
      <c r="R505" s="6">
        <v>0</v>
      </c>
      <c r="S505" s="3">
        <v>0</v>
      </c>
      <c r="T505" s="4">
        <v>0</v>
      </c>
      <c r="U505" s="5">
        <v>3</v>
      </c>
      <c r="V505" s="6">
        <v>0</v>
      </c>
    </row>
    <row r="506" spans="1:25" x14ac:dyDescent="0.3">
      <c r="A506" t="s">
        <v>25</v>
      </c>
      <c r="B506" s="7">
        <v>45192</v>
      </c>
      <c r="C506" t="s">
        <v>26</v>
      </c>
      <c r="D506">
        <v>7</v>
      </c>
      <c r="E506">
        <v>2</v>
      </c>
      <c r="F506">
        <v>2</v>
      </c>
      <c r="G506" t="s">
        <v>27</v>
      </c>
      <c r="H506">
        <v>2</v>
      </c>
      <c r="I506" s="8">
        <v>0.25</v>
      </c>
      <c r="J506" s="8">
        <v>0.34791666666666665</v>
      </c>
      <c r="K506" s="9">
        <f t="shared" si="7"/>
        <v>4.6999999999999993</v>
      </c>
      <c r="L506" t="s">
        <v>25</v>
      </c>
      <c r="M506" t="s">
        <v>125</v>
      </c>
      <c r="N506" t="s">
        <v>27</v>
      </c>
      <c r="O506" s="3">
        <v>0</v>
      </c>
      <c r="P506" s="4">
        <v>4</v>
      </c>
      <c r="Q506" s="5">
        <v>2</v>
      </c>
      <c r="R506" s="6">
        <v>0</v>
      </c>
      <c r="S506" s="3">
        <v>0</v>
      </c>
      <c r="T506" s="4">
        <v>0</v>
      </c>
      <c r="U506" s="5">
        <v>2</v>
      </c>
      <c r="V506" s="6">
        <v>0</v>
      </c>
      <c r="Y506" t="s">
        <v>184</v>
      </c>
    </row>
    <row r="507" spans="1:25" x14ac:dyDescent="0.3">
      <c r="A507" t="s">
        <v>25</v>
      </c>
      <c r="B507" s="7">
        <v>45192</v>
      </c>
      <c r="C507" t="s">
        <v>26</v>
      </c>
      <c r="D507">
        <v>8</v>
      </c>
      <c r="E507">
        <v>2</v>
      </c>
      <c r="F507">
        <v>3</v>
      </c>
      <c r="G507" t="s">
        <v>27</v>
      </c>
      <c r="H507">
        <v>2</v>
      </c>
      <c r="I507" s="8">
        <v>0.25</v>
      </c>
      <c r="J507" s="8">
        <v>0.36319444444444443</v>
      </c>
      <c r="K507" s="9">
        <f t="shared" si="7"/>
        <v>5.4333333333333327</v>
      </c>
      <c r="L507" t="s">
        <v>28</v>
      </c>
      <c r="M507" t="s">
        <v>56</v>
      </c>
      <c r="N507" t="s">
        <v>38</v>
      </c>
      <c r="O507" s="3">
        <v>0</v>
      </c>
      <c r="P507" s="4">
        <v>3</v>
      </c>
      <c r="Q507" s="5">
        <v>0</v>
      </c>
      <c r="R507" s="6">
        <v>0</v>
      </c>
      <c r="S507" s="3">
        <v>0</v>
      </c>
      <c r="T507" s="4">
        <v>0</v>
      </c>
      <c r="U507" s="5">
        <v>0</v>
      </c>
      <c r="V507" s="6">
        <v>0</v>
      </c>
    </row>
    <row r="508" spans="1:25" x14ac:dyDescent="0.3">
      <c r="A508" t="s">
        <v>25</v>
      </c>
      <c r="B508" s="7">
        <v>45192</v>
      </c>
      <c r="C508" t="s">
        <v>26</v>
      </c>
      <c r="D508">
        <v>9</v>
      </c>
      <c r="E508">
        <v>2</v>
      </c>
      <c r="F508">
        <v>3</v>
      </c>
      <c r="G508" t="s">
        <v>27</v>
      </c>
      <c r="H508">
        <v>4</v>
      </c>
      <c r="I508" s="8">
        <v>0.25</v>
      </c>
      <c r="J508" s="8">
        <v>0.36458333333333331</v>
      </c>
      <c r="K508" s="9">
        <f t="shared" si="7"/>
        <v>10.999999999999998</v>
      </c>
      <c r="L508" t="s">
        <v>28</v>
      </c>
      <c r="M508" t="s">
        <v>114</v>
      </c>
      <c r="N508" t="s">
        <v>38</v>
      </c>
      <c r="O508" s="3">
        <v>0</v>
      </c>
      <c r="P508" s="4">
        <v>4</v>
      </c>
      <c r="Q508" s="5">
        <v>0</v>
      </c>
      <c r="R508" s="6">
        <v>0</v>
      </c>
      <c r="S508" s="3">
        <v>0</v>
      </c>
      <c r="T508" s="4">
        <v>0</v>
      </c>
      <c r="U508" s="5">
        <v>0</v>
      </c>
      <c r="V508" s="6">
        <v>0</v>
      </c>
    </row>
    <row r="509" spans="1:25" x14ac:dyDescent="0.3">
      <c r="A509" t="s">
        <v>25</v>
      </c>
      <c r="B509" s="7">
        <v>45192</v>
      </c>
      <c r="C509" t="s">
        <v>26</v>
      </c>
      <c r="D509">
        <v>10</v>
      </c>
      <c r="E509">
        <v>2</v>
      </c>
      <c r="F509">
        <v>3</v>
      </c>
      <c r="G509" t="s">
        <v>27</v>
      </c>
      <c r="H509">
        <v>2</v>
      </c>
      <c r="I509" s="8">
        <v>0.27083333333333331</v>
      </c>
      <c r="J509" s="8">
        <v>0.37152777777777773</v>
      </c>
      <c r="K509" s="9">
        <f t="shared" si="7"/>
        <v>4.8333333333333321</v>
      </c>
      <c r="L509" t="s">
        <v>28</v>
      </c>
      <c r="M509" t="s">
        <v>56</v>
      </c>
      <c r="N509" t="s">
        <v>38</v>
      </c>
      <c r="O509" s="3">
        <v>0</v>
      </c>
      <c r="P509" s="4">
        <v>3</v>
      </c>
      <c r="Q509" s="5">
        <v>0</v>
      </c>
      <c r="R509" s="6">
        <v>0</v>
      </c>
      <c r="S509" s="3">
        <v>0</v>
      </c>
      <c r="T509" s="4">
        <v>0</v>
      </c>
      <c r="U509" s="5">
        <v>0</v>
      </c>
      <c r="V509" s="6">
        <v>0</v>
      </c>
    </row>
    <row r="510" spans="1:25" x14ac:dyDescent="0.3">
      <c r="A510" t="s">
        <v>25</v>
      </c>
      <c r="B510" s="7">
        <v>45192</v>
      </c>
      <c r="C510" t="s">
        <v>26</v>
      </c>
      <c r="D510">
        <v>11</v>
      </c>
      <c r="E510">
        <v>2</v>
      </c>
      <c r="F510">
        <v>4</v>
      </c>
      <c r="G510" t="s">
        <v>27</v>
      </c>
      <c r="H510">
        <v>1</v>
      </c>
      <c r="I510" s="8">
        <v>0.28125</v>
      </c>
      <c r="J510" s="8">
        <v>0.37708333333333338</v>
      </c>
      <c r="K510" s="9">
        <f t="shared" si="7"/>
        <v>2.3000000000000012</v>
      </c>
      <c r="L510" t="s">
        <v>28</v>
      </c>
      <c r="M510" t="s">
        <v>185</v>
      </c>
      <c r="N510" t="s">
        <v>38</v>
      </c>
      <c r="O510" s="3">
        <v>1</v>
      </c>
      <c r="P510" s="4">
        <v>0</v>
      </c>
      <c r="Q510" s="5">
        <v>0</v>
      </c>
      <c r="R510" s="6">
        <v>0</v>
      </c>
      <c r="S510" s="3">
        <v>0</v>
      </c>
      <c r="T510" s="4">
        <v>0</v>
      </c>
      <c r="U510" s="5">
        <v>0</v>
      </c>
      <c r="V510" s="6">
        <v>0</v>
      </c>
    </row>
    <row r="511" spans="1:25" x14ac:dyDescent="0.3">
      <c r="A511" t="s">
        <v>25</v>
      </c>
      <c r="B511" s="7">
        <v>45192</v>
      </c>
      <c r="C511" t="s">
        <v>26</v>
      </c>
      <c r="D511">
        <v>12</v>
      </c>
      <c r="E511">
        <v>2</v>
      </c>
      <c r="F511">
        <v>4</v>
      </c>
      <c r="G511" t="s">
        <v>27</v>
      </c>
      <c r="H511">
        <v>1</v>
      </c>
      <c r="I511" s="8">
        <v>0.3125</v>
      </c>
      <c r="J511" s="8">
        <v>0.40138888888888885</v>
      </c>
      <c r="K511" s="9">
        <f t="shared" si="7"/>
        <v>2.1333333333333324</v>
      </c>
      <c r="L511" t="s">
        <v>25</v>
      </c>
      <c r="M511" t="s">
        <v>29</v>
      </c>
      <c r="N511" t="s">
        <v>27</v>
      </c>
      <c r="O511" s="3">
        <v>0</v>
      </c>
      <c r="P511" s="4">
        <v>0</v>
      </c>
      <c r="Q511" s="5">
        <v>0</v>
      </c>
      <c r="R511" s="6">
        <v>0</v>
      </c>
      <c r="S511" s="3">
        <v>0</v>
      </c>
      <c r="T511" s="4">
        <v>0</v>
      </c>
      <c r="U511" s="5">
        <v>0</v>
      </c>
      <c r="V511" s="6">
        <v>0</v>
      </c>
    </row>
    <row r="512" spans="1:25" x14ac:dyDescent="0.3">
      <c r="A512" t="s">
        <v>25</v>
      </c>
      <c r="B512" s="7">
        <v>45192</v>
      </c>
      <c r="C512" t="s">
        <v>26</v>
      </c>
      <c r="D512">
        <v>13</v>
      </c>
      <c r="E512">
        <v>3</v>
      </c>
      <c r="F512">
        <v>1</v>
      </c>
      <c r="G512" t="s">
        <v>27</v>
      </c>
      <c r="H512">
        <v>1</v>
      </c>
      <c r="I512" s="8">
        <v>0.35416666666666669</v>
      </c>
      <c r="J512" s="8">
        <v>0.42222222222222222</v>
      </c>
      <c r="K512" s="9">
        <f t="shared" si="7"/>
        <v>1.6333333333333329</v>
      </c>
      <c r="L512" t="s">
        <v>28</v>
      </c>
      <c r="M512" t="s">
        <v>29</v>
      </c>
      <c r="N512" t="s">
        <v>27</v>
      </c>
      <c r="O512" s="3">
        <v>0</v>
      </c>
      <c r="P512" s="4">
        <v>2</v>
      </c>
      <c r="Q512" s="5">
        <v>0</v>
      </c>
      <c r="R512" s="6">
        <v>0</v>
      </c>
      <c r="S512" s="3">
        <v>0</v>
      </c>
      <c r="T512" s="4">
        <v>0</v>
      </c>
      <c r="U512" s="5">
        <v>0</v>
      </c>
      <c r="V512" s="6">
        <v>0</v>
      </c>
    </row>
    <row r="513" spans="1:25" x14ac:dyDescent="0.3">
      <c r="A513" t="s">
        <v>25</v>
      </c>
      <c r="B513" s="7">
        <v>45192</v>
      </c>
      <c r="C513" t="s">
        <v>26</v>
      </c>
      <c r="D513">
        <v>14</v>
      </c>
      <c r="E513">
        <v>3</v>
      </c>
      <c r="F513">
        <v>2</v>
      </c>
      <c r="G513" t="s">
        <v>27</v>
      </c>
      <c r="H513">
        <v>2</v>
      </c>
      <c r="I513" s="8">
        <v>0.375</v>
      </c>
      <c r="J513" s="8">
        <v>0.43055555555555558</v>
      </c>
      <c r="K513" s="9">
        <f t="shared" si="7"/>
        <v>2.6666666666666679</v>
      </c>
      <c r="L513" t="s">
        <v>25</v>
      </c>
      <c r="M513" t="s">
        <v>62</v>
      </c>
      <c r="N513" t="s">
        <v>27</v>
      </c>
      <c r="O513" s="3">
        <v>0</v>
      </c>
      <c r="P513" s="4">
        <v>0</v>
      </c>
      <c r="Q513" s="5">
        <v>0</v>
      </c>
      <c r="R513" s="6">
        <v>0</v>
      </c>
      <c r="S513" s="3">
        <v>0</v>
      </c>
      <c r="T513" s="4">
        <v>0</v>
      </c>
      <c r="U513" s="5">
        <v>0</v>
      </c>
      <c r="V513" s="6">
        <v>0</v>
      </c>
    </row>
    <row r="514" spans="1:25" x14ac:dyDescent="0.3">
      <c r="A514" t="s">
        <v>25</v>
      </c>
      <c r="B514" s="7">
        <v>45192</v>
      </c>
      <c r="C514" t="s">
        <v>26</v>
      </c>
      <c r="D514">
        <v>15</v>
      </c>
      <c r="E514">
        <v>3</v>
      </c>
      <c r="F514">
        <v>5</v>
      </c>
      <c r="G514" t="s">
        <v>27</v>
      </c>
      <c r="H514">
        <v>1</v>
      </c>
      <c r="I514" s="8">
        <v>0.40625</v>
      </c>
      <c r="J514" s="8">
        <v>0.44930555555555557</v>
      </c>
      <c r="K514" s="9">
        <f t="shared" si="7"/>
        <v>1.0333333333333337</v>
      </c>
      <c r="L514" t="s">
        <v>28</v>
      </c>
      <c r="M514" t="s">
        <v>179</v>
      </c>
      <c r="N514" t="s">
        <v>27</v>
      </c>
      <c r="O514" s="3">
        <v>0</v>
      </c>
      <c r="P514" s="4">
        <v>0</v>
      </c>
      <c r="Q514" s="5">
        <v>1</v>
      </c>
      <c r="R514" s="6">
        <v>0</v>
      </c>
      <c r="S514" s="3">
        <v>0</v>
      </c>
      <c r="T514" s="4">
        <v>0</v>
      </c>
      <c r="U514" s="5">
        <v>0</v>
      </c>
      <c r="V514" s="6">
        <v>0</v>
      </c>
    </row>
    <row r="515" spans="1:25" x14ac:dyDescent="0.3">
      <c r="A515" t="s">
        <v>25</v>
      </c>
      <c r="B515" s="7">
        <v>45192</v>
      </c>
      <c r="C515" t="s">
        <v>26</v>
      </c>
      <c r="D515">
        <v>16</v>
      </c>
      <c r="E515">
        <v>3</v>
      </c>
      <c r="F515">
        <v>5</v>
      </c>
      <c r="G515" t="s">
        <v>27</v>
      </c>
      <c r="H515">
        <v>1</v>
      </c>
      <c r="I515" s="8">
        <v>0.375</v>
      </c>
      <c r="J515" s="8">
        <v>0.45833333333333331</v>
      </c>
      <c r="K515" s="9">
        <f t="shared" ref="K515:K578" si="8">(J515-I515)*24*H515</f>
        <v>1.9999999999999996</v>
      </c>
      <c r="L515" t="s">
        <v>25</v>
      </c>
      <c r="M515" t="s">
        <v>112</v>
      </c>
      <c r="N515" t="s">
        <v>32</v>
      </c>
      <c r="O515" s="3">
        <v>0</v>
      </c>
      <c r="P515" s="4">
        <v>0</v>
      </c>
      <c r="Q515" s="5">
        <v>0</v>
      </c>
      <c r="R515" s="6">
        <v>0</v>
      </c>
      <c r="S515" s="3">
        <v>0</v>
      </c>
      <c r="T515" s="4">
        <v>0</v>
      </c>
      <c r="U515" s="5">
        <v>0</v>
      </c>
      <c r="V515" s="6">
        <v>0</v>
      </c>
    </row>
    <row r="516" spans="1:25" x14ac:dyDescent="0.3">
      <c r="A516" t="s">
        <v>25</v>
      </c>
      <c r="B516" s="7">
        <v>45192</v>
      </c>
      <c r="C516" t="s">
        <v>26</v>
      </c>
      <c r="D516">
        <v>17</v>
      </c>
      <c r="E516">
        <v>3</v>
      </c>
      <c r="F516">
        <v>5</v>
      </c>
      <c r="G516" t="s">
        <v>27</v>
      </c>
      <c r="H516">
        <v>2</v>
      </c>
      <c r="I516" s="8">
        <v>0.40625</v>
      </c>
      <c r="J516" s="8">
        <v>0.46527777777777773</v>
      </c>
      <c r="K516" s="9">
        <f t="shared" si="8"/>
        <v>2.8333333333333313</v>
      </c>
      <c r="L516" t="s">
        <v>28</v>
      </c>
      <c r="M516" t="s">
        <v>186</v>
      </c>
      <c r="N516" t="s">
        <v>146</v>
      </c>
      <c r="O516" s="3">
        <v>0</v>
      </c>
      <c r="P516" s="4">
        <v>0</v>
      </c>
      <c r="Q516" s="5">
        <v>0</v>
      </c>
      <c r="R516" s="6">
        <v>0</v>
      </c>
      <c r="S516" s="3">
        <v>0</v>
      </c>
      <c r="T516" s="4">
        <v>0</v>
      </c>
      <c r="U516" s="5">
        <v>0</v>
      </c>
      <c r="V516" s="6">
        <v>0</v>
      </c>
    </row>
    <row r="517" spans="1:25" x14ac:dyDescent="0.3">
      <c r="A517" t="s">
        <v>25</v>
      </c>
      <c r="B517" s="7">
        <v>45192</v>
      </c>
      <c r="C517" t="s">
        <v>26</v>
      </c>
      <c r="D517">
        <v>18</v>
      </c>
      <c r="E517">
        <v>3</v>
      </c>
      <c r="F517">
        <v>5</v>
      </c>
      <c r="G517" t="s">
        <v>27</v>
      </c>
      <c r="H517">
        <v>4</v>
      </c>
      <c r="I517" s="8">
        <v>0.30208333333333331</v>
      </c>
      <c r="J517" s="8">
        <v>0.47361111111111115</v>
      </c>
      <c r="K517" s="9">
        <f t="shared" si="8"/>
        <v>16.466666666666672</v>
      </c>
      <c r="L517" t="s">
        <v>28</v>
      </c>
      <c r="M517" t="s">
        <v>56</v>
      </c>
      <c r="N517" t="s">
        <v>38</v>
      </c>
      <c r="O517" s="3">
        <v>0</v>
      </c>
      <c r="P517" s="4">
        <v>0</v>
      </c>
      <c r="Q517" s="5">
        <v>0</v>
      </c>
      <c r="R517" s="6">
        <v>0</v>
      </c>
      <c r="S517" s="3">
        <v>4</v>
      </c>
      <c r="T517" s="4">
        <v>0</v>
      </c>
      <c r="U517" s="5">
        <v>50</v>
      </c>
      <c r="V517" s="6">
        <v>0</v>
      </c>
    </row>
    <row r="518" spans="1:25" x14ac:dyDescent="0.3">
      <c r="A518" t="s">
        <v>25</v>
      </c>
      <c r="B518" s="7">
        <v>45192</v>
      </c>
      <c r="C518" t="s">
        <v>26</v>
      </c>
      <c r="D518">
        <v>19</v>
      </c>
      <c r="E518">
        <v>3</v>
      </c>
      <c r="F518">
        <v>6</v>
      </c>
      <c r="G518" t="s">
        <v>27</v>
      </c>
      <c r="H518">
        <v>3</v>
      </c>
      <c r="I518" s="8">
        <v>0.25</v>
      </c>
      <c r="J518" s="8">
        <v>0.4777777777777778</v>
      </c>
      <c r="K518" s="9">
        <f t="shared" si="8"/>
        <v>16.399999999999999</v>
      </c>
      <c r="L518" t="s">
        <v>28</v>
      </c>
      <c r="M518" t="s">
        <v>51</v>
      </c>
      <c r="N518" t="s">
        <v>32</v>
      </c>
      <c r="O518" s="3">
        <v>0</v>
      </c>
      <c r="P518" s="4">
        <v>0</v>
      </c>
      <c r="Q518" s="5">
        <v>11</v>
      </c>
      <c r="R518" s="6">
        <v>0</v>
      </c>
      <c r="S518" s="3">
        <v>0</v>
      </c>
      <c r="T518" s="4">
        <v>0</v>
      </c>
      <c r="U518" s="5">
        <v>0</v>
      </c>
      <c r="V518" s="6">
        <v>0</v>
      </c>
    </row>
    <row r="519" spans="1:25" x14ac:dyDescent="0.3">
      <c r="A519" t="s">
        <v>25</v>
      </c>
      <c r="B519" s="7">
        <v>45192</v>
      </c>
      <c r="C519" t="s">
        <v>26</v>
      </c>
      <c r="D519">
        <v>20</v>
      </c>
      <c r="E519">
        <v>3</v>
      </c>
      <c r="F519">
        <v>6</v>
      </c>
      <c r="G519" t="s">
        <v>27</v>
      </c>
      <c r="H519">
        <v>1</v>
      </c>
      <c r="I519" s="8">
        <v>0.33333333333333331</v>
      </c>
      <c r="J519" s="8">
        <v>0.48055555555555557</v>
      </c>
      <c r="K519" s="9">
        <f t="shared" si="8"/>
        <v>3.5333333333333341</v>
      </c>
      <c r="L519" t="s">
        <v>25</v>
      </c>
      <c r="M519" t="s">
        <v>153</v>
      </c>
      <c r="N519" t="s">
        <v>27</v>
      </c>
      <c r="O519" s="3">
        <v>0</v>
      </c>
      <c r="P519" s="4">
        <v>0</v>
      </c>
      <c r="Q519" s="5">
        <v>5</v>
      </c>
      <c r="R519" s="6">
        <v>0</v>
      </c>
      <c r="S519" s="3">
        <v>0</v>
      </c>
      <c r="T519" s="4">
        <v>0</v>
      </c>
      <c r="U519" s="5">
        <v>0</v>
      </c>
      <c r="V519" s="6">
        <v>0</v>
      </c>
    </row>
    <row r="520" spans="1:25" x14ac:dyDescent="0.3">
      <c r="A520" t="s">
        <v>25</v>
      </c>
      <c r="B520" s="7">
        <v>45192</v>
      </c>
      <c r="C520" t="s">
        <v>26</v>
      </c>
      <c r="D520">
        <v>21</v>
      </c>
      <c r="E520">
        <v>3</v>
      </c>
      <c r="F520">
        <v>6</v>
      </c>
      <c r="G520" t="s">
        <v>27</v>
      </c>
      <c r="H520">
        <v>1</v>
      </c>
      <c r="I520" s="8">
        <v>0.3125</v>
      </c>
      <c r="J520" s="8">
        <v>0.47916666666666669</v>
      </c>
      <c r="K520" s="9">
        <f t="shared" si="8"/>
        <v>4</v>
      </c>
      <c r="L520" t="s">
        <v>25</v>
      </c>
      <c r="M520" t="s">
        <v>153</v>
      </c>
      <c r="N520" t="s">
        <v>27</v>
      </c>
      <c r="O520" s="3">
        <v>0</v>
      </c>
      <c r="P520" s="4">
        <v>0</v>
      </c>
      <c r="Q520" s="5">
        <v>5</v>
      </c>
      <c r="R520" s="6">
        <v>0</v>
      </c>
      <c r="S520" s="3">
        <v>0</v>
      </c>
      <c r="T520" s="4">
        <v>0</v>
      </c>
      <c r="U520" s="5">
        <v>0</v>
      </c>
      <c r="V520" s="6">
        <v>0</v>
      </c>
    </row>
    <row r="521" spans="1:25" x14ac:dyDescent="0.3">
      <c r="A521" t="s">
        <v>25</v>
      </c>
      <c r="B521" s="7">
        <v>45192</v>
      </c>
      <c r="C521" t="s">
        <v>26</v>
      </c>
      <c r="D521">
        <v>22</v>
      </c>
      <c r="E521">
        <v>3</v>
      </c>
      <c r="F521">
        <v>6</v>
      </c>
      <c r="G521" t="s">
        <v>27</v>
      </c>
      <c r="H521">
        <v>2</v>
      </c>
      <c r="I521" s="8">
        <v>0.33333333333333331</v>
      </c>
      <c r="J521" s="8">
        <v>0.4861111111111111</v>
      </c>
      <c r="K521" s="9">
        <f t="shared" si="8"/>
        <v>7.3333333333333339</v>
      </c>
      <c r="L521" t="s">
        <v>25</v>
      </c>
      <c r="M521" t="s">
        <v>148</v>
      </c>
      <c r="N521" t="s">
        <v>187</v>
      </c>
      <c r="O521" s="3">
        <v>0</v>
      </c>
      <c r="P521" s="4">
        <v>0</v>
      </c>
      <c r="Q521" s="5">
        <v>6</v>
      </c>
      <c r="R521" s="6">
        <v>0</v>
      </c>
      <c r="S521" s="3">
        <v>0</v>
      </c>
      <c r="T521" s="4">
        <v>0</v>
      </c>
      <c r="U521" s="5">
        <v>16</v>
      </c>
      <c r="V521" s="6">
        <v>0</v>
      </c>
    </row>
    <row r="522" spans="1:25" x14ac:dyDescent="0.3">
      <c r="A522" t="s">
        <v>25</v>
      </c>
      <c r="B522" s="7">
        <v>45192</v>
      </c>
      <c r="C522" t="s">
        <v>26</v>
      </c>
      <c r="D522">
        <v>23</v>
      </c>
      <c r="E522">
        <v>3</v>
      </c>
      <c r="F522">
        <v>6</v>
      </c>
      <c r="G522" t="s">
        <v>27</v>
      </c>
      <c r="H522">
        <v>1</v>
      </c>
      <c r="I522" s="8">
        <v>0.3125</v>
      </c>
      <c r="J522" s="8">
        <v>0.5</v>
      </c>
      <c r="K522" s="9">
        <f t="shared" si="8"/>
        <v>4.5</v>
      </c>
      <c r="L522" t="s">
        <v>28</v>
      </c>
      <c r="M522" t="s">
        <v>29</v>
      </c>
      <c r="N522" t="s">
        <v>38</v>
      </c>
      <c r="O522" s="3">
        <v>0</v>
      </c>
      <c r="P522" s="4">
        <v>0</v>
      </c>
      <c r="Q522" s="5">
        <v>0</v>
      </c>
      <c r="R522" s="6">
        <v>0</v>
      </c>
      <c r="S522" s="3">
        <v>0</v>
      </c>
      <c r="T522" s="4">
        <v>0</v>
      </c>
      <c r="U522" s="5">
        <v>15</v>
      </c>
      <c r="V522" s="6">
        <v>0</v>
      </c>
    </row>
    <row r="523" spans="1:25" x14ac:dyDescent="0.3">
      <c r="A523" t="s">
        <v>25</v>
      </c>
      <c r="B523" s="7">
        <v>45192</v>
      </c>
      <c r="C523" t="s">
        <v>26</v>
      </c>
      <c r="D523">
        <v>24</v>
      </c>
      <c r="E523">
        <v>3</v>
      </c>
      <c r="F523">
        <v>8</v>
      </c>
      <c r="G523" t="s">
        <v>27</v>
      </c>
      <c r="H523">
        <v>2</v>
      </c>
      <c r="I523" s="8">
        <v>0.20833333333333334</v>
      </c>
      <c r="J523" s="8">
        <v>0.52083333333333337</v>
      </c>
      <c r="K523" s="9">
        <f t="shared" si="8"/>
        <v>15</v>
      </c>
      <c r="L523" t="s">
        <v>25</v>
      </c>
      <c r="M523" t="s">
        <v>188</v>
      </c>
      <c r="N523" t="s">
        <v>38</v>
      </c>
      <c r="O523" s="3">
        <v>0</v>
      </c>
      <c r="P523" s="4">
        <v>0</v>
      </c>
      <c r="Q523" s="5">
        <v>1</v>
      </c>
      <c r="R523" s="6">
        <v>0</v>
      </c>
      <c r="S523" s="3">
        <v>2</v>
      </c>
      <c r="T523" s="4">
        <v>0</v>
      </c>
      <c r="U523" s="5">
        <v>0</v>
      </c>
      <c r="V523" s="6">
        <v>0</v>
      </c>
    </row>
    <row r="524" spans="1:25" x14ac:dyDescent="0.3">
      <c r="A524" t="s">
        <v>25</v>
      </c>
      <c r="B524" s="7">
        <v>45192</v>
      </c>
      <c r="C524" t="s">
        <v>26</v>
      </c>
      <c r="D524">
        <v>25</v>
      </c>
      <c r="E524">
        <v>3</v>
      </c>
      <c r="F524">
        <v>8</v>
      </c>
      <c r="G524" t="s">
        <v>27</v>
      </c>
      <c r="H524">
        <v>2</v>
      </c>
      <c r="I524" s="8">
        <v>0.25</v>
      </c>
      <c r="J524" s="8">
        <v>0.52500000000000002</v>
      </c>
      <c r="K524" s="9">
        <f t="shared" si="8"/>
        <v>13.200000000000001</v>
      </c>
      <c r="L524" t="s">
        <v>25</v>
      </c>
      <c r="M524" t="s">
        <v>188</v>
      </c>
      <c r="N524" t="s">
        <v>151</v>
      </c>
      <c r="O524" s="3">
        <v>0</v>
      </c>
      <c r="P524" s="4">
        <v>0</v>
      </c>
      <c r="Q524" s="5">
        <v>0</v>
      </c>
      <c r="R524" s="6">
        <v>0</v>
      </c>
      <c r="S524" s="3">
        <v>0</v>
      </c>
      <c r="T524" s="4">
        <v>0</v>
      </c>
      <c r="U524" s="5">
        <v>25</v>
      </c>
      <c r="V524" s="6">
        <v>0</v>
      </c>
    </row>
    <row r="525" spans="1:25" x14ac:dyDescent="0.3">
      <c r="A525" t="s">
        <v>25</v>
      </c>
      <c r="B525" s="7">
        <v>45192</v>
      </c>
      <c r="C525" t="s">
        <v>26</v>
      </c>
      <c r="D525">
        <v>26</v>
      </c>
      <c r="E525">
        <v>3</v>
      </c>
      <c r="F525">
        <v>8</v>
      </c>
      <c r="G525" t="s">
        <v>27</v>
      </c>
      <c r="H525">
        <v>2</v>
      </c>
      <c r="I525" s="8">
        <v>0.3125</v>
      </c>
      <c r="J525" s="8">
        <v>0.52777777777777779</v>
      </c>
      <c r="K525" s="9">
        <f t="shared" si="8"/>
        <v>10.333333333333334</v>
      </c>
      <c r="L525" t="s">
        <v>25</v>
      </c>
      <c r="M525" t="s">
        <v>79</v>
      </c>
      <c r="N525" t="s">
        <v>27</v>
      </c>
      <c r="O525" s="3">
        <v>0</v>
      </c>
      <c r="P525" s="4">
        <v>0</v>
      </c>
      <c r="Q525" s="5">
        <v>1</v>
      </c>
      <c r="R525" s="6">
        <v>0</v>
      </c>
      <c r="S525" s="3">
        <v>0</v>
      </c>
      <c r="T525" s="4">
        <v>0</v>
      </c>
      <c r="U525" s="5">
        <v>0</v>
      </c>
      <c r="V525" s="6">
        <v>0</v>
      </c>
    </row>
    <row r="526" spans="1:25" x14ac:dyDescent="0.3">
      <c r="A526" t="s">
        <v>25</v>
      </c>
      <c r="B526" s="7">
        <v>45192</v>
      </c>
      <c r="C526" t="s">
        <v>26</v>
      </c>
      <c r="D526">
        <v>27</v>
      </c>
      <c r="E526">
        <v>3</v>
      </c>
      <c r="F526">
        <v>8</v>
      </c>
      <c r="G526" t="s">
        <v>27</v>
      </c>
      <c r="H526">
        <v>2</v>
      </c>
      <c r="I526" s="8">
        <v>0.3125</v>
      </c>
      <c r="J526" s="8">
        <v>0.52777777777777779</v>
      </c>
      <c r="K526" s="9">
        <f t="shared" si="8"/>
        <v>10.333333333333334</v>
      </c>
      <c r="L526" t="s">
        <v>25</v>
      </c>
      <c r="M526" t="s">
        <v>51</v>
      </c>
      <c r="N526" t="s">
        <v>146</v>
      </c>
      <c r="O526" s="3">
        <v>0</v>
      </c>
      <c r="P526" s="4">
        <v>1</v>
      </c>
      <c r="Q526" s="5">
        <v>1</v>
      </c>
      <c r="R526" s="6">
        <v>0</v>
      </c>
      <c r="S526" s="3">
        <v>0</v>
      </c>
      <c r="T526" s="4">
        <v>0</v>
      </c>
      <c r="U526" s="5">
        <v>0</v>
      </c>
      <c r="V526" s="6">
        <v>0</v>
      </c>
    </row>
    <row r="527" spans="1:25" x14ac:dyDescent="0.3">
      <c r="A527" t="s">
        <v>25</v>
      </c>
      <c r="B527" s="7">
        <v>45192</v>
      </c>
      <c r="C527" t="s">
        <v>26</v>
      </c>
      <c r="D527">
        <v>28</v>
      </c>
      <c r="E527">
        <v>3</v>
      </c>
      <c r="F527">
        <v>8</v>
      </c>
      <c r="G527" t="s">
        <v>27</v>
      </c>
      <c r="H527">
        <v>2</v>
      </c>
      <c r="I527" s="8">
        <v>0.33333333333333331</v>
      </c>
      <c r="J527" s="8">
        <v>0.52777777777777779</v>
      </c>
      <c r="K527" s="9">
        <f t="shared" si="8"/>
        <v>9.3333333333333357</v>
      </c>
      <c r="L527" t="s">
        <v>25</v>
      </c>
      <c r="M527" t="s">
        <v>79</v>
      </c>
      <c r="N527" t="s">
        <v>38</v>
      </c>
      <c r="O527" s="3">
        <v>0</v>
      </c>
      <c r="P527" s="4">
        <v>3</v>
      </c>
      <c r="Q527" s="5">
        <v>0</v>
      </c>
      <c r="R527" s="6">
        <v>0</v>
      </c>
      <c r="S527" s="3">
        <v>0</v>
      </c>
      <c r="T527" s="4">
        <v>1</v>
      </c>
      <c r="U527" s="5">
        <v>7</v>
      </c>
      <c r="V527" s="6">
        <v>0</v>
      </c>
    </row>
    <row r="528" spans="1:25" x14ac:dyDescent="0.3">
      <c r="A528" t="s">
        <v>25</v>
      </c>
      <c r="B528" s="7">
        <v>45192</v>
      </c>
      <c r="C528" t="s">
        <v>42</v>
      </c>
      <c r="D528">
        <v>29</v>
      </c>
      <c r="E528">
        <v>2</v>
      </c>
      <c r="F528">
        <v>2</v>
      </c>
      <c r="G528" t="s">
        <v>35</v>
      </c>
      <c r="H528">
        <v>1</v>
      </c>
      <c r="I528" s="8">
        <v>0.45833333333333331</v>
      </c>
      <c r="J528" s="8">
        <v>0.70833333333333337</v>
      </c>
      <c r="K528" s="9">
        <f t="shared" si="8"/>
        <v>6.0000000000000018</v>
      </c>
      <c r="L528" t="s">
        <v>25</v>
      </c>
      <c r="M528" t="s">
        <v>189</v>
      </c>
      <c r="N528" t="s">
        <v>27</v>
      </c>
      <c r="O528" s="3">
        <v>0</v>
      </c>
      <c r="P528" s="4">
        <v>0</v>
      </c>
      <c r="Q528" s="5">
        <v>0</v>
      </c>
      <c r="R528" s="6">
        <v>0</v>
      </c>
      <c r="S528" s="3">
        <v>0</v>
      </c>
      <c r="T528" s="4">
        <v>0</v>
      </c>
      <c r="U528" s="5">
        <v>0</v>
      </c>
      <c r="V528" s="6">
        <v>0</v>
      </c>
      <c r="Y528" t="s">
        <v>190</v>
      </c>
    </row>
    <row r="529" spans="1:25" x14ac:dyDescent="0.3">
      <c r="A529" t="s">
        <v>25</v>
      </c>
      <c r="B529" s="7">
        <v>45192</v>
      </c>
      <c r="C529" t="s">
        <v>42</v>
      </c>
      <c r="D529">
        <v>30</v>
      </c>
      <c r="E529">
        <v>2</v>
      </c>
      <c r="F529">
        <v>4</v>
      </c>
      <c r="G529" t="s">
        <v>27</v>
      </c>
      <c r="H529">
        <v>2</v>
      </c>
      <c r="I529" s="8">
        <v>0.72916666666666663</v>
      </c>
      <c r="J529" s="8">
        <v>0.74444444444444446</v>
      </c>
      <c r="K529" s="9">
        <f t="shared" si="8"/>
        <v>0.73333333333333606</v>
      </c>
      <c r="L529" t="s">
        <v>25</v>
      </c>
      <c r="M529" t="s">
        <v>29</v>
      </c>
      <c r="N529" t="s">
        <v>38</v>
      </c>
      <c r="O529" s="3">
        <v>0</v>
      </c>
      <c r="P529" s="4">
        <v>0</v>
      </c>
      <c r="Q529" s="5">
        <v>0</v>
      </c>
      <c r="R529" s="6">
        <v>0</v>
      </c>
      <c r="S529" s="3">
        <v>0</v>
      </c>
      <c r="T529" s="4">
        <v>0</v>
      </c>
      <c r="U529" s="5">
        <v>0</v>
      </c>
      <c r="V529" s="6">
        <v>0</v>
      </c>
    </row>
    <row r="530" spans="1:25" x14ac:dyDescent="0.3">
      <c r="A530" t="s">
        <v>25</v>
      </c>
      <c r="B530" s="7">
        <v>45192</v>
      </c>
      <c r="C530" t="s">
        <v>42</v>
      </c>
      <c r="D530">
        <v>31</v>
      </c>
      <c r="E530">
        <v>2</v>
      </c>
      <c r="F530">
        <v>4</v>
      </c>
      <c r="G530" t="s">
        <v>27</v>
      </c>
      <c r="H530">
        <v>4</v>
      </c>
      <c r="I530" s="8">
        <v>0.66666666666666663</v>
      </c>
      <c r="J530" s="8">
        <v>0.76527777777777783</v>
      </c>
      <c r="K530" s="9">
        <f t="shared" si="8"/>
        <v>9.4666666666666757</v>
      </c>
      <c r="L530" t="s">
        <v>25</v>
      </c>
      <c r="M530" t="s">
        <v>79</v>
      </c>
      <c r="N530" t="s">
        <v>38</v>
      </c>
      <c r="O530" s="3">
        <v>0</v>
      </c>
      <c r="P530" s="4">
        <v>0</v>
      </c>
      <c r="Q530" s="5">
        <v>0</v>
      </c>
      <c r="R530" s="6">
        <v>0</v>
      </c>
      <c r="S530" s="3">
        <v>0</v>
      </c>
      <c r="T530" s="4">
        <v>0</v>
      </c>
      <c r="U530" s="5">
        <v>0</v>
      </c>
      <c r="V530" s="6">
        <v>0</v>
      </c>
    </row>
    <row r="531" spans="1:25" x14ac:dyDescent="0.3">
      <c r="A531" t="s">
        <v>25</v>
      </c>
      <c r="B531" s="7">
        <v>45192</v>
      </c>
      <c r="C531" t="s">
        <v>42</v>
      </c>
      <c r="D531">
        <v>32</v>
      </c>
      <c r="E531">
        <v>2</v>
      </c>
      <c r="F531">
        <v>4</v>
      </c>
      <c r="G531" t="s">
        <v>27</v>
      </c>
      <c r="H531">
        <v>2</v>
      </c>
      <c r="I531" s="8">
        <v>0.76041666666666663</v>
      </c>
      <c r="J531" s="8">
        <v>0.77777777777777779</v>
      </c>
      <c r="K531" s="9">
        <f t="shared" si="8"/>
        <v>0.8333333333333357</v>
      </c>
      <c r="L531" t="s">
        <v>25</v>
      </c>
      <c r="M531" t="s">
        <v>79</v>
      </c>
      <c r="N531" t="s">
        <v>38</v>
      </c>
      <c r="O531" s="3">
        <v>0</v>
      </c>
      <c r="P531" s="4">
        <v>0</v>
      </c>
      <c r="Q531" s="5">
        <v>1</v>
      </c>
      <c r="R531" s="6">
        <v>0</v>
      </c>
      <c r="S531" s="3">
        <v>0</v>
      </c>
      <c r="T531" s="4">
        <v>0</v>
      </c>
      <c r="U531" s="5">
        <v>0</v>
      </c>
      <c r="V531" s="6">
        <v>0</v>
      </c>
    </row>
    <row r="532" spans="1:25" x14ac:dyDescent="0.3">
      <c r="A532" t="s">
        <v>25</v>
      </c>
      <c r="B532" s="7">
        <v>45192</v>
      </c>
      <c r="C532" t="s">
        <v>42</v>
      </c>
      <c r="D532">
        <v>33</v>
      </c>
      <c r="E532">
        <v>2</v>
      </c>
      <c r="F532">
        <v>4</v>
      </c>
      <c r="G532" t="s">
        <v>27</v>
      </c>
      <c r="H532">
        <v>1</v>
      </c>
      <c r="I532" s="8">
        <v>0.75</v>
      </c>
      <c r="J532" s="8">
        <v>0.79166666666666663</v>
      </c>
      <c r="K532" s="9">
        <f t="shared" si="8"/>
        <v>0.99999999999999911</v>
      </c>
      <c r="L532" t="s">
        <v>25</v>
      </c>
      <c r="M532" t="s">
        <v>189</v>
      </c>
      <c r="N532" t="s">
        <v>38</v>
      </c>
      <c r="O532" s="3">
        <v>0</v>
      </c>
      <c r="P532" s="4">
        <v>0</v>
      </c>
      <c r="Q532" s="5">
        <v>0</v>
      </c>
      <c r="R532" s="6">
        <v>0</v>
      </c>
      <c r="S532" s="3">
        <v>0</v>
      </c>
      <c r="T532" s="4">
        <v>0</v>
      </c>
      <c r="U532" s="5">
        <v>0</v>
      </c>
      <c r="V532" s="6">
        <v>0</v>
      </c>
    </row>
    <row r="533" spans="1:25" x14ac:dyDescent="0.3">
      <c r="A533" t="s">
        <v>25</v>
      </c>
      <c r="B533" s="7">
        <v>45192</v>
      </c>
      <c r="C533" t="s">
        <v>42</v>
      </c>
      <c r="D533">
        <v>34</v>
      </c>
      <c r="E533">
        <v>2</v>
      </c>
      <c r="F533">
        <v>4</v>
      </c>
      <c r="G533" t="s">
        <v>27</v>
      </c>
      <c r="H533">
        <v>1</v>
      </c>
      <c r="I533" s="8">
        <v>0.625</v>
      </c>
      <c r="J533" s="8">
        <v>0.79166666666666663</v>
      </c>
      <c r="K533" s="9">
        <f t="shared" si="8"/>
        <v>3.9999999999999991</v>
      </c>
      <c r="L533" t="s">
        <v>25</v>
      </c>
      <c r="M533" t="s">
        <v>186</v>
      </c>
      <c r="N533" t="s">
        <v>27</v>
      </c>
      <c r="O533" s="3">
        <v>0</v>
      </c>
      <c r="P533" s="4">
        <v>0</v>
      </c>
      <c r="Q533" s="5">
        <v>0</v>
      </c>
      <c r="R533" s="6">
        <v>0</v>
      </c>
      <c r="S533" s="3">
        <v>0</v>
      </c>
      <c r="T533" s="4">
        <v>0</v>
      </c>
      <c r="U533" s="5">
        <v>0</v>
      </c>
      <c r="V533" s="6">
        <v>0</v>
      </c>
    </row>
    <row r="534" spans="1:25" x14ac:dyDescent="0.3">
      <c r="A534" t="s">
        <v>25</v>
      </c>
      <c r="B534" s="7">
        <v>45192</v>
      </c>
      <c r="C534" t="s">
        <v>42</v>
      </c>
      <c r="D534">
        <v>35</v>
      </c>
      <c r="E534">
        <v>2</v>
      </c>
      <c r="F534">
        <v>4</v>
      </c>
      <c r="G534" t="s">
        <v>27</v>
      </c>
      <c r="H534">
        <v>2</v>
      </c>
      <c r="I534" s="8">
        <v>0.64583333333333337</v>
      </c>
      <c r="J534" s="8">
        <v>0.8027777777777777</v>
      </c>
      <c r="K534" s="9">
        <f t="shared" si="8"/>
        <v>7.5333333333333279</v>
      </c>
      <c r="L534" t="s">
        <v>25</v>
      </c>
      <c r="M534" t="s">
        <v>189</v>
      </c>
      <c r="N534" t="s">
        <v>38</v>
      </c>
      <c r="O534" s="3">
        <v>0</v>
      </c>
      <c r="P534" s="4">
        <v>0</v>
      </c>
      <c r="Q534" s="5">
        <v>0</v>
      </c>
      <c r="R534" s="6">
        <v>0</v>
      </c>
      <c r="S534" s="3">
        <v>0</v>
      </c>
      <c r="T534" s="4">
        <v>0</v>
      </c>
      <c r="U534" s="5">
        <v>0</v>
      </c>
      <c r="V534" s="6">
        <v>0</v>
      </c>
    </row>
    <row r="535" spans="1:25" x14ac:dyDescent="0.3">
      <c r="A535" t="s">
        <v>25</v>
      </c>
      <c r="B535" s="7">
        <v>45192</v>
      </c>
      <c r="C535" t="s">
        <v>42</v>
      </c>
      <c r="D535">
        <v>36</v>
      </c>
      <c r="E535">
        <v>2</v>
      </c>
      <c r="F535">
        <v>3</v>
      </c>
      <c r="G535" t="s">
        <v>27</v>
      </c>
      <c r="H535">
        <v>1</v>
      </c>
      <c r="I535" s="8">
        <v>0.64583333333333337</v>
      </c>
      <c r="J535" s="8">
        <v>0.8125</v>
      </c>
      <c r="K535" s="9">
        <f t="shared" si="8"/>
        <v>3.9999999999999991</v>
      </c>
      <c r="L535" t="s">
        <v>25</v>
      </c>
      <c r="M535" t="s">
        <v>56</v>
      </c>
      <c r="N535" t="s">
        <v>50</v>
      </c>
      <c r="O535" s="3">
        <v>0</v>
      </c>
      <c r="P535" s="4">
        <v>0</v>
      </c>
      <c r="Q535" s="5">
        <v>0</v>
      </c>
      <c r="R535" s="6">
        <v>0</v>
      </c>
      <c r="S535" s="3">
        <v>0</v>
      </c>
      <c r="T535" s="4">
        <v>0</v>
      </c>
      <c r="U535" s="5">
        <v>3</v>
      </c>
      <c r="V535" s="6">
        <v>0</v>
      </c>
    </row>
    <row r="536" spans="1:25" x14ac:dyDescent="0.3">
      <c r="A536" t="s">
        <v>25</v>
      </c>
      <c r="B536" s="7">
        <v>45196</v>
      </c>
      <c r="C536" t="s">
        <v>26</v>
      </c>
      <c r="D536">
        <v>1</v>
      </c>
      <c r="E536">
        <v>2</v>
      </c>
      <c r="F536">
        <v>2</v>
      </c>
      <c r="G536" t="s">
        <v>27</v>
      </c>
      <c r="H536">
        <v>1</v>
      </c>
      <c r="I536" s="8">
        <v>0.27777777777777779</v>
      </c>
      <c r="J536" s="8">
        <v>0.29444444444444445</v>
      </c>
      <c r="K536" s="9">
        <f t="shared" si="8"/>
        <v>0.39999999999999991</v>
      </c>
      <c r="L536" t="s">
        <v>28</v>
      </c>
      <c r="M536" t="s">
        <v>56</v>
      </c>
      <c r="N536" t="s">
        <v>38</v>
      </c>
      <c r="O536" s="3">
        <v>0</v>
      </c>
      <c r="P536" s="4">
        <v>1</v>
      </c>
      <c r="Q536" s="5">
        <v>0</v>
      </c>
      <c r="R536" s="6">
        <v>0</v>
      </c>
      <c r="S536" s="3">
        <v>0</v>
      </c>
      <c r="T536" s="4">
        <v>0</v>
      </c>
      <c r="U536" s="5">
        <v>0</v>
      </c>
      <c r="V536" s="6">
        <v>0</v>
      </c>
      <c r="Y536" t="s">
        <v>191</v>
      </c>
    </row>
    <row r="537" spans="1:25" x14ac:dyDescent="0.3">
      <c r="A537" t="s">
        <v>25</v>
      </c>
      <c r="B537" s="7">
        <v>45196</v>
      </c>
      <c r="C537" t="s">
        <v>26</v>
      </c>
      <c r="D537">
        <v>2</v>
      </c>
      <c r="E537">
        <v>2</v>
      </c>
      <c r="F537">
        <v>2</v>
      </c>
      <c r="G537" t="s">
        <v>27</v>
      </c>
      <c r="H537">
        <v>1</v>
      </c>
      <c r="I537" s="8">
        <v>0.29166666666666669</v>
      </c>
      <c r="J537" s="8">
        <v>0.31666666666666665</v>
      </c>
      <c r="K537" s="9">
        <f t="shared" si="8"/>
        <v>0.5999999999999992</v>
      </c>
      <c r="L537" t="s">
        <v>28</v>
      </c>
      <c r="M537" t="s">
        <v>56</v>
      </c>
      <c r="N537" t="s">
        <v>38</v>
      </c>
      <c r="O537" s="3">
        <v>0</v>
      </c>
      <c r="P537" s="4">
        <v>2</v>
      </c>
      <c r="Q537" s="5">
        <v>0</v>
      </c>
      <c r="R537" s="6">
        <v>0</v>
      </c>
      <c r="S537" s="3">
        <v>0</v>
      </c>
      <c r="T537" s="4">
        <v>0</v>
      </c>
      <c r="U537" s="5">
        <v>0</v>
      </c>
      <c r="V537" s="6">
        <v>0</v>
      </c>
      <c r="Y537" t="s">
        <v>192</v>
      </c>
    </row>
    <row r="538" spans="1:25" x14ac:dyDescent="0.3">
      <c r="A538" t="s">
        <v>25</v>
      </c>
      <c r="B538" s="7">
        <v>45196</v>
      </c>
      <c r="C538" t="s">
        <v>26</v>
      </c>
      <c r="D538">
        <v>3</v>
      </c>
      <c r="E538">
        <v>2</v>
      </c>
      <c r="F538">
        <v>2</v>
      </c>
      <c r="G538" t="s">
        <v>27</v>
      </c>
      <c r="H538">
        <v>1</v>
      </c>
      <c r="I538" s="8">
        <v>0.29166666666666669</v>
      </c>
      <c r="J538" s="8">
        <v>0.3125</v>
      </c>
      <c r="K538" s="9">
        <f t="shared" si="8"/>
        <v>0.49999999999999956</v>
      </c>
      <c r="L538" t="s">
        <v>28</v>
      </c>
      <c r="M538" t="s">
        <v>56</v>
      </c>
      <c r="N538" t="s">
        <v>38</v>
      </c>
      <c r="O538" s="3">
        <v>0</v>
      </c>
      <c r="P538" s="4">
        <v>4</v>
      </c>
      <c r="Q538" s="5">
        <v>0</v>
      </c>
      <c r="R538" s="6">
        <v>0</v>
      </c>
      <c r="S538" s="3">
        <v>0</v>
      </c>
      <c r="T538" s="4">
        <v>0</v>
      </c>
      <c r="U538" s="5">
        <v>0</v>
      </c>
      <c r="V538" s="6">
        <v>0</v>
      </c>
    </row>
    <row r="539" spans="1:25" x14ac:dyDescent="0.3">
      <c r="A539" t="s">
        <v>25</v>
      </c>
      <c r="B539" s="7">
        <v>45196</v>
      </c>
      <c r="C539" t="s">
        <v>26</v>
      </c>
      <c r="D539">
        <v>4</v>
      </c>
      <c r="E539">
        <v>2</v>
      </c>
      <c r="F539">
        <v>2</v>
      </c>
      <c r="G539" t="s">
        <v>27</v>
      </c>
      <c r="H539">
        <v>1</v>
      </c>
      <c r="I539" s="8">
        <v>0.29166666666666669</v>
      </c>
      <c r="J539" s="8">
        <v>0.3125</v>
      </c>
      <c r="K539" s="9">
        <f t="shared" si="8"/>
        <v>0.49999999999999956</v>
      </c>
      <c r="L539" t="s">
        <v>28</v>
      </c>
      <c r="M539" t="s">
        <v>56</v>
      </c>
      <c r="N539" t="s">
        <v>38</v>
      </c>
      <c r="O539" s="3">
        <v>0</v>
      </c>
      <c r="P539" s="4">
        <v>1</v>
      </c>
      <c r="Q539" s="5">
        <v>0</v>
      </c>
      <c r="R539" s="6">
        <v>0</v>
      </c>
      <c r="S539" s="3">
        <v>0</v>
      </c>
      <c r="T539" s="4">
        <v>0</v>
      </c>
      <c r="U539" s="5">
        <v>0</v>
      </c>
      <c r="V539" s="6">
        <v>0</v>
      </c>
    </row>
    <row r="540" spans="1:25" x14ac:dyDescent="0.3">
      <c r="A540" t="s">
        <v>25</v>
      </c>
      <c r="B540" s="7">
        <v>45196</v>
      </c>
      <c r="C540" t="s">
        <v>26</v>
      </c>
      <c r="D540">
        <v>5</v>
      </c>
      <c r="E540">
        <v>2</v>
      </c>
      <c r="F540">
        <v>2</v>
      </c>
      <c r="G540" t="s">
        <v>27</v>
      </c>
      <c r="H540">
        <v>2</v>
      </c>
      <c r="I540" s="8">
        <v>0.29166666666666669</v>
      </c>
      <c r="J540" s="8">
        <v>0.3125</v>
      </c>
      <c r="K540" s="9">
        <f t="shared" si="8"/>
        <v>0.99999999999999911</v>
      </c>
      <c r="L540" t="s">
        <v>28</v>
      </c>
      <c r="M540" t="s">
        <v>56</v>
      </c>
      <c r="N540" t="s">
        <v>38</v>
      </c>
      <c r="O540" s="3">
        <v>0</v>
      </c>
      <c r="P540" s="4">
        <v>1</v>
      </c>
      <c r="Q540" s="5">
        <v>0</v>
      </c>
      <c r="R540" s="6">
        <v>0</v>
      </c>
      <c r="S540" s="3">
        <v>0</v>
      </c>
      <c r="T540" s="4">
        <v>0</v>
      </c>
      <c r="U540" s="5">
        <v>0</v>
      </c>
      <c r="V540" s="6">
        <v>0</v>
      </c>
    </row>
    <row r="541" spans="1:25" x14ac:dyDescent="0.3">
      <c r="A541" t="s">
        <v>25</v>
      </c>
      <c r="B541" s="7">
        <v>45196</v>
      </c>
      <c r="C541" t="s">
        <v>26</v>
      </c>
      <c r="D541">
        <v>6</v>
      </c>
      <c r="E541">
        <v>2</v>
      </c>
      <c r="F541">
        <v>2</v>
      </c>
      <c r="G541" t="s">
        <v>27</v>
      </c>
      <c r="H541">
        <v>1</v>
      </c>
      <c r="I541" s="8">
        <v>0.29166666666666669</v>
      </c>
      <c r="J541" s="8">
        <v>0.41666666666666669</v>
      </c>
      <c r="K541" s="9">
        <f t="shared" si="8"/>
        <v>3</v>
      </c>
      <c r="L541" t="s">
        <v>25</v>
      </c>
      <c r="M541" t="s">
        <v>56</v>
      </c>
      <c r="N541" t="s">
        <v>38</v>
      </c>
      <c r="O541" s="3">
        <v>0</v>
      </c>
      <c r="P541" s="4">
        <v>3</v>
      </c>
      <c r="Q541" s="5">
        <v>0</v>
      </c>
      <c r="R541" s="6">
        <v>0</v>
      </c>
      <c r="S541" s="3">
        <v>0</v>
      </c>
      <c r="T541" s="4">
        <v>0</v>
      </c>
      <c r="U541" s="5">
        <v>0</v>
      </c>
      <c r="V541" s="6">
        <v>0</v>
      </c>
      <c r="Y541" t="s">
        <v>193</v>
      </c>
    </row>
    <row r="542" spans="1:25" x14ac:dyDescent="0.3">
      <c r="A542" t="s">
        <v>25</v>
      </c>
      <c r="B542" s="7">
        <v>45196</v>
      </c>
      <c r="C542" t="s">
        <v>26</v>
      </c>
      <c r="D542">
        <v>7</v>
      </c>
      <c r="E542">
        <v>2</v>
      </c>
      <c r="F542">
        <v>3</v>
      </c>
      <c r="G542" t="s">
        <v>27</v>
      </c>
      <c r="H542">
        <v>1</v>
      </c>
      <c r="I542" s="8">
        <v>0.25</v>
      </c>
      <c r="J542" s="8">
        <v>0.33333333333333331</v>
      </c>
      <c r="K542" s="9">
        <f t="shared" si="8"/>
        <v>1.9999999999999996</v>
      </c>
      <c r="L542" t="s">
        <v>28</v>
      </c>
      <c r="M542" t="s">
        <v>56</v>
      </c>
      <c r="N542" t="s">
        <v>38</v>
      </c>
      <c r="O542" s="3">
        <v>0</v>
      </c>
      <c r="P542" s="4">
        <v>1</v>
      </c>
      <c r="Q542" s="5">
        <v>0</v>
      </c>
      <c r="R542" s="6">
        <v>0</v>
      </c>
      <c r="S542" s="3">
        <v>0</v>
      </c>
      <c r="T542" s="4">
        <v>0</v>
      </c>
      <c r="U542" s="5">
        <v>0</v>
      </c>
      <c r="V542" s="6">
        <v>0</v>
      </c>
    </row>
    <row r="543" spans="1:25" x14ac:dyDescent="0.3">
      <c r="A543" t="s">
        <v>25</v>
      </c>
      <c r="B543" s="7">
        <v>45196</v>
      </c>
      <c r="C543" t="s">
        <v>26</v>
      </c>
      <c r="D543">
        <v>8</v>
      </c>
      <c r="E543">
        <v>2</v>
      </c>
      <c r="F543">
        <v>3</v>
      </c>
      <c r="G543" t="s">
        <v>27</v>
      </c>
      <c r="H543">
        <v>2</v>
      </c>
      <c r="I543" s="8">
        <v>0.27083333333333331</v>
      </c>
      <c r="J543" s="8">
        <v>0.33333333333333331</v>
      </c>
      <c r="K543" s="9">
        <f t="shared" si="8"/>
        <v>3</v>
      </c>
      <c r="L543" t="s">
        <v>28</v>
      </c>
      <c r="M543" t="s">
        <v>56</v>
      </c>
      <c r="N543" t="s">
        <v>38</v>
      </c>
      <c r="O543" s="3">
        <v>0</v>
      </c>
      <c r="P543" s="4">
        <v>4</v>
      </c>
      <c r="Q543" s="5">
        <v>0</v>
      </c>
      <c r="R543" s="6">
        <v>0</v>
      </c>
      <c r="S543" s="3">
        <v>0</v>
      </c>
      <c r="T543" s="4">
        <v>1</v>
      </c>
      <c r="U543" s="5">
        <v>0</v>
      </c>
      <c r="V543" s="6">
        <v>0</v>
      </c>
      <c r="Y543" t="s">
        <v>184</v>
      </c>
    </row>
    <row r="544" spans="1:25" x14ac:dyDescent="0.3">
      <c r="A544" t="s">
        <v>25</v>
      </c>
      <c r="B544" s="7">
        <v>45196</v>
      </c>
      <c r="C544" t="s">
        <v>26</v>
      </c>
      <c r="D544">
        <v>9</v>
      </c>
      <c r="E544">
        <v>2</v>
      </c>
      <c r="F544">
        <v>4</v>
      </c>
      <c r="G544" t="s">
        <v>27</v>
      </c>
      <c r="H544">
        <v>1</v>
      </c>
      <c r="I544" s="8">
        <v>0.29166666666666669</v>
      </c>
      <c r="J544" s="8">
        <v>0.34722222222222227</v>
      </c>
      <c r="K544" s="9">
        <f t="shared" si="8"/>
        <v>1.3333333333333339</v>
      </c>
      <c r="L544" t="s">
        <v>28</v>
      </c>
      <c r="M544" t="s">
        <v>56</v>
      </c>
      <c r="N544" t="s">
        <v>38</v>
      </c>
      <c r="O544" s="3">
        <v>0</v>
      </c>
      <c r="P544" s="4">
        <v>1</v>
      </c>
      <c r="Q544" s="5">
        <v>0</v>
      </c>
      <c r="R544" s="6">
        <v>0</v>
      </c>
      <c r="S544" s="3">
        <v>0</v>
      </c>
      <c r="T544" s="4">
        <v>0</v>
      </c>
      <c r="U544" s="5">
        <v>0</v>
      </c>
      <c r="V544" s="6">
        <v>0</v>
      </c>
      <c r="Y544" t="s">
        <v>184</v>
      </c>
    </row>
    <row r="545" spans="1:25" x14ac:dyDescent="0.3">
      <c r="A545" t="s">
        <v>25</v>
      </c>
      <c r="B545" s="7">
        <v>45196</v>
      </c>
      <c r="C545" t="s">
        <v>26</v>
      </c>
      <c r="D545">
        <v>10</v>
      </c>
      <c r="E545">
        <v>3</v>
      </c>
      <c r="F545">
        <v>2</v>
      </c>
      <c r="G545" t="s">
        <v>27</v>
      </c>
      <c r="H545">
        <v>1</v>
      </c>
      <c r="I545" s="8">
        <v>0.3125</v>
      </c>
      <c r="J545" s="8">
        <v>0.39583333333333331</v>
      </c>
      <c r="K545" s="9">
        <f t="shared" si="8"/>
        <v>1.9999999999999996</v>
      </c>
      <c r="L545" t="s">
        <v>28</v>
      </c>
      <c r="M545" t="s">
        <v>29</v>
      </c>
      <c r="N545" t="s">
        <v>27</v>
      </c>
      <c r="O545" s="3">
        <v>0</v>
      </c>
      <c r="P545" s="4">
        <v>0</v>
      </c>
      <c r="Q545" s="5">
        <v>0</v>
      </c>
      <c r="R545" s="6">
        <v>0</v>
      </c>
      <c r="S545" s="3">
        <v>4</v>
      </c>
      <c r="T545" s="4">
        <v>0</v>
      </c>
      <c r="U545" s="5">
        <v>0</v>
      </c>
      <c r="V545" s="6">
        <v>0</v>
      </c>
      <c r="Y545" t="s">
        <v>194</v>
      </c>
    </row>
    <row r="546" spans="1:25" x14ac:dyDescent="0.3">
      <c r="A546" t="s">
        <v>25</v>
      </c>
      <c r="B546" s="7">
        <v>45196</v>
      </c>
      <c r="C546" t="s">
        <v>26</v>
      </c>
      <c r="D546">
        <v>11</v>
      </c>
      <c r="E546">
        <v>3</v>
      </c>
      <c r="F546">
        <v>5</v>
      </c>
      <c r="G546" t="s">
        <v>27</v>
      </c>
      <c r="H546">
        <v>1</v>
      </c>
      <c r="I546" s="8">
        <v>0.33333333333333331</v>
      </c>
      <c r="J546" s="8">
        <v>0.41666666666666669</v>
      </c>
      <c r="K546" s="9">
        <f t="shared" si="8"/>
        <v>2.0000000000000009</v>
      </c>
      <c r="L546" t="s">
        <v>25</v>
      </c>
      <c r="M546" t="s">
        <v>51</v>
      </c>
      <c r="N546" t="s">
        <v>38</v>
      </c>
      <c r="O546" s="3">
        <v>0</v>
      </c>
      <c r="P546" s="4">
        <v>0</v>
      </c>
      <c r="Q546" s="5">
        <v>0</v>
      </c>
      <c r="R546" s="6">
        <v>0</v>
      </c>
      <c r="S546" s="3">
        <v>0</v>
      </c>
      <c r="T546" s="4">
        <v>0</v>
      </c>
      <c r="U546" s="5">
        <v>0</v>
      </c>
      <c r="V546" s="6">
        <v>0</v>
      </c>
    </row>
    <row r="547" spans="1:25" x14ac:dyDescent="0.3">
      <c r="A547" t="s">
        <v>25</v>
      </c>
      <c r="B547" s="7">
        <v>45196</v>
      </c>
      <c r="C547" t="s">
        <v>26</v>
      </c>
      <c r="D547">
        <v>12</v>
      </c>
      <c r="E547">
        <v>3</v>
      </c>
      <c r="F547">
        <v>7</v>
      </c>
      <c r="G547" t="s">
        <v>27</v>
      </c>
      <c r="H547">
        <v>1</v>
      </c>
      <c r="I547" s="8">
        <v>0.40625</v>
      </c>
      <c r="J547" s="8">
        <v>0.4375</v>
      </c>
      <c r="K547" s="9">
        <f t="shared" si="8"/>
        <v>0.75</v>
      </c>
      <c r="L547" t="s">
        <v>28</v>
      </c>
      <c r="M547" t="s">
        <v>29</v>
      </c>
      <c r="N547" t="s">
        <v>32</v>
      </c>
      <c r="O547" s="3">
        <v>0</v>
      </c>
      <c r="P547" s="4">
        <v>0</v>
      </c>
      <c r="Q547" s="5">
        <v>1</v>
      </c>
      <c r="R547" s="6">
        <v>0</v>
      </c>
      <c r="S547" s="3">
        <v>0</v>
      </c>
      <c r="T547" s="4">
        <v>0</v>
      </c>
      <c r="U547" s="5">
        <v>2</v>
      </c>
      <c r="V547" s="6">
        <v>0</v>
      </c>
    </row>
    <row r="548" spans="1:25" x14ac:dyDescent="0.3">
      <c r="A548" t="s">
        <v>25</v>
      </c>
      <c r="B548" s="7">
        <v>45196</v>
      </c>
      <c r="C548" t="s">
        <v>26</v>
      </c>
      <c r="D548">
        <v>13</v>
      </c>
      <c r="E548">
        <v>3</v>
      </c>
      <c r="F548">
        <v>8</v>
      </c>
      <c r="G548" t="s">
        <v>27</v>
      </c>
      <c r="H548">
        <v>1</v>
      </c>
      <c r="I548" s="8">
        <v>0.41666666666666669</v>
      </c>
      <c r="J548" s="8">
        <v>0.45833333333333331</v>
      </c>
      <c r="K548" s="9">
        <f t="shared" si="8"/>
        <v>0.99999999999999911</v>
      </c>
      <c r="L548" t="s">
        <v>28</v>
      </c>
      <c r="M548" t="s">
        <v>148</v>
      </c>
      <c r="N548" t="s">
        <v>38</v>
      </c>
      <c r="O548" s="3">
        <v>0</v>
      </c>
      <c r="P548" s="4">
        <v>3</v>
      </c>
      <c r="Q548" s="5">
        <v>2</v>
      </c>
      <c r="R548" s="6">
        <v>0</v>
      </c>
      <c r="S548" s="3">
        <v>0</v>
      </c>
      <c r="T548" s="4">
        <v>0</v>
      </c>
      <c r="U548" s="5">
        <v>8</v>
      </c>
      <c r="V548" s="6">
        <v>0</v>
      </c>
      <c r="Y548" t="s">
        <v>166</v>
      </c>
    </row>
    <row r="549" spans="1:25" x14ac:dyDescent="0.3">
      <c r="A549" t="s">
        <v>25</v>
      </c>
      <c r="B549" s="7">
        <v>45196</v>
      </c>
      <c r="C549" t="s">
        <v>42</v>
      </c>
      <c r="D549">
        <v>14</v>
      </c>
      <c r="E549">
        <v>2</v>
      </c>
      <c r="F549">
        <v>2</v>
      </c>
      <c r="G549" t="s">
        <v>27</v>
      </c>
      <c r="H549">
        <v>1</v>
      </c>
      <c r="I549" s="8">
        <v>0.64583333333333337</v>
      </c>
      <c r="J549" s="8">
        <v>0.67361111111111116</v>
      </c>
      <c r="K549" s="9">
        <f t="shared" si="8"/>
        <v>0.66666666666666696</v>
      </c>
      <c r="L549" t="s">
        <v>25</v>
      </c>
      <c r="M549" t="s">
        <v>29</v>
      </c>
      <c r="N549" t="s">
        <v>146</v>
      </c>
      <c r="O549" s="3">
        <v>0</v>
      </c>
      <c r="P549" s="4">
        <v>0</v>
      </c>
      <c r="Q549" s="5">
        <v>0</v>
      </c>
      <c r="R549" s="6">
        <v>0</v>
      </c>
      <c r="S549" s="3">
        <v>0</v>
      </c>
      <c r="T549" s="4">
        <v>0</v>
      </c>
      <c r="U549" s="5">
        <v>0</v>
      </c>
      <c r="V549" s="6">
        <v>0</v>
      </c>
    </row>
    <row r="550" spans="1:25" x14ac:dyDescent="0.3">
      <c r="A550" t="s">
        <v>25</v>
      </c>
      <c r="B550" s="7">
        <v>45196</v>
      </c>
      <c r="C550" t="s">
        <v>42</v>
      </c>
      <c r="D550">
        <v>15</v>
      </c>
      <c r="E550">
        <v>2</v>
      </c>
      <c r="F550">
        <v>2</v>
      </c>
      <c r="G550" t="s">
        <v>27</v>
      </c>
      <c r="H550">
        <v>1</v>
      </c>
      <c r="I550" s="8">
        <v>0.58333333333333337</v>
      </c>
      <c r="J550" s="8">
        <v>0.67708333333333337</v>
      </c>
      <c r="K550" s="9">
        <f t="shared" si="8"/>
        <v>2.25</v>
      </c>
      <c r="L550" t="s">
        <v>28</v>
      </c>
      <c r="M550" t="s">
        <v>99</v>
      </c>
      <c r="N550" t="s">
        <v>146</v>
      </c>
      <c r="O550" s="3">
        <v>0</v>
      </c>
      <c r="P550" s="4">
        <v>0</v>
      </c>
      <c r="Q550" s="5">
        <v>0</v>
      </c>
      <c r="R550" s="6">
        <v>0</v>
      </c>
      <c r="S550" s="3">
        <v>0</v>
      </c>
      <c r="T550" s="4">
        <v>0</v>
      </c>
      <c r="U550" s="5">
        <v>0</v>
      </c>
      <c r="V550" s="6">
        <v>0</v>
      </c>
    </row>
    <row r="551" spans="1:25" x14ac:dyDescent="0.3">
      <c r="A551" t="s">
        <v>25</v>
      </c>
      <c r="B551" s="7">
        <v>45196</v>
      </c>
      <c r="C551" t="s">
        <v>42</v>
      </c>
      <c r="D551">
        <v>16</v>
      </c>
      <c r="E551">
        <v>2</v>
      </c>
      <c r="F551">
        <v>4</v>
      </c>
      <c r="G551" t="s">
        <v>27</v>
      </c>
      <c r="H551">
        <v>2</v>
      </c>
      <c r="I551" s="8">
        <v>0.72222222222222221</v>
      </c>
      <c r="J551" s="8">
        <v>0.73333333333333339</v>
      </c>
      <c r="K551" s="9">
        <f t="shared" si="8"/>
        <v>0.53333333333333677</v>
      </c>
      <c r="L551" t="s">
        <v>25</v>
      </c>
      <c r="M551" t="s">
        <v>73</v>
      </c>
      <c r="N551" t="s">
        <v>27</v>
      </c>
      <c r="O551" s="3">
        <v>0</v>
      </c>
      <c r="P551" s="4">
        <v>0</v>
      </c>
      <c r="Q551" s="5">
        <v>0</v>
      </c>
      <c r="R551" s="6">
        <v>0</v>
      </c>
      <c r="S551" s="3">
        <v>0</v>
      </c>
      <c r="T551" s="4">
        <v>0</v>
      </c>
      <c r="U551" s="5">
        <v>0</v>
      </c>
      <c r="V551" s="6">
        <v>0</v>
      </c>
    </row>
    <row r="552" spans="1:25" x14ac:dyDescent="0.3">
      <c r="A552" t="s">
        <v>25</v>
      </c>
      <c r="B552" s="7">
        <v>45196</v>
      </c>
      <c r="C552" t="s">
        <v>42</v>
      </c>
      <c r="D552">
        <v>17</v>
      </c>
      <c r="E552">
        <v>2</v>
      </c>
      <c r="F552">
        <v>4</v>
      </c>
      <c r="G552" t="s">
        <v>27</v>
      </c>
      <c r="H552">
        <v>2</v>
      </c>
      <c r="I552" s="8">
        <v>0.625</v>
      </c>
      <c r="J552" s="8">
        <v>0.75</v>
      </c>
      <c r="K552" s="9">
        <f t="shared" si="8"/>
        <v>6</v>
      </c>
      <c r="L552" t="s">
        <v>25</v>
      </c>
      <c r="M552" t="s">
        <v>29</v>
      </c>
      <c r="N552" t="s">
        <v>32</v>
      </c>
      <c r="O552" s="3">
        <v>0</v>
      </c>
      <c r="P552" s="4">
        <v>0</v>
      </c>
      <c r="Q552" s="5">
        <v>0</v>
      </c>
      <c r="R552" s="6">
        <v>0</v>
      </c>
      <c r="S552" s="3">
        <v>0</v>
      </c>
      <c r="T552" s="4">
        <v>0</v>
      </c>
      <c r="U552" s="5">
        <v>0</v>
      </c>
      <c r="V552" s="6">
        <v>0</v>
      </c>
    </row>
    <row r="553" spans="1:25" x14ac:dyDescent="0.3">
      <c r="A553" t="s">
        <v>25</v>
      </c>
      <c r="B553" s="7">
        <v>45196</v>
      </c>
      <c r="C553" t="s">
        <v>42</v>
      </c>
      <c r="D553">
        <v>18</v>
      </c>
      <c r="E553">
        <v>2</v>
      </c>
      <c r="F553">
        <v>5</v>
      </c>
      <c r="G553" t="s">
        <v>27</v>
      </c>
      <c r="H553">
        <v>2</v>
      </c>
      <c r="I553" s="8">
        <v>0.72916666666666663</v>
      </c>
      <c r="J553" s="8">
        <v>0.7729166666666667</v>
      </c>
      <c r="K553" s="9">
        <f t="shared" si="8"/>
        <v>2.1000000000000032</v>
      </c>
      <c r="L553" t="s">
        <v>25</v>
      </c>
      <c r="M553" t="s">
        <v>51</v>
      </c>
      <c r="N553" t="s">
        <v>32</v>
      </c>
      <c r="O553" s="3">
        <v>0</v>
      </c>
      <c r="P553" s="4">
        <v>0</v>
      </c>
      <c r="Q553" s="5">
        <v>0</v>
      </c>
      <c r="R553" s="6">
        <v>0</v>
      </c>
      <c r="S553" s="3">
        <v>0</v>
      </c>
      <c r="T553" s="4">
        <v>0</v>
      </c>
      <c r="U553" s="5">
        <v>0</v>
      </c>
      <c r="V553" s="6">
        <v>0</v>
      </c>
    </row>
    <row r="554" spans="1:25" x14ac:dyDescent="0.3">
      <c r="A554" t="s">
        <v>25</v>
      </c>
      <c r="B554" s="7">
        <v>45196</v>
      </c>
      <c r="C554" t="s">
        <v>42</v>
      </c>
      <c r="D554">
        <v>19</v>
      </c>
      <c r="E554">
        <v>2</v>
      </c>
      <c r="F554">
        <v>5</v>
      </c>
      <c r="G554" t="s">
        <v>27</v>
      </c>
      <c r="H554">
        <v>2</v>
      </c>
      <c r="I554" s="8">
        <v>0.6875</v>
      </c>
      <c r="J554" s="8">
        <v>0.77083333333333337</v>
      </c>
      <c r="K554" s="9">
        <f t="shared" si="8"/>
        <v>4.0000000000000018</v>
      </c>
      <c r="L554" t="s">
        <v>25</v>
      </c>
      <c r="M554" t="s">
        <v>29</v>
      </c>
      <c r="N554" t="s">
        <v>55</v>
      </c>
      <c r="O554" s="3">
        <v>0</v>
      </c>
      <c r="P554" s="4">
        <v>0</v>
      </c>
      <c r="Q554" s="5">
        <v>0</v>
      </c>
      <c r="R554" s="6">
        <v>0</v>
      </c>
      <c r="S554" s="3">
        <v>0</v>
      </c>
      <c r="T554" s="4">
        <v>0</v>
      </c>
      <c r="U554" s="5">
        <v>0</v>
      </c>
      <c r="V554" s="6">
        <v>0</v>
      </c>
    </row>
    <row r="555" spans="1:25" x14ac:dyDescent="0.3">
      <c r="A555" t="s">
        <v>25</v>
      </c>
      <c r="B555" s="7">
        <v>45196</v>
      </c>
      <c r="C555" t="s">
        <v>42</v>
      </c>
      <c r="D555">
        <v>20</v>
      </c>
      <c r="E555">
        <v>2</v>
      </c>
      <c r="F555">
        <v>5</v>
      </c>
      <c r="G555" t="s">
        <v>27</v>
      </c>
      <c r="H555">
        <v>1</v>
      </c>
      <c r="I555" s="8">
        <v>0.73958333333333337</v>
      </c>
      <c r="J555" s="8">
        <v>0.78125</v>
      </c>
      <c r="K555" s="9">
        <f t="shared" si="8"/>
        <v>0.99999999999999911</v>
      </c>
      <c r="L555" t="s">
        <v>25</v>
      </c>
      <c r="M555" t="s">
        <v>29</v>
      </c>
      <c r="N555" t="s">
        <v>27</v>
      </c>
      <c r="O555" s="3">
        <v>0</v>
      </c>
      <c r="P555" s="4">
        <v>0</v>
      </c>
      <c r="Q555" s="5">
        <v>1</v>
      </c>
      <c r="R555" s="6">
        <v>0</v>
      </c>
      <c r="S555" s="3">
        <v>0</v>
      </c>
      <c r="T555" s="4">
        <v>0</v>
      </c>
      <c r="U555" s="5">
        <v>1</v>
      </c>
      <c r="V555" s="6">
        <v>0</v>
      </c>
    </row>
    <row r="556" spans="1:25" x14ac:dyDescent="0.3">
      <c r="A556" t="s">
        <v>25</v>
      </c>
      <c r="B556" s="7">
        <v>45196</v>
      </c>
      <c r="C556" t="s">
        <v>42</v>
      </c>
      <c r="D556">
        <v>21</v>
      </c>
      <c r="E556">
        <v>2</v>
      </c>
      <c r="F556">
        <v>5</v>
      </c>
      <c r="G556" t="s">
        <v>27</v>
      </c>
      <c r="H556">
        <v>2</v>
      </c>
      <c r="I556" s="8">
        <v>0.6875</v>
      </c>
      <c r="J556" s="8">
        <v>0.79166666666666663</v>
      </c>
      <c r="K556" s="9">
        <f t="shared" si="8"/>
        <v>4.9999999999999982</v>
      </c>
      <c r="L556" t="s">
        <v>25</v>
      </c>
      <c r="M556" t="s">
        <v>29</v>
      </c>
      <c r="N556" t="s">
        <v>38</v>
      </c>
      <c r="O556" s="3">
        <v>0</v>
      </c>
      <c r="P556" s="4">
        <v>1</v>
      </c>
      <c r="Q556" s="5">
        <v>0</v>
      </c>
      <c r="R556" s="6">
        <v>0</v>
      </c>
      <c r="S556" s="3">
        <v>0</v>
      </c>
      <c r="T556" s="4">
        <v>0</v>
      </c>
      <c r="U556" s="5">
        <v>0</v>
      </c>
      <c r="V556" s="6">
        <v>0</v>
      </c>
    </row>
    <row r="557" spans="1:25" x14ac:dyDescent="0.3">
      <c r="A557" t="s">
        <v>25</v>
      </c>
      <c r="B557" s="7">
        <v>45196</v>
      </c>
      <c r="C557" t="s">
        <v>42</v>
      </c>
      <c r="D557">
        <v>22</v>
      </c>
      <c r="E557">
        <v>2</v>
      </c>
      <c r="F557">
        <v>5</v>
      </c>
      <c r="G557" t="s">
        <v>27</v>
      </c>
      <c r="H557">
        <v>1</v>
      </c>
      <c r="I557" s="8">
        <v>0.72916666666666663</v>
      </c>
      <c r="J557" s="8">
        <v>0.80208333333333337</v>
      </c>
      <c r="K557" s="9">
        <f t="shared" si="8"/>
        <v>1.7500000000000018</v>
      </c>
      <c r="L557" t="s">
        <v>25</v>
      </c>
      <c r="M557" t="s">
        <v>56</v>
      </c>
      <c r="N557" t="s">
        <v>38</v>
      </c>
      <c r="O557" s="3">
        <v>0</v>
      </c>
      <c r="P557" s="4">
        <v>0</v>
      </c>
      <c r="Q557" s="5">
        <v>0</v>
      </c>
      <c r="R557" s="6">
        <v>0</v>
      </c>
      <c r="S557" s="3">
        <v>0</v>
      </c>
      <c r="T557" s="4">
        <v>0</v>
      </c>
      <c r="U557" s="5">
        <v>2</v>
      </c>
      <c r="V557" s="6">
        <v>0</v>
      </c>
    </row>
    <row r="558" spans="1:25" x14ac:dyDescent="0.3">
      <c r="A558" t="s">
        <v>25</v>
      </c>
      <c r="B558" s="7">
        <v>45197</v>
      </c>
      <c r="C558" t="s">
        <v>26</v>
      </c>
      <c r="D558">
        <v>1</v>
      </c>
      <c r="E558">
        <v>1</v>
      </c>
      <c r="F558">
        <v>4</v>
      </c>
      <c r="G558" t="s">
        <v>27</v>
      </c>
      <c r="H558">
        <v>1</v>
      </c>
      <c r="I558" s="8">
        <v>0.27083333333333331</v>
      </c>
      <c r="J558" s="8">
        <v>0.30138888888888887</v>
      </c>
      <c r="K558" s="9">
        <f t="shared" si="8"/>
        <v>0.73333333333333339</v>
      </c>
      <c r="L558" t="s">
        <v>28</v>
      </c>
      <c r="M558" t="s">
        <v>56</v>
      </c>
      <c r="N558" t="s">
        <v>27</v>
      </c>
      <c r="O558" s="3">
        <v>0</v>
      </c>
      <c r="P558" s="4">
        <v>0</v>
      </c>
      <c r="Q558" s="5">
        <v>0</v>
      </c>
      <c r="R558" s="6">
        <v>0</v>
      </c>
      <c r="S558" s="3">
        <v>0</v>
      </c>
      <c r="T558" s="4">
        <v>0</v>
      </c>
      <c r="U558" s="5">
        <v>0</v>
      </c>
      <c r="V558" s="6">
        <v>0</v>
      </c>
    </row>
    <row r="559" spans="1:25" x14ac:dyDescent="0.3">
      <c r="A559" t="s">
        <v>25</v>
      </c>
      <c r="B559" s="7">
        <v>45197</v>
      </c>
      <c r="C559" t="s">
        <v>26</v>
      </c>
      <c r="D559">
        <v>2</v>
      </c>
      <c r="E559">
        <v>2</v>
      </c>
      <c r="F559">
        <v>2</v>
      </c>
      <c r="G559" t="s">
        <v>27</v>
      </c>
      <c r="H559">
        <v>3</v>
      </c>
      <c r="I559" s="8">
        <v>0.29166666666666669</v>
      </c>
      <c r="J559" s="8">
        <v>0.30972222222222223</v>
      </c>
      <c r="K559" s="9">
        <f t="shared" si="8"/>
        <v>1.2999999999999994</v>
      </c>
      <c r="L559" t="s">
        <v>28</v>
      </c>
      <c r="M559" t="s">
        <v>56</v>
      </c>
      <c r="N559" t="s">
        <v>38</v>
      </c>
      <c r="O559" s="3">
        <v>0</v>
      </c>
      <c r="P559" s="4">
        <v>0</v>
      </c>
      <c r="Q559" s="5">
        <v>0</v>
      </c>
      <c r="R559" s="6">
        <v>0</v>
      </c>
      <c r="S559" s="3">
        <v>0</v>
      </c>
      <c r="T559" s="4">
        <v>0</v>
      </c>
      <c r="U559" s="5">
        <v>0</v>
      </c>
      <c r="V559" s="6">
        <v>0</v>
      </c>
    </row>
    <row r="560" spans="1:25" x14ac:dyDescent="0.3">
      <c r="A560" t="s">
        <v>25</v>
      </c>
      <c r="B560" s="7">
        <v>45197</v>
      </c>
      <c r="C560" t="s">
        <v>26</v>
      </c>
      <c r="D560">
        <v>3</v>
      </c>
      <c r="E560">
        <v>2</v>
      </c>
      <c r="F560">
        <v>2</v>
      </c>
      <c r="G560" t="s">
        <v>27</v>
      </c>
      <c r="H560">
        <v>1</v>
      </c>
      <c r="I560" s="8">
        <v>0.3125</v>
      </c>
      <c r="J560" s="8">
        <v>0.32291666666666669</v>
      </c>
      <c r="K560" s="9">
        <f t="shared" si="8"/>
        <v>0.25000000000000044</v>
      </c>
      <c r="L560" t="s">
        <v>28</v>
      </c>
      <c r="M560" t="s">
        <v>56</v>
      </c>
      <c r="N560" t="s">
        <v>38</v>
      </c>
      <c r="O560" s="3">
        <v>0</v>
      </c>
      <c r="P560" s="4">
        <v>1</v>
      </c>
      <c r="Q560" s="5">
        <v>0</v>
      </c>
      <c r="R560" s="6">
        <v>0</v>
      </c>
      <c r="S560" s="3">
        <v>0</v>
      </c>
      <c r="T560" s="4">
        <v>0</v>
      </c>
      <c r="U560" s="5">
        <v>0</v>
      </c>
      <c r="V560" s="6">
        <v>0</v>
      </c>
    </row>
    <row r="561" spans="1:25" x14ac:dyDescent="0.3">
      <c r="A561" t="s">
        <v>25</v>
      </c>
      <c r="B561" s="7">
        <v>45197</v>
      </c>
      <c r="C561" t="s">
        <v>26</v>
      </c>
      <c r="D561">
        <v>4</v>
      </c>
      <c r="E561">
        <v>2</v>
      </c>
      <c r="F561">
        <v>2</v>
      </c>
      <c r="G561" t="s">
        <v>27</v>
      </c>
      <c r="H561">
        <v>1</v>
      </c>
      <c r="I561" s="8">
        <v>0.29166666666666669</v>
      </c>
      <c r="J561" s="8">
        <v>0.32291666666666669</v>
      </c>
      <c r="K561" s="9">
        <f t="shared" si="8"/>
        <v>0.75</v>
      </c>
      <c r="L561" t="s">
        <v>28</v>
      </c>
      <c r="M561" t="s">
        <v>56</v>
      </c>
      <c r="N561" t="s">
        <v>38</v>
      </c>
      <c r="O561" s="3">
        <v>0</v>
      </c>
      <c r="P561" s="4">
        <v>2</v>
      </c>
      <c r="Q561" s="5">
        <v>0</v>
      </c>
      <c r="R561" s="6">
        <v>0</v>
      </c>
      <c r="S561" s="3">
        <v>0</v>
      </c>
      <c r="T561" s="4">
        <v>0</v>
      </c>
      <c r="U561" s="5">
        <v>0</v>
      </c>
      <c r="V561" s="6">
        <v>0</v>
      </c>
    </row>
    <row r="562" spans="1:25" x14ac:dyDescent="0.3">
      <c r="A562" t="s">
        <v>25</v>
      </c>
      <c r="B562" s="7">
        <v>45197</v>
      </c>
      <c r="C562" t="s">
        <v>26</v>
      </c>
      <c r="D562">
        <v>5</v>
      </c>
      <c r="E562">
        <v>2</v>
      </c>
      <c r="F562">
        <v>2</v>
      </c>
      <c r="G562" t="s">
        <v>27</v>
      </c>
      <c r="H562">
        <v>2</v>
      </c>
      <c r="I562" s="8">
        <v>0.27777777777777779</v>
      </c>
      <c r="J562" s="8">
        <v>0.3263888888888889</v>
      </c>
      <c r="K562" s="9">
        <f t="shared" si="8"/>
        <v>2.333333333333333</v>
      </c>
      <c r="L562" t="s">
        <v>25</v>
      </c>
      <c r="M562" t="s">
        <v>56</v>
      </c>
      <c r="N562" t="s">
        <v>38</v>
      </c>
      <c r="O562" s="3">
        <v>0</v>
      </c>
      <c r="P562" s="4">
        <v>3</v>
      </c>
      <c r="Q562" s="5">
        <v>0</v>
      </c>
      <c r="R562" s="6">
        <v>0</v>
      </c>
      <c r="S562" s="3">
        <v>0</v>
      </c>
      <c r="T562" s="4">
        <v>0</v>
      </c>
      <c r="U562" s="5">
        <v>0</v>
      </c>
      <c r="V562" s="6">
        <v>0</v>
      </c>
    </row>
    <row r="563" spans="1:25" x14ac:dyDescent="0.3">
      <c r="A563" t="s">
        <v>25</v>
      </c>
      <c r="B563" s="7">
        <v>45197</v>
      </c>
      <c r="C563" t="s">
        <v>26</v>
      </c>
      <c r="D563">
        <v>6</v>
      </c>
      <c r="E563">
        <v>2</v>
      </c>
      <c r="F563">
        <v>2</v>
      </c>
      <c r="G563" t="s">
        <v>27</v>
      </c>
      <c r="H563">
        <v>3</v>
      </c>
      <c r="I563" s="8">
        <v>0.27083333333333331</v>
      </c>
      <c r="J563" s="8">
        <v>0.32847222222222222</v>
      </c>
      <c r="K563" s="9">
        <f t="shared" si="8"/>
        <v>4.1500000000000012</v>
      </c>
      <c r="L563" t="s">
        <v>28</v>
      </c>
      <c r="M563" t="s">
        <v>56</v>
      </c>
      <c r="N563" t="s">
        <v>38</v>
      </c>
      <c r="O563" s="3">
        <v>0</v>
      </c>
      <c r="P563" s="4">
        <v>2</v>
      </c>
      <c r="Q563" s="5">
        <v>0</v>
      </c>
      <c r="R563" s="6">
        <v>0</v>
      </c>
      <c r="S563" s="3">
        <v>0</v>
      </c>
      <c r="T563" s="4">
        <v>2</v>
      </c>
      <c r="U563" s="5">
        <v>0</v>
      </c>
      <c r="V563" s="6">
        <v>0</v>
      </c>
      <c r="Y563" t="s">
        <v>195</v>
      </c>
    </row>
    <row r="564" spans="1:25" x14ac:dyDescent="0.3">
      <c r="A564" t="s">
        <v>25</v>
      </c>
      <c r="B564" s="7">
        <v>45197</v>
      </c>
      <c r="C564" t="s">
        <v>26</v>
      </c>
      <c r="D564">
        <v>7</v>
      </c>
      <c r="E564">
        <v>2</v>
      </c>
      <c r="F564">
        <v>2</v>
      </c>
      <c r="G564" t="s">
        <v>27</v>
      </c>
      <c r="H564">
        <v>1</v>
      </c>
      <c r="I564" s="8">
        <v>0.27083333333333331</v>
      </c>
      <c r="J564" s="8">
        <v>0.33333333333333331</v>
      </c>
      <c r="K564" s="9">
        <f t="shared" si="8"/>
        <v>1.5</v>
      </c>
      <c r="L564" t="s">
        <v>25</v>
      </c>
      <c r="M564" t="s">
        <v>56</v>
      </c>
      <c r="N564" t="s">
        <v>38</v>
      </c>
      <c r="O564" s="3">
        <v>0</v>
      </c>
      <c r="P564" s="4">
        <v>1</v>
      </c>
      <c r="Q564" s="5">
        <v>0</v>
      </c>
      <c r="R564" s="6">
        <v>0</v>
      </c>
      <c r="S564" s="3">
        <v>0</v>
      </c>
      <c r="T564" s="4">
        <v>0</v>
      </c>
      <c r="U564" s="5">
        <v>0</v>
      </c>
      <c r="V564" s="6">
        <v>0</v>
      </c>
    </row>
    <row r="565" spans="1:25" x14ac:dyDescent="0.3">
      <c r="A565" t="s">
        <v>25</v>
      </c>
      <c r="B565" s="7">
        <v>45197</v>
      </c>
      <c r="C565" t="s">
        <v>26</v>
      </c>
      <c r="D565">
        <v>8</v>
      </c>
      <c r="E565">
        <v>2</v>
      </c>
      <c r="F565">
        <v>2</v>
      </c>
      <c r="G565" t="s">
        <v>27</v>
      </c>
      <c r="H565">
        <v>2</v>
      </c>
      <c r="I565" s="8">
        <v>0.29166666666666669</v>
      </c>
      <c r="J565" s="8">
        <v>0.33333333333333331</v>
      </c>
      <c r="K565" s="9">
        <f t="shared" si="8"/>
        <v>1.9999999999999982</v>
      </c>
      <c r="L565" t="s">
        <v>25</v>
      </c>
      <c r="M565" t="s">
        <v>29</v>
      </c>
      <c r="N565" t="s">
        <v>27</v>
      </c>
      <c r="O565" s="3">
        <v>0</v>
      </c>
      <c r="P565" s="4">
        <v>0</v>
      </c>
      <c r="Q565" s="5">
        <v>0</v>
      </c>
      <c r="R565" s="6">
        <v>0</v>
      </c>
      <c r="S565" s="3">
        <v>0</v>
      </c>
      <c r="T565" s="4">
        <v>0</v>
      </c>
      <c r="U565" s="5">
        <v>0</v>
      </c>
      <c r="V565" s="6">
        <v>0</v>
      </c>
    </row>
    <row r="566" spans="1:25" x14ac:dyDescent="0.3">
      <c r="A566" t="s">
        <v>25</v>
      </c>
      <c r="B566" s="7">
        <v>45197</v>
      </c>
      <c r="C566" t="s">
        <v>26</v>
      </c>
      <c r="D566">
        <v>9</v>
      </c>
      <c r="E566">
        <v>2</v>
      </c>
      <c r="F566">
        <v>2</v>
      </c>
      <c r="G566" t="s">
        <v>27</v>
      </c>
      <c r="H566">
        <v>2</v>
      </c>
      <c r="I566" s="8">
        <v>0.20833333333333334</v>
      </c>
      <c r="J566" s="8">
        <v>0.33680555555555558</v>
      </c>
      <c r="K566" s="9">
        <f t="shared" si="8"/>
        <v>6.1666666666666679</v>
      </c>
      <c r="L566" t="s">
        <v>28</v>
      </c>
      <c r="M566" t="s">
        <v>56</v>
      </c>
      <c r="N566" t="s">
        <v>38</v>
      </c>
      <c r="O566" s="3">
        <v>0</v>
      </c>
      <c r="P566" s="4">
        <v>5</v>
      </c>
      <c r="Q566" s="5">
        <v>0</v>
      </c>
      <c r="R566" s="6">
        <v>0</v>
      </c>
      <c r="S566" s="3">
        <v>0</v>
      </c>
      <c r="T566" s="4">
        <v>0</v>
      </c>
      <c r="U566" s="5">
        <v>0</v>
      </c>
      <c r="V566" s="6">
        <v>0</v>
      </c>
    </row>
    <row r="567" spans="1:25" x14ac:dyDescent="0.3">
      <c r="A567" t="s">
        <v>25</v>
      </c>
      <c r="B567" s="7">
        <v>45197</v>
      </c>
      <c r="C567" t="s">
        <v>26</v>
      </c>
      <c r="D567">
        <v>10</v>
      </c>
      <c r="E567">
        <v>2</v>
      </c>
      <c r="F567">
        <v>2</v>
      </c>
      <c r="G567" t="s">
        <v>27</v>
      </c>
      <c r="H567">
        <v>1</v>
      </c>
      <c r="I567" s="8">
        <v>0.32291666666666669</v>
      </c>
      <c r="J567" s="8">
        <v>0.34166666666666662</v>
      </c>
      <c r="K567" s="9">
        <f t="shared" si="8"/>
        <v>0.4499999999999984</v>
      </c>
      <c r="L567" t="s">
        <v>28</v>
      </c>
      <c r="M567" t="s">
        <v>56</v>
      </c>
      <c r="N567" t="s">
        <v>38</v>
      </c>
      <c r="O567" s="3">
        <v>0</v>
      </c>
      <c r="P567" s="4">
        <v>1</v>
      </c>
      <c r="Q567" s="5">
        <v>0</v>
      </c>
      <c r="R567" s="6">
        <v>0</v>
      </c>
      <c r="S567" s="3">
        <v>0</v>
      </c>
      <c r="T567" s="4">
        <v>0</v>
      </c>
      <c r="U567" s="5">
        <v>0</v>
      </c>
      <c r="V567" s="6">
        <v>0</v>
      </c>
    </row>
    <row r="568" spans="1:25" x14ac:dyDescent="0.3">
      <c r="A568" t="s">
        <v>25</v>
      </c>
      <c r="B568" s="7">
        <v>45197</v>
      </c>
      <c r="C568" t="s">
        <v>26</v>
      </c>
      <c r="D568">
        <v>11</v>
      </c>
      <c r="E568">
        <v>2</v>
      </c>
      <c r="F568">
        <v>2</v>
      </c>
      <c r="G568" t="s">
        <v>27</v>
      </c>
      <c r="H568">
        <v>2</v>
      </c>
      <c r="I568" s="8">
        <v>0.27777777777777779</v>
      </c>
      <c r="J568" s="8">
        <v>0.34375</v>
      </c>
      <c r="K568" s="9">
        <f t="shared" si="8"/>
        <v>3.1666666666666661</v>
      </c>
      <c r="L568" t="s">
        <v>28</v>
      </c>
      <c r="M568" t="s">
        <v>56</v>
      </c>
      <c r="N568" t="s">
        <v>38</v>
      </c>
      <c r="O568" s="3">
        <v>0</v>
      </c>
      <c r="P568" s="4">
        <v>3</v>
      </c>
      <c r="Q568" s="5">
        <v>0</v>
      </c>
      <c r="R568" s="6">
        <v>0</v>
      </c>
      <c r="S568" s="3">
        <v>0</v>
      </c>
      <c r="T568" s="4">
        <v>0</v>
      </c>
      <c r="U568" s="5">
        <v>0</v>
      </c>
      <c r="V568" s="6">
        <v>0</v>
      </c>
      <c r="Y568" t="s">
        <v>196</v>
      </c>
    </row>
    <row r="569" spans="1:25" x14ac:dyDescent="0.3">
      <c r="A569" t="s">
        <v>25</v>
      </c>
      <c r="B569" s="7">
        <v>45197</v>
      </c>
      <c r="C569" t="s">
        <v>26</v>
      </c>
      <c r="D569">
        <v>12</v>
      </c>
      <c r="E569">
        <v>2</v>
      </c>
      <c r="F569">
        <v>3</v>
      </c>
      <c r="G569" t="s">
        <v>27</v>
      </c>
      <c r="H569">
        <v>1</v>
      </c>
      <c r="I569" s="8">
        <v>0.25</v>
      </c>
      <c r="J569" s="8">
        <v>0.36319444444444443</v>
      </c>
      <c r="K569" s="9">
        <f t="shared" si="8"/>
        <v>2.7166666666666663</v>
      </c>
      <c r="L569" t="s">
        <v>28</v>
      </c>
      <c r="M569" t="s">
        <v>56</v>
      </c>
      <c r="N569" t="s">
        <v>38</v>
      </c>
      <c r="O569" s="3">
        <v>0</v>
      </c>
      <c r="P569" s="4">
        <v>2</v>
      </c>
      <c r="Q569" s="5">
        <v>0</v>
      </c>
      <c r="R569" s="6">
        <v>0</v>
      </c>
      <c r="S569" s="3">
        <v>0</v>
      </c>
      <c r="T569" s="4">
        <v>0</v>
      </c>
      <c r="U569" s="5">
        <v>0</v>
      </c>
      <c r="V569" s="6">
        <v>0</v>
      </c>
    </row>
    <row r="570" spans="1:25" x14ac:dyDescent="0.3">
      <c r="A570" t="s">
        <v>25</v>
      </c>
      <c r="B570" s="7">
        <v>45197</v>
      </c>
      <c r="C570" t="s">
        <v>26</v>
      </c>
      <c r="D570">
        <v>13</v>
      </c>
      <c r="E570">
        <v>2</v>
      </c>
      <c r="F570">
        <v>4</v>
      </c>
      <c r="G570" t="s">
        <v>27</v>
      </c>
      <c r="H570">
        <v>1</v>
      </c>
      <c r="I570" s="8">
        <v>0.33333333333333331</v>
      </c>
      <c r="J570" s="8">
        <v>0.37986111111111115</v>
      </c>
      <c r="K570" s="9">
        <f t="shared" si="8"/>
        <v>1.116666666666668</v>
      </c>
      <c r="L570" t="s">
        <v>28</v>
      </c>
      <c r="M570" t="s">
        <v>188</v>
      </c>
      <c r="N570" t="s">
        <v>38</v>
      </c>
      <c r="O570" s="3">
        <v>0</v>
      </c>
      <c r="P570" s="4">
        <v>3</v>
      </c>
      <c r="Q570" s="5">
        <v>0</v>
      </c>
      <c r="R570" s="6">
        <v>0</v>
      </c>
      <c r="S570" s="3">
        <v>0</v>
      </c>
      <c r="T570" s="4">
        <v>0</v>
      </c>
      <c r="U570" s="5">
        <v>0</v>
      </c>
      <c r="V570" s="6">
        <v>0</v>
      </c>
      <c r="Y570" t="s">
        <v>196</v>
      </c>
    </row>
    <row r="571" spans="1:25" x14ac:dyDescent="0.3">
      <c r="A571" t="s">
        <v>25</v>
      </c>
      <c r="B571" s="7">
        <v>45197</v>
      </c>
      <c r="C571" t="s">
        <v>26</v>
      </c>
      <c r="D571">
        <v>14</v>
      </c>
      <c r="E571">
        <v>2</v>
      </c>
      <c r="F571">
        <v>4</v>
      </c>
      <c r="G571" t="s">
        <v>27</v>
      </c>
      <c r="H571">
        <v>1</v>
      </c>
      <c r="I571" s="8">
        <v>0.29166666666666669</v>
      </c>
      <c r="J571" s="8">
        <v>0.38194444444444442</v>
      </c>
      <c r="K571" s="9">
        <f t="shared" si="8"/>
        <v>2.1666666666666656</v>
      </c>
      <c r="L571" t="s">
        <v>28</v>
      </c>
      <c r="M571" t="s">
        <v>56</v>
      </c>
      <c r="N571" t="s">
        <v>38</v>
      </c>
      <c r="O571" s="3">
        <v>0</v>
      </c>
      <c r="P571" s="4">
        <v>2</v>
      </c>
      <c r="Q571" s="5">
        <v>0</v>
      </c>
      <c r="R571" s="6">
        <v>0</v>
      </c>
      <c r="S571" s="3">
        <v>0</v>
      </c>
      <c r="T571" s="4">
        <v>0</v>
      </c>
      <c r="U571" s="5">
        <v>0</v>
      </c>
      <c r="V571" s="6">
        <v>0</v>
      </c>
      <c r="Y571" t="s">
        <v>166</v>
      </c>
    </row>
    <row r="572" spans="1:25" x14ac:dyDescent="0.3">
      <c r="A572" t="s">
        <v>25</v>
      </c>
      <c r="B572" s="7">
        <v>45197</v>
      </c>
      <c r="C572" t="s">
        <v>42</v>
      </c>
      <c r="D572">
        <v>15</v>
      </c>
      <c r="E572">
        <v>2</v>
      </c>
      <c r="F572">
        <v>2</v>
      </c>
      <c r="G572" t="s">
        <v>27</v>
      </c>
      <c r="H572">
        <v>1</v>
      </c>
      <c r="I572" s="8">
        <v>0.45833333333333331</v>
      </c>
      <c r="J572" s="8">
        <v>0.6875</v>
      </c>
      <c r="K572" s="9">
        <f t="shared" si="8"/>
        <v>5.5</v>
      </c>
      <c r="L572" t="s">
        <v>25</v>
      </c>
      <c r="M572" t="s">
        <v>56</v>
      </c>
      <c r="N572" t="s">
        <v>38</v>
      </c>
      <c r="O572" s="3">
        <v>0</v>
      </c>
      <c r="P572" s="4">
        <v>1</v>
      </c>
      <c r="Q572" s="5">
        <v>0</v>
      </c>
      <c r="R572" s="6">
        <v>0</v>
      </c>
      <c r="S572" s="3">
        <v>0</v>
      </c>
      <c r="T572" s="4">
        <v>0</v>
      </c>
      <c r="U572" s="5">
        <v>1</v>
      </c>
      <c r="V572" s="6">
        <v>0</v>
      </c>
    </row>
    <row r="573" spans="1:25" x14ac:dyDescent="0.3">
      <c r="A573" t="s">
        <v>25</v>
      </c>
      <c r="B573" s="7">
        <v>45197</v>
      </c>
      <c r="C573" t="s">
        <v>42</v>
      </c>
      <c r="D573">
        <v>16</v>
      </c>
      <c r="E573">
        <v>2</v>
      </c>
      <c r="F573">
        <v>2</v>
      </c>
      <c r="G573" t="s">
        <v>27</v>
      </c>
      <c r="H573">
        <v>1</v>
      </c>
      <c r="I573" s="8">
        <v>0.54166666666666663</v>
      </c>
      <c r="J573" s="8">
        <v>0.69791666666666663</v>
      </c>
      <c r="K573" s="9">
        <f t="shared" si="8"/>
        <v>3.75</v>
      </c>
      <c r="L573" t="s">
        <v>25</v>
      </c>
      <c r="M573" t="s">
        <v>56</v>
      </c>
      <c r="N573" t="s">
        <v>38</v>
      </c>
      <c r="O573" s="3">
        <v>0</v>
      </c>
      <c r="P573" s="4">
        <v>0</v>
      </c>
      <c r="Q573" s="5">
        <v>0</v>
      </c>
      <c r="R573" s="6">
        <v>0</v>
      </c>
      <c r="S573" s="3">
        <v>0</v>
      </c>
      <c r="T573" s="4">
        <v>0</v>
      </c>
      <c r="U573" s="5">
        <v>0</v>
      </c>
      <c r="V573" s="6">
        <v>0</v>
      </c>
    </row>
    <row r="574" spans="1:25" x14ac:dyDescent="0.3">
      <c r="A574" t="s">
        <v>25</v>
      </c>
      <c r="B574" s="7">
        <v>45197</v>
      </c>
      <c r="C574" t="s">
        <v>42</v>
      </c>
      <c r="D574">
        <v>17</v>
      </c>
      <c r="E574">
        <v>2</v>
      </c>
      <c r="F574">
        <v>2</v>
      </c>
      <c r="G574" t="s">
        <v>27</v>
      </c>
      <c r="H574">
        <v>1</v>
      </c>
      <c r="I574" s="8">
        <v>0.45833333333333331</v>
      </c>
      <c r="J574" s="8">
        <v>0.69791666666666663</v>
      </c>
      <c r="K574" s="9">
        <f t="shared" si="8"/>
        <v>5.75</v>
      </c>
      <c r="L574" t="s">
        <v>25</v>
      </c>
      <c r="M574" t="s">
        <v>56</v>
      </c>
      <c r="N574" t="s">
        <v>38</v>
      </c>
      <c r="O574" s="3">
        <v>0</v>
      </c>
      <c r="P574" s="4">
        <v>0</v>
      </c>
      <c r="Q574" s="5">
        <v>0</v>
      </c>
      <c r="R574" s="6">
        <v>0</v>
      </c>
      <c r="S574" s="3">
        <v>0</v>
      </c>
      <c r="T574" s="4">
        <v>0</v>
      </c>
      <c r="U574" s="5">
        <v>0</v>
      </c>
      <c r="V574" s="6">
        <v>0</v>
      </c>
    </row>
    <row r="575" spans="1:25" x14ac:dyDescent="0.3">
      <c r="A575" t="s">
        <v>25</v>
      </c>
      <c r="B575" s="7">
        <v>45197</v>
      </c>
      <c r="C575" t="s">
        <v>42</v>
      </c>
      <c r="D575">
        <v>18</v>
      </c>
      <c r="E575">
        <v>2</v>
      </c>
      <c r="F575">
        <v>4</v>
      </c>
      <c r="G575" t="s">
        <v>27</v>
      </c>
      <c r="H575">
        <v>2</v>
      </c>
      <c r="I575" s="8">
        <v>0.64583333333333337</v>
      </c>
      <c r="J575" s="8">
        <v>0.75</v>
      </c>
      <c r="K575" s="9">
        <f t="shared" si="8"/>
        <v>4.9999999999999982</v>
      </c>
      <c r="L575" t="s">
        <v>25</v>
      </c>
      <c r="M575" t="s">
        <v>82</v>
      </c>
      <c r="N575" t="s">
        <v>27</v>
      </c>
      <c r="O575" s="3">
        <v>0</v>
      </c>
      <c r="P575" s="4">
        <v>0</v>
      </c>
      <c r="Q575" s="5">
        <v>0</v>
      </c>
      <c r="R575" s="6">
        <v>0</v>
      </c>
      <c r="S575" s="3">
        <v>0</v>
      </c>
      <c r="T575" s="4">
        <v>0</v>
      </c>
      <c r="U575" s="5">
        <v>0</v>
      </c>
      <c r="V575" s="6">
        <v>0</v>
      </c>
    </row>
    <row r="576" spans="1:25" x14ac:dyDescent="0.3">
      <c r="A576" t="s">
        <v>25</v>
      </c>
      <c r="B576" s="7">
        <v>45197</v>
      </c>
      <c r="C576" t="s">
        <v>42</v>
      </c>
      <c r="D576">
        <v>19</v>
      </c>
      <c r="E576">
        <v>2</v>
      </c>
      <c r="F576">
        <v>4</v>
      </c>
      <c r="G576" t="s">
        <v>27</v>
      </c>
      <c r="H576">
        <v>1</v>
      </c>
      <c r="I576" s="8">
        <v>0.625</v>
      </c>
      <c r="J576" s="8">
        <v>0.75</v>
      </c>
      <c r="K576" s="9">
        <f t="shared" si="8"/>
        <v>3</v>
      </c>
      <c r="L576" t="s">
        <v>25</v>
      </c>
      <c r="M576" t="s">
        <v>29</v>
      </c>
      <c r="N576" t="s">
        <v>27</v>
      </c>
      <c r="O576" s="3">
        <v>0</v>
      </c>
      <c r="P576" s="4">
        <v>0</v>
      </c>
      <c r="Q576" s="5">
        <v>0</v>
      </c>
      <c r="R576" s="6">
        <v>0</v>
      </c>
      <c r="S576" s="3">
        <v>0</v>
      </c>
      <c r="T576" s="4">
        <v>0</v>
      </c>
      <c r="U576" s="5">
        <v>0</v>
      </c>
      <c r="V576" s="6">
        <v>0</v>
      </c>
    </row>
    <row r="577" spans="1:25" x14ac:dyDescent="0.3">
      <c r="A577" t="s">
        <v>25</v>
      </c>
      <c r="B577" s="7">
        <v>45197</v>
      </c>
      <c r="C577" t="s">
        <v>42</v>
      </c>
      <c r="D577">
        <v>20</v>
      </c>
      <c r="E577">
        <v>2</v>
      </c>
      <c r="F577">
        <v>5</v>
      </c>
      <c r="G577" t="s">
        <v>27</v>
      </c>
      <c r="H577">
        <v>1</v>
      </c>
      <c r="I577" s="8">
        <v>0.70833333333333337</v>
      </c>
      <c r="J577" s="8">
        <v>0.76041666666666663</v>
      </c>
      <c r="K577" s="9">
        <f t="shared" si="8"/>
        <v>1.2499999999999982</v>
      </c>
      <c r="L577" t="s">
        <v>25</v>
      </c>
      <c r="M577" t="s">
        <v>29</v>
      </c>
      <c r="N577" t="s">
        <v>27</v>
      </c>
      <c r="O577" s="3">
        <v>0</v>
      </c>
      <c r="P577" s="4">
        <v>0</v>
      </c>
      <c r="Q577" s="5">
        <v>1</v>
      </c>
      <c r="R577" s="6">
        <v>0</v>
      </c>
      <c r="S577" s="3">
        <v>0</v>
      </c>
      <c r="T577" s="4">
        <v>0</v>
      </c>
      <c r="U577" s="5">
        <v>0</v>
      </c>
      <c r="V577" s="6">
        <v>0</v>
      </c>
    </row>
    <row r="578" spans="1:25" x14ac:dyDescent="0.3">
      <c r="A578" t="s">
        <v>25</v>
      </c>
      <c r="B578" s="7">
        <v>45197</v>
      </c>
      <c r="C578" t="s">
        <v>42</v>
      </c>
      <c r="D578">
        <v>21</v>
      </c>
      <c r="E578">
        <v>2</v>
      </c>
      <c r="F578">
        <v>5</v>
      </c>
      <c r="G578" t="s">
        <v>27</v>
      </c>
      <c r="H578">
        <v>1</v>
      </c>
      <c r="I578" s="8">
        <v>0.70833333333333337</v>
      </c>
      <c r="J578" s="8">
        <v>0.76041666666666663</v>
      </c>
      <c r="K578" s="9">
        <f t="shared" si="8"/>
        <v>1.2499999999999982</v>
      </c>
      <c r="L578" t="s">
        <v>25</v>
      </c>
      <c r="M578" t="s">
        <v>29</v>
      </c>
      <c r="N578" t="s">
        <v>27</v>
      </c>
      <c r="O578" s="3">
        <v>0</v>
      </c>
      <c r="P578" s="4">
        <v>0</v>
      </c>
      <c r="Q578" s="5">
        <v>3</v>
      </c>
      <c r="R578" s="6">
        <v>0</v>
      </c>
      <c r="S578" s="3">
        <v>0</v>
      </c>
      <c r="T578" s="4">
        <v>0</v>
      </c>
      <c r="U578" s="5">
        <v>0</v>
      </c>
      <c r="V578" s="6">
        <v>0</v>
      </c>
    </row>
    <row r="579" spans="1:25" x14ac:dyDescent="0.3">
      <c r="A579" t="s">
        <v>25</v>
      </c>
      <c r="B579" s="7">
        <v>45197</v>
      </c>
      <c r="C579" t="s">
        <v>42</v>
      </c>
      <c r="D579">
        <v>22</v>
      </c>
      <c r="E579">
        <v>2</v>
      </c>
      <c r="F579">
        <v>2</v>
      </c>
      <c r="G579" t="s">
        <v>27</v>
      </c>
      <c r="H579">
        <v>1</v>
      </c>
      <c r="I579" s="8">
        <v>0.76041666666666663</v>
      </c>
      <c r="J579" s="8">
        <v>0.78125</v>
      </c>
      <c r="K579" s="9">
        <f t="shared" ref="K579:K755" si="9">(J579-I579)*24*H579</f>
        <v>0.50000000000000089</v>
      </c>
      <c r="L579" t="s">
        <v>25</v>
      </c>
      <c r="M579" t="s">
        <v>29</v>
      </c>
      <c r="N579" t="s">
        <v>27</v>
      </c>
      <c r="O579" s="3">
        <v>0</v>
      </c>
      <c r="P579" s="4">
        <v>0</v>
      </c>
      <c r="Q579" s="5">
        <v>0</v>
      </c>
      <c r="R579" s="6">
        <v>0</v>
      </c>
      <c r="S579" s="3">
        <v>0</v>
      </c>
      <c r="T579" s="4">
        <v>0</v>
      </c>
      <c r="U579" s="5">
        <v>0</v>
      </c>
      <c r="V579" s="6">
        <v>0</v>
      </c>
    </row>
    <row r="580" spans="1:25" x14ac:dyDescent="0.3">
      <c r="A580" t="s">
        <v>25</v>
      </c>
      <c r="B580" s="7">
        <v>45197</v>
      </c>
      <c r="C580" t="s">
        <v>42</v>
      </c>
      <c r="D580">
        <v>23</v>
      </c>
      <c r="E580">
        <v>2</v>
      </c>
      <c r="F580">
        <v>2</v>
      </c>
      <c r="G580" t="s">
        <v>27</v>
      </c>
      <c r="H580">
        <v>2</v>
      </c>
      <c r="I580" s="8">
        <v>0.3125</v>
      </c>
      <c r="J580" s="8">
        <v>0.79166666666666663</v>
      </c>
      <c r="K580" s="9">
        <f t="shared" si="9"/>
        <v>23</v>
      </c>
      <c r="L580" t="s">
        <v>25</v>
      </c>
      <c r="M580" t="s">
        <v>189</v>
      </c>
      <c r="N580" t="s">
        <v>38</v>
      </c>
      <c r="O580" s="3">
        <v>0</v>
      </c>
      <c r="P580" s="4">
        <v>4</v>
      </c>
      <c r="Q580" s="5">
        <v>0</v>
      </c>
      <c r="R580" s="6">
        <v>0</v>
      </c>
      <c r="S580" s="3">
        <v>0</v>
      </c>
      <c r="T580" s="4">
        <v>0</v>
      </c>
      <c r="U580" s="5">
        <v>3</v>
      </c>
      <c r="V580" s="6">
        <v>0</v>
      </c>
      <c r="Y580" t="s">
        <v>173</v>
      </c>
    </row>
    <row r="581" spans="1:25" x14ac:dyDescent="0.3">
      <c r="A581" t="s">
        <v>25</v>
      </c>
      <c r="B581" s="7">
        <v>45198</v>
      </c>
      <c r="C581" t="s">
        <v>26</v>
      </c>
      <c r="D581">
        <v>1</v>
      </c>
      <c r="E581">
        <v>2</v>
      </c>
      <c r="F581">
        <v>1</v>
      </c>
      <c r="G581" t="s">
        <v>27</v>
      </c>
      <c r="H581">
        <v>2</v>
      </c>
      <c r="I581" s="8">
        <v>0.29166666666666669</v>
      </c>
      <c r="J581" s="8">
        <v>0.3263888888888889</v>
      </c>
      <c r="K581" s="9">
        <f t="shared" si="9"/>
        <v>1.6666666666666661</v>
      </c>
      <c r="L581" t="s">
        <v>28</v>
      </c>
      <c r="M581" t="s">
        <v>56</v>
      </c>
      <c r="N581" t="s">
        <v>38</v>
      </c>
      <c r="O581" s="3">
        <v>0</v>
      </c>
      <c r="P581" s="4">
        <v>2</v>
      </c>
      <c r="Q581" s="5">
        <v>0</v>
      </c>
      <c r="R581" s="6">
        <v>0</v>
      </c>
      <c r="S581" s="3">
        <v>0</v>
      </c>
      <c r="T581" s="4">
        <v>0</v>
      </c>
      <c r="U581" s="5">
        <v>0</v>
      </c>
      <c r="V581" s="6">
        <v>0</v>
      </c>
      <c r="Y581" t="s">
        <v>184</v>
      </c>
    </row>
    <row r="582" spans="1:25" x14ac:dyDescent="0.3">
      <c r="A582" t="s">
        <v>25</v>
      </c>
      <c r="B582" s="7">
        <v>45198</v>
      </c>
      <c r="C582" t="s">
        <v>26</v>
      </c>
      <c r="D582">
        <v>2</v>
      </c>
      <c r="E582">
        <v>2</v>
      </c>
      <c r="F582">
        <v>1</v>
      </c>
      <c r="G582" t="s">
        <v>27</v>
      </c>
      <c r="H582">
        <v>1</v>
      </c>
      <c r="I582" s="8">
        <v>0.30555555555555552</v>
      </c>
      <c r="J582" s="8">
        <v>0.33333333333333331</v>
      </c>
      <c r="K582" s="9">
        <f t="shared" si="9"/>
        <v>0.66666666666666696</v>
      </c>
      <c r="L582" t="s">
        <v>28</v>
      </c>
      <c r="M582" t="s">
        <v>56</v>
      </c>
      <c r="N582" t="s">
        <v>38</v>
      </c>
      <c r="O582" s="3">
        <v>0</v>
      </c>
      <c r="P582" s="4">
        <v>1</v>
      </c>
      <c r="Q582" s="5">
        <v>0</v>
      </c>
      <c r="R582" s="6">
        <v>0</v>
      </c>
      <c r="S582" s="3">
        <v>0</v>
      </c>
      <c r="T582" s="4">
        <v>0</v>
      </c>
      <c r="U582" s="5">
        <v>0</v>
      </c>
      <c r="V582" s="6">
        <v>0</v>
      </c>
    </row>
    <row r="583" spans="1:25" x14ac:dyDescent="0.3">
      <c r="A583" t="s">
        <v>25</v>
      </c>
      <c r="B583" s="7">
        <v>45198</v>
      </c>
      <c r="C583" t="s">
        <v>26</v>
      </c>
      <c r="D583">
        <v>3</v>
      </c>
      <c r="E583">
        <v>2</v>
      </c>
      <c r="F583">
        <v>2</v>
      </c>
      <c r="G583" t="s">
        <v>27</v>
      </c>
      <c r="H583">
        <v>1</v>
      </c>
      <c r="I583" s="8">
        <v>0.22916666666666666</v>
      </c>
      <c r="J583" s="8">
        <v>0.34791666666666665</v>
      </c>
      <c r="K583" s="9">
        <f t="shared" si="9"/>
        <v>2.8499999999999996</v>
      </c>
      <c r="L583" t="s">
        <v>25</v>
      </c>
      <c r="M583" t="s">
        <v>56</v>
      </c>
      <c r="N583" t="s">
        <v>38</v>
      </c>
      <c r="O583" s="3">
        <v>0</v>
      </c>
      <c r="P583" s="4">
        <v>4</v>
      </c>
      <c r="Q583" s="5">
        <v>0</v>
      </c>
      <c r="R583" s="6">
        <v>0</v>
      </c>
      <c r="S583" s="3">
        <v>0</v>
      </c>
      <c r="T583" s="4">
        <v>0</v>
      </c>
      <c r="U583" s="5">
        <v>0</v>
      </c>
      <c r="V583" s="6">
        <v>0</v>
      </c>
    </row>
    <row r="584" spans="1:25" x14ac:dyDescent="0.3">
      <c r="A584" t="s">
        <v>25</v>
      </c>
      <c r="B584" s="7">
        <v>45198</v>
      </c>
      <c r="C584" t="s">
        <v>26</v>
      </c>
      <c r="D584">
        <v>4</v>
      </c>
      <c r="E584">
        <v>2</v>
      </c>
      <c r="F584">
        <v>2</v>
      </c>
      <c r="G584" t="s">
        <v>27</v>
      </c>
      <c r="H584">
        <v>1</v>
      </c>
      <c r="I584" s="8">
        <v>0.26041666666666669</v>
      </c>
      <c r="J584" s="8">
        <v>0.34861111111111115</v>
      </c>
      <c r="K584" s="9">
        <f t="shared" si="9"/>
        <v>2.1166666666666671</v>
      </c>
      <c r="L584" t="s">
        <v>25</v>
      </c>
      <c r="M584" t="s">
        <v>56</v>
      </c>
      <c r="N584" t="s">
        <v>38</v>
      </c>
      <c r="O584" s="3">
        <v>0</v>
      </c>
      <c r="P584" s="4">
        <v>2</v>
      </c>
      <c r="Q584" s="5">
        <v>0</v>
      </c>
      <c r="R584" s="6">
        <v>0</v>
      </c>
      <c r="S584" s="3">
        <v>0</v>
      </c>
      <c r="T584" s="4">
        <v>0</v>
      </c>
      <c r="U584" s="5">
        <v>0</v>
      </c>
      <c r="V584" s="6">
        <v>0</v>
      </c>
    </row>
    <row r="585" spans="1:25" x14ac:dyDescent="0.3">
      <c r="A585" t="s">
        <v>25</v>
      </c>
      <c r="B585" s="7">
        <v>45198</v>
      </c>
      <c r="C585" t="s">
        <v>26</v>
      </c>
      <c r="D585">
        <v>5</v>
      </c>
      <c r="E585">
        <v>2</v>
      </c>
      <c r="F585">
        <v>2</v>
      </c>
      <c r="G585" t="s">
        <v>27</v>
      </c>
      <c r="H585">
        <v>1</v>
      </c>
      <c r="I585" s="8">
        <v>0.22916666666666666</v>
      </c>
      <c r="J585" s="8">
        <v>0.35416666666666669</v>
      </c>
      <c r="K585" s="9">
        <f t="shared" si="9"/>
        <v>3.0000000000000009</v>
      </c>
      <c r="L585" t="s">
        <v>28</v>
      </c>
      <c r="M585" t="s">
        <v>56</v>
      </c>
      <c r="N585" t="s">
        <v>38</v>
      </c>
      <c r="O585" s="3">
        <v>0</v>
      </c>
      <c r="P585" s="4">
        <v>3</v>
      </c>
      <c r="Q585" s="5">
        <v>0</v>
      </c>
      <c r="R585" s="6">
        <v>0</v>
      </c>
      <c r="S585" s="3">
        <v>0</v>
      </c>
      <c r="T585" s="4">
        <v>1</v>
      </c>
      <c r="U585" s="5">
        <v>0</v>
      </c>
      <c r="V585" s="6">
        <v>0</v>
      </c>
      <c r="Y585" t="s">
        <v>197</v>
      </c>
    </row>
    <row r="586" spans="1:25" x14ac:dyDescent="0.3">
      <c r="A586" t="s">
        <v>25</v>
      </c>
      <c r="B586" s="7">
        <v>45198</v>
      </c>
      <c r="C586" t="s">
        <v>26</v>
      </c>
      <c r="D586">
        <v>6</v>
      </c>
      <c r="E586">
        <v>2</v>
      </c>
      <c r="F586">
        <v>2</v>
      </c>
      <c r="G586" t="s">
        <v>27</v>
      </c>
      <c r="H586">
        <v>1</v>
      </c>
      <c r="I586" s="8">
        <v>0.22916666666666666</v>
      </c>
      <c r="J586" s="8">
        <v>0.35416666666666669</v>
      </c>
      <c r="K586" s="9">
        <f t="shared" si="9"/>
        <v>3.0000000000000009</v>
      </c>
      <c r="L586" t="s">
        <v>25</v>
      </c>
      <c r="M586" t="s">
        <v>56</v>
      </c>
      <c r="N586" t="s">
        <v>38</v>
      </c>
      <c r="O586" s="3">
        <v>0</v>
      </c>
      <c r="P586" s="4">
        <v>1</v>
      </c>
      <c r="Q586" s="5">
        <v>0</v>
      </c>
      <c r="R586" s="6">
        <v>0</v>
      </c>
      <c r="S586" s="3">
        <v>0</v>
      </c>
      <c r="T586" s="4">
        <v>0</v>
      </c>
      <c r="U586" s="5">
        <v>0</v>
      </c>
      <c r="V586" s="6">
        <v>0</v>
      </c>
    </row>
    <row r="587" spans="1:25" x14ac:dyDescent="0.3">
      <c r="A587" t="s">
        <v>25</v>
      </c>
      <c r="B587" s="7">
        <v>45198</v>
      </c>
      <c r="C587" t="s">
        <v>26</v>
      </c>
      <c r="D587">
        <v>7</v>
      </c>
      <c r="E587">
        <v>2</v>
      </c>
      <c r="F587">
        <v>2</v>
      </c>
      <c r="G587" t="s">
        <v>27</v>
      </c>
      <c r="H587">
        <v>2</v>
      </c>
      <c r="I587" s="8">
        <v>0.29166666666666669</v>
      </c>
      <c r="J587" s="8">
        <v>0.40486111111111112</v>
      </c>
      <c r="K587" s="9">
        <f t="shared" si="9"/>
        <v>5.4333333333333327</v>
      </c>
      <c r="L587" t="s">
        <v>28</v>
      </c>
      <c r="M587" t="s">
        <v>56</v>
      </c>
      <c r="N587" t="s">
        <v>38</v>
      </c>
      <c r="O587" s="3">
        <v>0</v>
      </c>
      <c r="P587" s="4">
        <v>3</v>
      </c>
      <c r="Q587" s="5">
        <v>0</v>
      </c>
      <c r="R587" s="6">
        <v>0</v>
      </c>
      <c r="S587" s="3">
        <v>0</v>
      </c>
      <c r="T587" s="4">
        <v>0</v>
      </c>
      <c r="U587" s="5">
        <v>0</v>
      </c>
      <c r="V587" s="6">
        <v>0</v>
      </c>
      <c r="Y587" t="s">
        <v>198</v>
      </c>
    </row>
    <row r="588" spans="1:25" x14ac:dyDescent="0.3">
      <c r="A588" t="s">
        <v>25</v>
      </c>
      <c r="B588" s="7">
        <v>45198</v>
      </c>
      <c r="C588" t="s">
        <v>26</v>
      </c>
      <c r="D588">
        <v>8</v>
      </c>
      <c r="E588">
        <v>2</v>
      </c>
      <c r="F588">
        <v>4</v>
      </c>
      <c r="G588" t="s">
        <v>27</v>
      </c>
      <c r="H588">
        <v>2</v>
      </c>
      <c r="I588" s="8">
        <v>0.34722222222222227</v>
      </c>
      <c r="J588" s="8">
        <v>0.43055555555555558</v>
      </c>
      <c r="K588" s="9">
        <f t="shared" si="9"/>
        <v>3.9999999999999991</v>
      </c>
      <c r="L588" t="s">
        <v>28</v>
      </c>
      <c r="M588" t="s">
        <v>56</v>
      </c>
      <c r="N588" t="s">
        <v>38</v>
      </c>
      <c r="O588" s="3">
        <v>0</v>
      </c>
      <c r="P588" s="4">
        <v>2</v>
      </c>
      <c r="Q588" s="5">
        <v>0</v>
      </c>
      <c r="R588" s="6">
        <v>0</v>
      </c>
      <c r="S588" s="3">
        <v>0</v>
      </c>
      <c r="T588" s="4">
        <v>1</v>
      </c>
      <c r="U588" s="5">
        <v>0</v>
      </c>
      <c r="V588" s="6">
        <v>0</v>
      </c>
    </row>
    <row r="589" spans="1:25" x14ac:dyDescent="0.3">
      <c r="A589" t="s">
        <v>25</v>
      </c>
      <c r="B589" s="7">
        <v>45198</v>
      </c>
      <c r="C589" t="s">
        <v>26</v>
      </c>
      <c r="D589">
        <v>9</v>
      </c>
      <c r="E589">
        <v>2</v>
      </c>
      <c r="F589">
        <v>4</v>
      </c>
      <c r="G589" t="s">
        <v>27</v>
      </c>
      <c r="H589">
        <v>2</v>
      </c>
      <c r="I589" s="8">
        <v>0.27083333333333331</v>
      </c>
      <c r="J589" s="8">
        <v>0.41666666666666669</v>
      </c>
      <c r="K589" s="9">
        <f t="shared" si="9"/>
        <v>7.0000000000000018</v>
      </c>
      <c r="L589" t="s">
        <v>25</v>
      </c>
      <c r="M589" t="s">
        <v>56</v>
      </c>
      <c r="N589" t="s">
        <v>38</v>
      </c>
      <c r="O589" s="3">
        <v>0</v>
      </c>
      <c r="P589" s="4">
        <v>7</v>
      </c>
      <c r="Q589" s="5">
        <v>0</v>
      </c>
      <c r="R589" s="6">
        <v>0</v>
      </c>
      <c r="S589" s="3">
        <v>0</v>
      </c>
      <c r="T589" s="4">
        <v>0</v>
      </c>
      <c r="U589" s="5">
        <v>0</v>
      </c>
      <c r="V589" s="6">
        <v>0</v>
      </c>
      <c r="Y589" t="s">
        <v>199</v>
      </c>
    </row>
    <row r="590" spans="1:25" x14ac:dyDescent="0.3">
      <c r="A590" t="s">
        <v>25</v>
      </c>
      <c r="B590" s="7">
        <v>45198</v>
      </c>
      <c r="C590" t="s">
        <v>42</v>
      </c>
      <c r="D590">
        <v>10</v>
      </c>
      <c r="E590">
        <v>3</v>
      </c>
      <c r="F590">
        <v>8</v>
      </c>
      <c r="G590" t="s">
        <v>27</v>
      </c>
      <c r="H590">
        <v>2</v>
      </c>
      <c r="I590" s="8">
        <v>0.54166666666666663</v>
      </c>
      <c r="J590" s="8">
        <v>0.63888888888888895</v>
      </c>
      <c r="K590" s="9">
        <f t="shared" si="9"/>
        <v>4.6666666666666714</v>
      </c>
      <c r="L590" t="s">
        <v>25</v>
      </c>
      <c r="M590" t="s">
        <v>125</v>
      </c>
      <c r="N590" t="s">
        <v>27</v>
      </c>
      <c r="O590" s="3">
        <v>0</v>
      </c>
      <c r="P590" s="4">
        <v>1</v>
      </c>
      <c r="Q590" s="5">
        <v>2</v>
      </c>
      <c r="R590" s="6">
        <v>0</v>
      </c>
      <c r="S590" s="3">
        <v>0</v>
      </c>
      <c r="T590" s="4">
        <v>0</v>
      </c>
      <c r="U590" s="5">
        <v>1</v>
      </c>
      <c r="V590" s="6">
        <v>0</v>
      </c>
    </row>
    <row r="591" spans="1:25" x14ac:dyDescent="0.3">
      <c r="A591" t="s">
        <v>25</v>
      </c>
      <c r="B591" s="7">
        <v>45198</v>
      </c>
      <c r="C591" t="s">
        <v>42</v>
      </c>
      <c r="D591">
        <v>11</v>
      </c>
      <c r="E591">
        <v>3</v>
      </c>
      <c r="F591">
        <v>8</v>
      </c>
      <c r="G591" t="s">
        <v>27</v>
      </c>
      <c r="H591">
        <v>1</v>
      </c>
      <c r="I591" s="8">
        <v>0.53125</v>
      </c>
      <c r="J591" s="8">
        <v>0.64236111111111105</v>
      </c>
      <c r="K591" s="9">
        <f t="shared" si="9"/>
        <v>2.6666666666666652</v>
      </c>
      <c r="L591" t="s">
        <v>25</v>
      </c>
      <c r="M591" t="s">
        <v>112</v>
      </c>
      <c r="N591" t="s">
        <v>27</v>
      </c>
      <c r="O591" s="3">
        <v>0</v>
      </c>
      <c r="P591" s="4">
        <v>0</v>
      </c>
      <c r="Q591" s="5">
        <v>0</v>
      </c>
      <c r="R591" s="6">
        <v>0</v>
      </c>
      <c r="S591" s="3">
        <v>0</v>
      </c>
      <c r="T591" s="4">
        <v>0</v>
      </c>
      <c r="U591" s="5">
        <v>0</v>
      </c>
      <c r="V591" s="6">
        <v>0</v>
      </c>
    </row>
    <row r="592" spans="1:25" x14ac:dyDescent="0.3">
      <c r="A592" t="s">
        <v>25</v>
      </c>
      <c r="B592" s="7">
        <v>45198</v>
      </c>
      <c r="C592" t="s">
        <v>42</v>
      </c>
      <c r="D592">
        <v>12</v>
      </c>
      <c r="E592">
        <v>3</v>
      </c>
      <c r="F592">
        <v>8</v>
      </c>
      <c r="G592" t="s">
        <v>27</v>
      </c>
      <c r="H592">
        <v>2</v>
      </c>
      <c r="I592" s="8">
        <v>0.54166666666666663</v>
      </c>
      <c r="J592" s="8">
        <v>0.64583333333333337</v>
      </c>
      <c r="K592" s="9">
        <f t="shared" si="9"/>
        <v>5.0000000000000036</v>
      </c>
      <c r="L592" t="s">
        <v>25</v>
      </c>
      <c r="M592" t="s">
        <v>51</v>
      </c>
      <c r="N592" t="s">
        <v>27</v>
      </c>
      <c r="O592" s="3">
        <v>0</v>
      </c>
      <c r="P592" s="4">
        <v>0</v>
      </c>
      <c r="Q592" s="5">
        <v>3</v>
      </c>
      <c r="R592" s="6">
        <v>0</v>
      </c>
      <c r="S592" s="3">
        <v>0</v>
      </c>
      <c r="T592" s="4">
        <v>0</v>
      </c>
      <c r="U592" s="5">
        <v>1</v>
      </c>
      <c r="V592" s="6">
        <v>0</v>
      </c>
    </row>
    <row r="593" spans="1:25" x14ac:dyDescent="0.3">
      <c r="A593" t="s">
        <v>25</v>
      </c>
      <c r="B593" s="7">
        <v>45198</v>
      </c>
      <c r="C593" t="s">
        <v>42</v>
      </c>
      <c r="D593">
        <v>13</v>
      </c>
      <c r="E593">
        <v>3</v>
      </c>
      <c r="F593">
        <v>8</v>
      </c>
      <c r="G593" t="s">
        <v>27</v>
      </c>
      <c r="H593">
        <v>3</v>
      </c>
      <c r="I593" s="8">
        <v>0.5</v>
      </c>
      <c r="J593" s="8">
        <v>0.64930555555555558</v>
      </c>
      <c r="K593" s="9">
        <f t="shared" si="9"/>
        <v>10.750000000000002</v>
      </c>
      <c r="L593" t="s">
        <v>25</v>
      </c>
      <c r="M593" t="s">
        <v>51</v>
      </c>
      <c r="N593" t="s">
        <v>27</v>
      </c>
      <c r="O593" s="3">
        <v>0</v>
      </c>
      <c r="P593" s="4">
        <v>0</v>
      </c>
      <c r="Q593" s="5">
        <v>0</v>
      </c>
      <c r="R593" s="6">
        <v>0</v>
      </c>
      <c r="S593" s="3">
        <v>0</v>
      </c>
      <c r="T593" s="4">
        <v>0</v>
      </c>
      <c r="U593" s="5">
        <v>4</v>
      </c>
      <c r="V593" s="6">
        <v>0</v>
      </c>
    </row>
    <row r="594" spans="1:25" x14ac:dyDescent="0.3">
      <c r="A594" t="s">
        <v>25</v>
      </c>
      <c r="B594" s="7">
        <v>45198</v>
      </c>
      <c r="C594" t="s">
        <v>42</v>
      </c>
      <c r="D594">
        <v>14</v>
      </c>
      <c r="E594">
        <v>3</v>
      </c>
      <c r="F594">
        <v>6</v>
      </c>
      <c r="G594" t="s">
        <v>27</v>
      </c>
      <c r="H594">
        <v>1</v>
      </c>
      <c r="I594" s="8">
        <v>0.61458333333333337</v>
      </c>
      <c r="J594" s="8">
        <v>0.69791666666666663</v>
      </c>
      <c r="K594" s="9">
        <f t="shared" si="9"/>
        <v>1.9999999999999982</v>
      </c>
      <c r="L594" t="s">
        <v>25</v>
      </c>
      <c r="M594" t="s">
        <v>51</v>
      </c>
      <c r="N594" t="s">
        <v>27</v>
      </c>
      <c r="O594" s="3">
        <v>0</v>
      </c>
      <c r="P594" s="4">
        <v>0</v>
      </c>
      <c r="Q594" s="5">
        <v>4</v>
      </c>
      <c r="R594" s="6">
        <v>0</v>
      </c>
      <c r="S594" s="3">
        <v>0</v>
      </c>
      <c r="T594" s="4">
        <v>0</v>
      </c>
      <c r="U594" s="5">
        <v>6</v>
      </c>
      <c r="V594" s="6">
        <v>0</v>
      </c>
    </row>
    <row r="595" spans="1:25" x14ac:dyDescent="0.3">
      <c r="A595" t="s">
        <v>25</v>
      </c>
      <c r="B595" s="7">
        <v>45198</v>
      </c>
      <c r="C595" t="s">
        <v>42</v>
      </c>
      <c r="D595">
        <v>15</v>
      </c>
      <c r="E595">
        <v>2</v>
      </c>
      <c r="F595">
        <v>5</v>
      </c>
      <c r="G595" t="s">
        <v>27</v>
      </c>
      <c r="H595">
        <v>2</v>
      </c>
      <c r="I595" s="8">
        <v>0.6875</v>
      </c>
      <c r="J595" s="8">
        <v>0.70833333333333337</v>
      </c>
      <c r="K595" s="9">
        <f t="shared" si="9"/>
        <v>1.0000000000000018</v>
      </c>
      <c r="L595" t="s">
        <v>25</v>
      </c>
      <c r="M595" t="s">
        <v>188</v>
      </c>
      <c r="N595" t="s">
        <v>27</v>
      </c>
      <c r="O595" s="3">
        <v>0</v>
      </c>
      <c r="P595" s="4">
        <v>0</v>
      </c>
      <c r="Q595" s="5">
        <v>0</v>
      </c>
      <c r="R595" s="6">
        <v>0</v>
      </c>
      <c r="S595" s="3">
        <v>0</v>
      </c>
      <c r="T595" s="4">
        <v>0</v>
      </c>
      <c r="U595" s="5">
        <v>13</v>
      </c>
      <c r="V595" s="6">
        <v>0</v>
      </c>
    </row>
    <row r="596" spans="1:25" x14ac:dyDescent="0.3">
      <c r="A596" t="s">
        <v>25</v>
      </c>
      <c r="B596" s="7">
        <v>45198</v>
      </c>
      <c r="C596" t="s">
        <v>42</v>
      </c>
      <c r="D596">
        <v>16</v>
      </c>
      <c r="E596">
        <v>2</v>
      </c>
      <c r="F596">
        <v>5</v>
      </c>
      <c r="G596" t="s">
        <v>27</v>
      </c>
      <c r="H596">
        <v>1</v>
      </c>
      <c r="I596" s="8">
        <v>0.58333333333333337</v>
      </c>
      <c r="J596" s="8">
        <v>0.70833333333333337</v>
      </c>
      <c r="K596" s="9">
        <f t="shared" si="9"/>
        <v>3</v>
      </c>
      <c r="L596" t="s">
        <v>25</v>
      </c>
      <c r="M596" t="s">
        <v>51</v>
      </c>
      <c r="N596" t="s">
        <v>38</v>
      </c>
      <c r="O596" s="3">
        <v>0</v>
      </c>
      <c r="P596" s="4">
        <v>0</v>
      </c>
      <c r="Q596" s="5">
        <v>0</v>
      </c>
      <c r="R596" s="6">
        <v>0</v>
      </c>
      <c r="S596" s="3">
        <v>0</v>
      </c>
      <c r="T596" s="4">
        <v>0</v>
      </c>
      <c r="U596" s="5">
        <v>1</v>
      </c>
      <c r="V596" s="6">
        <v>0</v>
      </c>
    </row>
    <row r="597" spans="1:25" x14ac:dyDescent="0.3">
      <c r="A597" t="s">
        <v>25</v>
      </c>
      <c r="B597" s="7">
        <v>45198</v>
      </c>
      <c r="C597" t="s">
        <v>42</v>
      </c>
      <c r="D597">
        <v>17</v>
      </c>
      <c r="E597">
        <v>2</v>
      </c>
      <c r="F597">
        <v>5</v>
      </c>
      <c r="G597" t="s">
        <v>27</v>
      </c>
      <c r="H597">
        <v>1</v>
      </c>
      <c r="I597" s="8">
        <v>0.60416666666666663</v>
      </c>
      <c r="J597" s="8">
        <v>0.71875</v>
      </c>
      <c r="K597" s="9">
        <f t="shared" si="9"/>
        <v>2.7500000000000009</v>
      </c>
      <c r="L597" t="s">
        <v>25</v>
      </c>
      <c r="M597" t="s">
        <v>51</v>
      </c>
      <c r="N597" t="s">
        <v>27</v>
      </c>
      <c r="O597" s="3">
        <v>0</v>
      </c>
      <c r="P597" s="4">
        <v>0</v>
      </c>
      <c r="Q597" s="5">
        <v>0</v>
      </c>
      <c r="R597" s="6">
        <v>0</v>
      </c>
      <c r="S597" s="3">
        <v>0</v>
      </c>
      <c r="T597" s="4">
        <v>0</v>
      </c>
      <c r="U597" s="5">
        <v>20</v>
      </c>
      <c r="V597" s="6">
        <v>0</v>
      </c>
    </row>
    <row r="598" spans="1:25" x14ac:dyDescent="0.3">
      <c r="A598" t="s">
        <v>25</v>
      </c>
      <c r="B598" s="7">
        <v>45198</v>
      </c>
      <c r="C598" t="s">
        <v>42</v>
      </c>
      <c r="D598">
        <v>18</v>
      </c>
      <c r="E598">
        <v>2</v>
      </c>
      <c r="F598">
        <v>4</v>
      </c>
      <c r="G598" t="s">
        <v>27</v>
      </c>
      <c r="H598">
        <v>1</v>
      </c>
      <c r="I598" s="8">
        <v>0.625</v>
      </c>
      <c r="J598" s="8">
        <v>0.75</v>
      </c>
      <c r="K598" s="9">
        <f t="shared" si="9"/>
        <v>3</v>
      </c>
      <c r="L598" t="s">
        <v>25</v>
      </c>
      <c r="M598" t="s">
        <v>29</v>
      </c>
      <c r="N598" t="s">
        <v>38</v>
      </c>
      <c r="O598" s="3">
        <v>0</v>
      </c>
      <c r="P598" s="4">
        <v>0</v>
      </c>
      <c r="Q598" s="5">
        <v>0</v>
      </c>
      <c r="R598" s="6">
        <v>0</v>
      </c>
      <c r="S598" s="3">
        <v>0</v>
      </c>
      <c r="T598" s="4">
        <v>0</v>
      </c>
      <c r="U598" s="5">
        <v>2</v>
      </c>
      <c r="V598" s="6">
        <v>0</v>
      </c>
    </row>
    <row r="599" spans="1:25" x14ac:dyDescent="0.3">
      <c r="A599" t="s">
        <v>25</v>
      </c>
      <c r="B599" s="7">
        <v>45198</v>
      </c>
      <c r="C599" t="s">
        <v>42</v>
      </c>
      <c r="D599">
        <v>19</v>
      </c>
      <c r="E599">
        <v>2</v>
      </c>
      <c r="F599">
        <v>4</v>
      </c>
      <c r="G599" t="s">
        <v>27</v>
      </c>
      <c r="H599">
        <v>1</v>
      </c>
      <c r="I599" s="8">
        <v>0.64583333333333337</v>
      </c>
      <c r="J599" s="8">
        <v>0.75</v>
      </c>
      <c r="K599" s="9">
        <f t="shared" si="9"/>
        <v>2.4999999999999991</v>
      </c>
      <c r="L599" t="s">
        <v>25</v>
      </c>
      <c r="M599" t="s">
        <v>29</v>
      </c>
      <c r="N599" t="s">
        <v>27</v>
      </c>
      <c r="O599" s="3">
        <v>0</v>
      </c>
      <c r="P599" s="4">
        <v>0</v>
      </c>
      <c r="Q599" s="5">
        <v>0</v>
      </c>
      <c r="R599" s="6">
        <v>0</v>
      </c>
      <c r="S599" s="3">
        <v>0</v>
      </c>
      <c r="T599" s="4">
        <v>0</v>
      </c>
      <c r="U599" s="5">
        <v>2</v>
      </c>
      <c r="V599" s="6">
        <v>0</v>
      </c>
    </row>
    <row r="600" spans="1:25" x14ac:dyDescent="0.3">
      <c r="A600" t="s">
        <v>25</v>
      </c>
      <c r="B600" s="7">
        <v>45198</v>
      </c>
      <c r="C600" t="s">
        <v>42</v>
      </c>
      <c r="D600">
        <v>20</v>
      </c>
      <c r="E600">
        <v>2</v>
      </c>
      <c r="F600">
        <v>2</v>
      </c>
      <c r="G600" t="s">
        <v>27</v>
      </c>
      <c r="H600">
        <v>1</v>
      </c>
      <c r="I600" s="8">
        <v>0.5625</v>
      </c>
      <c r="J600" s="8">
        <v>0.79166666666666663</v>
      </c>
      <c r="K600" s="9">
        <f t="shared" si="9"/>
        <v>5.4999999999999991</v>
      </c>
      <c r="L600" t="s">
        <v>25</v>
      </c>
      <c r="M600" t="s">
        <v>29</v>
      </c>
      <c r="N600" t="s">
        <v>27</v>
      </c>
      <c r="O600" s="3">
        <v>0</v>
      </c>
      <c r="P600" s="4">
        <v>0</v>
      </c>
      <c r="Q600" s="5">
        <v>0</v>
      </c>
      <c r="R600" s="6">
        <v>0</v>
      </c>
      <c r="S600" s="3">
        <v>0</v>
      </c>
      <c r="T600" s="4">
        <v>0</v>
      </c>
      <c r="U600" s="5">
        <v>0</v>
      </c>
      <c r="V600" s="6">
        <v>0</v>
      </c>
    </row>
    <row r="601" spans="1:25" x14ac:dyDescent="0.3">
      <c r="A601" t="s">
        <v>25</v>
      </c>
      <c r="B601" s="7">
        <v>45198</v>
      </c>
      <c r="C601" t="s">
        <v>42</v>
      </c>
      <c r="D601">
        <v>21</v>
      </c>
      <c r="E601">
        <v>1</v>
      </c>
      <c r="F601">
        <v>1</v>
      </c>
      <c r="G601" t="s">
        <v>35</v>
      </c>
      <c r="H601">
        <v>1</v>
      </c>
      <c r="I601" s="8">
        <v>0.64583333333333337</v>
      </c>
      <c r="J601" s="8">
        <v>0.8027777777777777</v>
      </c>
      <c r="K601" s="9">
        <f t="shared" si="9"/>
        <v>3.7666666666666639</v>
      </c>
      <c r="L601" t="s">
        <v>25</v>
      </c>
      <c r="M601" t="s">
        <v>177</v>
      </c>
      <c r="N601" t="s">
        <v>38</v>
      </c>
      <c r="O601" s="3">
        <v>0</v>
      </c>
      <c r="P601" s="4">
        <v>0</v>
      </c>
      <c r="Q601" s="5">
        <v>0</v>
      </c>
      <c r="R601" s="6">
        <v>0</v>
      </c>
      <c r="S601" s="3">
        <v>0</v>
      </c>
      <c r="T601" s="4">
        <v>0</v>
      </c>
      <c r="U601" s="5">
        <v>0</v>
      </c>
      <c r="V601" s="6">
        <v>0</v>
      </c>
    </row>
    <row r="602" spans="1:25" x14ac:dyDescent="0.3">
      <c r="A602" t="s">
        <v>25</v>
      </c>
      <c r="B602" s="7">
        <v>45198</v>
      </c>
      <c r="C602" t="s">
        <v>42</v>
      </c>
      <c r="D602">
        <v>22</v>
      </c>
      <c r="E602">
        <v>1</v>
      </c>
      <c r="F602">
        <v>1</v>
      </c>
      <c r="G602" t="s">
        <v>35</v>
      </c>
      <c r="H602">
        <v>1</v>
      </c>
      <c r="I602" s="8">
        <v>0.6875</v>
      </c>
      <c r="J602" s="8">
        <v>0.80208333333333337</v>
      </c>
      <c r="K602" s="9">
        <f t="shared" si="9"/>
        <v>2.7500000000000009</v>
      </c>
      <c r="L602" t="s">
        <v>25</v>
      </c>
      <c r="M602" t="s">
        <v>177</v>
      </c>
      <c r="N602" t="s">
        <v>38</v>
      </c>
      <c r="O602" s="3">
        <v>0</v>
      </c>
      <c r="P602" s="4">
        <v>1</v>
      </c>
      <c r="Q602" s="5">
        <v>0</v>
      </c>
      <c r="R602" s="6">
        <v>0</v>
      </c>
      <c r="S602" s="3">
        <v>0</v>
      </c>
      <c r="T602" s="4">
        <v>0</v>
      </c>
      <c r="U602" s="5">
        <v>0</v>
      </c>
      <c r="V602" s="6">
        <v>0</v>
      </c>
    </row>
    <row r="603" spans="1:25" x14ac:dyDescent="0.3">
      <c r="A603" t="s">
        <v>25</v>
      </c>
      <c r="B603" s="7">
        <v>45199</v>
      </c>
      <c r="C603" t="s">
        <v>26</v>
      </c>
      <c r="D603">
        <v>1</v>
      </c>
      <c r="E603">
        <v>2</v>
      </c>
      <c r="F603">
        <v>2</v>
      </c>
      <c r="G603" t="s">
        <v>27</v>
      </c>
      <c r="H603">
        <v>1</v>
      </c>
      <c r="I603" s="8">
        <v>0.22916666666666666</v>
      </c>
      <c r="J603" s="8">
        <v>0.32847222222222222</v>
      </c>
      <c r="K603" s="9">
        <f t="shared" si="9"/>
        <v>2.3833333333333337</v>
      </c>
      <c r="L603" t="s">
        <v>28</v>
      </c>
      <c r="M603" t="s">
        <v>56</v>
      </c>
      <c r="N603" t="s">
        <v>38</v>
      </c>
      <c r="O603" s="3">
        <v>0</v>
      </c>
      <c r="P603" s="4">
        <v>2</v>
      </c>
      <c r="Q603" s="5">
        <v>0</v>
      </c>
      <c r="R603" s="6">
        <v>0</v>
      </c>
      <c r="S603" s="3">
        <v>0</v>
      </c>
      <c r="T603" s="4">
        <v>0</v>
      </c>
      <c r="U603" s="5">
        <v>0</v>
      </c>
      <c r="V603" s="6">
        <v>0</v>
      </c>
      <c r="Y603" t="s">
        <v>200</v>
      </c>
    </row>
    <row r="604" spans="1:25" x14ac:dyDescent="0.3">
      <c r="A604" t="s">
        <v>25</v>
      </c>
      <c r="B604" s="7">
        <v>45199</v>
      </c>
      <c r="C604" t="s">
        <v>26</v>
      </c>
      <c r="D604">
        <v>2</v>
      </c>
      <c r="E604">
        <v>2</v>
      </c>
      <c r="F604">
        <v>2</v>
      </c>
      <c r="G604" t="s">
        <v>27</v>
      </c>
      <c r="H604">
        <v>1</v>
      </c>
      <c r="I604" s="8">
        <v>0.27083333333333331</v>
      </c>
      <c r="J604" s="8">
        <v>0.3298611111111111</v>
      </c>
      <c r="K604" s="9">
        <f t="shared" si="9"/>
        <v>1.416666666666667</v>
      </c>
      <c r="L604" t="s">
        <v>28</v>
      </c>
      <c r="M604" t="s">
        <v>56</v>
      </c>
      <c r="N604" t="s">
        <v>38</v>
      </c>
      <c r="O604" s="3">
        <v>0</v>
      </c>
      <c r="P604" s="4">
        <v>1</v>
      </c>
      <c r="Q604" s="5">
        <v>0</v>
      </c>
      <c r="R604" s="6">
        <v>0</v>
      </c>
      <c r="S604" s="3">
        <v>0</v>
      </c>
      <c r="T604" s="4">
        <v>1</v>
      </c>
      <c r="U604" s="5">
        <v>0</v>
      </c>
      <c r="V604" s="6">
        <v>0</v>
      </c>
    </row>
    <row r="605" spans="1:25" x14ac:dyDescent="0.3">
      <c r="A605" t="s">
        <v>25</v>
      </c>
      <c r="B605" s="7">
        <v>45199</v>
      </c>
      <c r="C605" t="s">
        <v>26</v>
      </c>
      <c r="D605">
        <v>3</v>
      </c>
      <c r="E605">
        <v>2</v>
      </c>
      <c r="F605">
        <v>5</v>
      </c>
      <c r="G605" t="s">
        <v>27</v>
      </c>
      <c r="H605">
        <v>1</v>
      </c>
      <c r="I605" s="8">
        <v>0.32291666666666669</v>
      </c>
      <c r="J605" s="8">
        <v>0.37847222222222227</v>
      </c>
      <c r="K605" s="9">
        <f t="shared" si="9"/>
        <v>1.3333333333333339</v>
      </c>
      <c r="L605" t="s">
        <v>25</v>
      </c>
      <c r="M605" t="s">
        <v>29</v>
      </c>
      <c r="N605" t="s">
        <v>27</v>
      </c>
      <c r="O605" s="3">
        <v>0</v>
      </c>
      <c r="P605" s="4">
        <v>1</v>
      </c>
      <c r="Q605" s="5">
        <v>0</v>
      </c>
      <c r="R605" s="6">
        <v>0</v>
      </c>
      <c r="S605" s="3">
        <v>0</v>
      </c>
      <c r="T605" s="4">
        <v>0</v>
      </c>
      <c r="U605" s="5">
        <v>3</v>
      </c>
      <c r="V605" s="6">
        <v>0</v>
      </c>
    </row>
    <row r="606" spans="1:25" x14ac:dyDescent="0.3">
      <c r="A606" t="s">
        <v>25</v>
      </c>
      <c r="B606" s="7">
        <v>45199</v>
      </c>
      <c r="C606" t="s">
        <v>26</v>
      </c>
      <c r="D606">
        <v>4</v>
      </c>
      <c r="E606">
        <v>2</v>
      </c>
      <c r="F606">
        <v>2</v>
      </c>
      <c r="G606" t="s">
        <v>27</v>
      </c>
      <c r="H606">
        <v>1</v>
      </c>
      <c r="I606" s="8">
        <v>0.25</v>
      </c>
      <c r="J606" s="8">
        <v>0.39583333333333331</v>
      </c>
      <c r="K606" s="9">
        <f t="shared" si="9"/>
        <v>3.4999999999999996</v>
      </c>
      <c r="L606" t="s">
        <v>25</v>
      </c>
      <c r="M606" t="s">
        <v>56</v>
      </c>
      <c r="N606" t="s">
        <v>27</v>
      </c>
      <c r="O606" s="3">
        <v>0</v>
      </c>
      <c r="P606" s="4">
        <v>0</v>
      </c>
      <c r="Q606" s="5">
        <v>0</v>
      </c>
      <c r="R606" s="6">
        <v>0</v>
      </c>
      <c r="S606" s="3">
        <v>0</v>
      </c>
      <c r="T606" s="4">
        <v>0</v>
      </c>
      <c r="U606" s="5">
        <v>0</v>
      </c>
      <c r="V606" s="6">
        <v>0</v>
      </c>
    </row>
    <row r="607" spans="1:25" x14ac:dyDescent="0.3">
      <c r="A607" t="s">
        <v>25</v>
      </c>
      <c r="B607" s="7">
        <v>45199</v>
      </c>
      <c r="C607" t="s">
        <v>26</v>
      </c>
      <c r="D607">
        <v>5</v>
      </c>
      <c r="E607">
        <v>2</v>
      </c>
      <c r="F607">
        <v>2</v>
      </c>
      <c r="G607" t="s">
        <v>27</v>
      </c>
      <c r="H607">
        <v>1</v>
      </c>
      <c r="I607" s="8">
        <v>0.22222222222222221</v>
      </c>
      <c r="J607" s="8">
        <v>0.40277777777777773</v>
      </c>
      <c r="K607" s="9">
        <f t="shared" si="9"/>
        <v>4.3333333333333321</v>
      </c>
      <c r="L607" t="s">
        <v>25</v>
      </c>
      <c r="M607" t="s">
        <v>148</v>
      </c>
      <c r="N607" t="s">
        <v>27</v>
      </c>
      <c r="O607" s="3">
        <v>0</v>
      </c>
      <c r="P607" s="4">
        <v>1</v>
      </c>
      <c r="Q607" s="5">
        <v>0</v>
      </c>
      <c r="R607" s="6">
        <v>0</v>
      </c>
      <c r="S607" s="3">
        <v>0</v>
      </c>
      <c r="T607" s="4">
        <v>1</v>
      </c>
      <c r="U607" s="5">
        <v>0</v>
      </c>
      <c r="V607" s="6">
        <v>0</v>
      </c>
    </row>
    <row r="608" spans="1:25" x14ac:dyDescent="0.3">
      <c r="A608" t="s">
        <v>25</v>
      </c>
      <c r="B608" s="7">
        <v>45199</v>
      </c>
      <c r="C608" t="s">
        <v>26</v>
      </c>
      <c r="D608">
        <v>6</v>
      </c>
      <c r="E608">
        <v>2</v>
      </c>
      <c r="F608">
        <v>2</v>
      </c>
      <c r="G608" t="s">
        <v>27</v>
      </c>
      <c r="H608">
        <v>3</v>
      </c>
      <c r="I608" s="8">
        <v>0.3125</v>
      </c>
      <c r="J608" s="8">
        <v>0.40625</v>
      </c>
      <c r="K608" s="9">
        <f t="shared" si="9"/>
        <v>6.75</v>
      </c>
      <c r="L608" t="s">
        <v>25</v>
      </c>
      <c r="M608" t="s">
        <v>56</v>
      </c>
      <c r="N608" t="s">
        <v>27</v>
      </c>
      <c r="O608" s="3">
        <v>0</v>
      </c>
      <c r="P608" s="4">
        <v>2</v>
      </c>
      <c r="Q608" s="5">
        <v>0</v>
      </c>
      <c r="R608" s="6">
        <v>0</v>
      </c>
      <c r="S608" s="3">
        <v>0</v>
      </c>
      <c r="T608" s="4">
        <v>1</v>
      </c>
      <c r="U608" s="5">
        <v>0</v>
      </c>
      <c r="V608" s="6">
        <v>0</v>
      </c>
    </row>
    <row r="609" spans="1:25" x14ac:dyDescent="0.3">
      <c r="A609" t="s">
        <v>25</v>
      </c>
      <c r="B609" s="7">
        <v>45199</v>
      </c>
      <c r="C609" t="s">
        <v>26</v>
      </c>
      <c r="D609">
        <v>7</v>
      </c>
      <c r="E609">
        <v>1</v>
      </c>
      <c r="F609">
        <v>1</v>
      </c>
      <c r="G609" t="s">
        <v>35</v>
      </c>
      <c r="H609">
        <v>2</v>
      </c>
      <c r="I609" s="8">
        <v>0.35416666666666669</v>
      </c>
      <c r="J609" s="8">
        <v>0.4375</v>
      </c>
      <c r="K609" s="9">
        <f t="shared" si="9"/>
        <v>3.9999999999999991</v>
      </c>
      <c r="L609" t="s">
        <v>25</v>
      </c>
      <c r="M609" t="s">
        <v>167</v>
      </c>
      <c r="N609" t="s">
        <v>32</v>
      </c>
      <c r="O609" s="3">
        <v>0</v>
      </c>
      <c r="P609" s="4">
        <v>1</v>
      </c>
      <c r="Q609" s="5">
        <v>0</v>
      </c>
      <c r="R609" s="6">
        <v>0</v>
      </c>
      <c r="S609" s="3">
        <v>0</v>
      </c>
      <c r="T609" s="4">
        <v>0</v>
      </c>
      <c r="U609" s="5">
        <v>0</v>
      </c>
      <c r="V609" s="6">
        <v>0</v>
      </c>
    </row>
    <row r="610" spans="1:25" x14ac:dyDescent="0.3">
      <c r="A610" t="s">
        <v>25</v>
      </c>
      <c r="B610" s="7">
        <v>45199</v>
      </c>
      <c r="C610" t="s">
        <v>26</v>
      </c>
      <c r="D610">
        <v>8</v>
      </c>
      <c r="E610">
        <v>1</v>
      </c>
      <c r="F610">
        <v>1</v>
      </c>
      <c r="G610" t="s">
        <v>35</v>
      </c>
      <c r="H610">
        <v>1</v>
      </c>
      <c r="I610" s="8">
        <v>0.29166666666666669</v>
      </c>
      <c r="J610" s="8">
        <v>0.4375</v>
      </c>
      <c r="K610" s="9">
        <f t="shared" si="9"/>
        <v>3.4999999999999996</v>
      </c>
      <c r="L610" t="s">
        <v>25</v>
      </c>
      <c r="M610" t="s">
        <v>177</v>
      </c>
      <c r="N610" t="s">
        <v>38</v>
      </c>
      <c r="O610" s="3">
        <v>0</v>
      </c>
      <c r="P610" s="4">
        <v>4</v>
      </c>
      <c r="Q610" s="5">
        <v>0</v>
      </c>
      <c r="R610" s="6">
        <v>0</v>
      </c>
      <c r="S610" s="3">
        <v>0</v>
      </c>
      <c r="T610" s="4">
        <v>0</v>
      </c>
      <c r="U610" s="5">
        <v>0</v>
      </c>
      <c r="V610" s="6">
        <v>0</v>
      </c>
      <c r="Y610" t="s">
        <v>173</v>
      </c>
    </row>
    <row r="611" spans="1:25" x14ac:dyDescent="0.3">
      <c r="A611" t="s">
        <v>25</v>
      </c>
      <c r="B611" s="7">
        <v>45199</v>
      </c>
      <c r="C611" t="s">
        <v>26</v>
      </c>
      <c r="D611">
        <v>9</v>
      </c>
      <c r="E611">
        <v>1</v>
      </c>
      <c r="F611">
        <v>1</v>
      </c>
      <c r="G611" t="s">
        <v>35</v>
      </c>
      <c r="H611">
        <v>2</v>
      </c>
      <c r="I611" s="8">
        <v>0.29166666666666669</v>
      </c>
      <c r="J611" s="8">
        <v>0.45347222222222222</v>
      </c>
      <c r="K611" s="9">
        <f t="shared" si="9"/>
        <v>7.7666666666666657</v>
      </c>
      <c r="L611" t="s">
        <v>25</v>
      </c>
      <c r="M611" t="s">
        <v>162</v>
      </c>
      <c r="N611" t="s">
        <v>38</v>
      </c>
      <c r="O611" s="3">
        <v>0</v>
      </c>
      <c r="P611" s="4">
        <v>4</v>
      </c>
      <c r="Q611" s="5">
        <v>0</v>
      </c>
      <c r="R611" s="6">
        <v>0</v>
      </c>
      <c r="S611" s="3">
        <v>0</v>
      </c>
      <c r="T611" s="4">
        <v>0</v>
      </c>
      <c r="U611" s="5">
        <v>0</v>
      </c>
      <c r="V611" s="6">
        <v>0</v>
      </c>
      <c r="Y611" t="s">
        <v>184</v>
      </c>
    </row>
    <row r="612" spans="1:25" x14ac:dyDescent="0.3">
      <c r="A612" t="s">
        <v>25</v>
      </c>
      <c r="B612" s="7">
        <v>45199</v>
      </c>
      <c r="C612" t="s">
        <v>26</v>
      </c>
      <c r="D612">
        <v>10</v>
      </c>
      <c r="E612">
        <v>1</v>
      </c>
      <c r="F612">
        <v>1</v>
      </c>
      <c r="G612" t="s">
        <v>35</v>
      </c>
      <c r="H612">
        <v>1</v>
      </c>
      <c r="I612" s="8">
        <v>0.3125</v>
      </c>
      <c r="J612" s="8">
        <v>0.47500000000000003</v>
      </c>
      <c r="K612" s="9">
        <f t="shared" si="9"/>
        <v>3.9000000000000008</v>
      </c>
      <c r="L612" t="s">
        <v>25</v>
      </c>
      <c r="M612" t="s">
        <v>162</v>
      </c>
      <c r="N612" t="s">
        <v>38</v>
      </c>
      <c r="O612" s="3">
        <v>0</v>
      </c>
      <c r="P612" s="4">
        <v>1</v>
      </c>
      <c r="Q612" s="5">
        <v>0</v>
      </c>
      <c r="R612" s="6">
        <v>0</v>
      </c>
      <c r="S612" s="3">
        <v>0</v>
      </c>
      <c r="T612" s="4">
        <v>0</v>
      </c>
      <c r="U612" s="5">
        <v>0</v>
      </c>
      <c r="V612" s="6">
        <v>0</v>
      </c>
    </row>
    <row r="613" spans="1:25" x14ac:dyDescent="0.3">
      <c r="A613" t="s">
        <v>25</v>
      </c>
      <c r="B613" s="7">
        <v>45199</v>
      </c>
      <c r="C613" t="s">
        <v>26</v>
      </c>
      <c r="D613">
        <v>11</v>
      </c>
      <c r="E613">
        <v>1</v>
      </c>
      <c r="F613">
        <v>1</v>
      </c>
      <c r="G613" t="s">
        <v>35</v>
      </c>
      <c r="H613">
        <v>1</v>
      </c>
      <c r="I613" s="8">
        <v>0.3125</v>
      </c>
      <c r="J613" s="8">
        <v>0.47916666666666669</v>
      </c>
      <c r="K613" s="9">
        <f t="shared" si="9"/>
        <v>4</v>
      </c>
      <c r="L613" t="s">
        <v>25</v>
      </c>
      <c r="M613" t="s">
        <v>162</v>
      </c>
      <c r="N613" t="s">
        <v>38</v>
      </c>
      <c r="O613" s="3">
        <v>0</v>
      </c>
      <c r="P613" s="4">
        <v>1</v>
      </c>
      <c r="Q613" s="5">
        <v>0</v>
      </c>
      <c r="R613" s="6">
        <v>0</v>
      </c>
      <c r="S613" s="3">
        <v>0</v>
      </c>
      <c r="T613" s="4">
        <v>0</v>
      </c>
      <c r="U613" s="5">
        <v>0</v>
      </c>
      <c r="V613" s="6">
        <v>0</v>
      </c>
    </row>
    <row r="614" spans="1:25" x14ac:dyDescent="0.3">
      <c r="A614" t="s">
        <v>25</v>
      </c>
      <c r="B614" s="7">
        <v>45199</v>
      </c>
      <c r="C614" t="s">
        <v>42</v>
      </c>
      <c r="D614">
        <v>12</v>
      </c>
      <c r="E614">
        <v>3</v>
      </c>
      <c r="F614">
        <v>8</v>
      </c>
      <c r="G614" t="s">
        <v>27</v>
      </c>
      <c r="H614">
        <v>2</v>
      </c>
      <c r="I614" s="8">
        <v>0.41666666666666669</v>
      </c>
      <c r="J614" s="8">
        <v>0.625</v>
      </c>
      <c r="K614" s="9">
        <f t="shared" si="9"/>
        <v>10</v>
      </c>
      <c r="L614" t="s">
        <v>25</v>
      </c>
      <c r="M614" t="s">
        <v>99</v>
      </c>
      <c r="N614" t="s">
        <v>27</v>
      </c>
      <c r="O614" s="3">
        <v>0</v>
      </c>
      <c r="P614" s="4">
        <v>0</v>
      </c>
      <c r="Q614" s="5">
        <v>0</v>
      </c>
      <c r="R614" s="6">
        <v>0</v>
      </c>
      <c r="S614" s="3">
        <v>0</v>
      </c>
      <c r="T614" s="4">
        <v>0</v>
      </c>
      <c r="U614" s="5">
        <v>0</v>
      </c>
      <c r="V614" s="6">
        <v>0</v>
      </c>
    </row>
    <row r="615" spans="1:25" x14ac:dyDescent="0.3">
      <c r="A615" t="s">
        <v>25</v>
      </c>
      <c r="B615" s="7">
        <v>45199</v>
      </c>
      <c r="C615" t="s">
        <v>42</v>
      </c>
      <c r="D615">
        <v>13</v>
      </c>
      <c r="E615">
        <v>3</v>
      </c>
      <c r="F615">
        <v>8</v>
      </c>
      <c r="G615" t="s">
        <v>27</v>
      </c>
      <c r="H615">
        <v>1</v>
      </c>
      <c r="I615" s="8">
        <v>0.45833333333333331</v>
      </c>
      <c r="J615" s="8">
        <v>0.625</v>
      </c>
      <c r="K615" s="9">
        <f t="shared" si="9"/>
        <v>4</v>
      </c>
      <c r="L615" t="s">
        <v>25</v>
      </c>
      <c r="M615" t="s">
        <v>51</v>
      </c>
      <c r="N615" t="s">
        <v>27</v>
      </c>
      <c r="O615" s="3">
        <v>0</v>
      </c>
      <c r="P615" s="4">
        <v>1</v>
      </c>
      <c r="Q615" s="5">
        <v>0</v>
      </c>
      <c r="R615" s="6">
        <v>0</v>
      </c>
      <c r="S615" s="3">
        <v>1</v>
      </c>
      <c r="T615" s="4">
        <v>0</v>
      </c>
      <c r="U615" s="5">
        <v>4</v>
      </c>
      <c r="V615" s="6">
        <v>0</v>
      </c>
    </row>
    <row r="616" spans="1:25" x14ac:dyDescent="0.3">
      <c r="A616" t="s">
        <v>25</v>
      </c>
      <c r="B616" s="7">
        <v>45199</v>
      </c>
      <c r="C616" t="s">
        <v>42</v>
      </c>
      <c r="D616">
        <v>14</v>
      </c>
      <c r="E616">
        <v>3</v>
      </c>
      <c r="F616">
        <v>8</v>
      </c>
      <c r="G616" t="s">
        <v>27</v>
      </c>
      <c r="H616">
        <v>1</v>
      </c>
      <c r="I616" s="8">
        <v>0.41666666666666669</v>
      </c>
      <c r="J616" s="8">
        <v>0.625</v>
      </c>
      <c r="K616" s="9">
        <f t="shared" si="9"/>
        <v>5</v>
      </c>
      <c r="L616" t="s">
        <v>25</v>
      </c>
      <c r="M616" t="s">
        <v>51</v>
      </c>
      <c r="N616" t="s">
        <v>32</v>
      </c>
      <c r="O616" s="3">
        <v>0</v>
      </c>
      <c r="P616" s="4">
        <v>0</v>
      </c>
      <c r="Q616" s="5">
        <v>3</v>
      </c>
      <c r="R616" s="6">
        <v>0</v>
      </c>
      <c r="S616" s="3">
        <v>0</v>
      </c>
      <c r="T616" s="4">
        <v>0</v>
      </c>
      <c r="U616" s="5">
        <v>1</v>
      </c>
      <c r="V616" s="6">
        <v>0</v>
      </c>
    </row>
    <row r="617" spans="1:25" x14ac:dyDescent="0.3">
      <c r="A617" t="s">
        <v>25</v>
      </c>
      <c r="B617" s="7">
        <v>45199</v>
      </c>
      <c r="C617" t="s">
        <v>42</v>
      </c>
      <c r="D617">
        <v>15</v>
      </c>
      <c r="E617">
        <v>3</v>
      </c>
      <c r="F617">
        <v>8</v>
      </c>
      <c r="G617" t="s">
        <v>27</v>
      </c>
      <c r="H617">
        <v>1</v>
      </c>
      <c r="I617" s="8">
        <v>0.5</v>
      </c>
      <c r="J617" s="8">
        <v>0.63541666666666663</v>
      </c>
      <c r="K617" s="9">
        <f t="shared" si="9"/>
        <v>3.2499999999999991</v>
      </c>
      <c r="L617" t="s">
        <v>25</v>
      </c>
      <c r="M617" t="s">
        <v>188</v>
      </c>
      <c r="N617" t="s">
        <v>27</v>
      </c>
      <c r="O617" s="3">
        <v>0</v>
      </c>
      <c r="P617" s="4">
        <v>0</v>
      </c>
      <c r="Q617" s="5">
        <v>6</v>
      </c>
      <c r="R617" s="6">
        <v>0</v>
      </c>
      <c r="S617" s="3">
        <v>0</v>
      </c>
      <c r="T617" s="4">
        <v>0</v>
      </c>
      <c r="U617" s="5">
        <v>1</v>
      </c>
      <c r="V617" s="6">
        <v>0</v>
      </c>
    </row>
    <row r="618" spans="1:25" x14ac:dyDescent="0.3">
      <c r="A618" t="s">
        <v>25</v>
      </c>
      <c r="B618" s="7">
        <v>45199</v>
      </c>
      <c r="C618" t="s">
        <v>42</v>
      </c>
      <c r="D618">
        <v>16</v>
      </c>
      <c r="E618">
        <v>3</v>
      </c>
      <c r="F618">
        <v>6</v>
      </c>
      <c r="G618" t="s">
        <v>27</v>
      </c>
      <c r="H618">
        <v>1</v>
      </c>
      <c r="I618" s="8">
        <v>0.58333333333333337</v>
      </c>
      <c r="J618" s="8">
        <v>0.66666666666666663</v>
      </c>
      <c r="K618" s="9">
        <f t="shared" si="9"/>
        <v>1.9999999999999982</v>
      </c>
      <c r="L618" t="s">
        <v>25</v>
      </c>
      <c r="M618" t="s">
        <v>29</v>
      </c>
      <c r="N618" t="s">
        <v>27</v>
      </c>
      <c r="O618" s="3">
        <v>0</v>
      </c>
      <c r="P618" s="4">
        <v>0</v>
      </c>
      <c r="Q618" s="5">
        <v>0</v>
      </c>
      <c r="R618" s="6">
        <v>0</v>
      </c>
      <c r="S618" s="3">
        <v>0</v>
      </c>
      <c r="T618" s="4">
        <v>0</v>
      </c>
      <c r="U618" s="5">
        <v>0</v>
      </c>
      <c r="V618" s="6">
        <v>0</v>
      </c>
    </row>
    <row r="619" spans="1:25" x14ac:dyDescent="0.3">
      <c r="A619" t="s">
        <v>25</v>
      </c>
      <c r="B619" s="7">
        <v>45199</v>
      </c>
      <c r="C619" t="s">
        <v>42</v>
      </c>
      <c r="D619">
        <v>17</v>
      </c>
      <c r="E619">
        <v>2</v>
      </c>
      <c r="F619">
        <v>3</v>
      </c>
      <c r="G619" t="s">
        <v>27</v>
      </c>
      <c r="H619">
        <v>1</v>
      </c>
      <c r="I619" s="8">
        <v>0.69791666666666663</v>
      </c>
      <c r="J619" s="8">
        <v>0.7402777777777777</v>
      </c>
      <c r="K619" s="9">
        <f t="shared" si="9"/>
        <v>1.0166666666666657</v>
      </c>
      <c r="L619" t="s">
        <v>28</v>
      </c>
      <c r="M619" t="s">
        <v>29</v>
      </c>
      <c r="N619" t="s">
        <v>27</v>
      </c>
      <c r="O619" s="3">
        <v>0</v>
      </c>
      <c r="P619" s="4">
        <v>0</v>
      </c>
      <c r="Q619" s="5">
        <v>1</v>
      </c>
      <c r="R619" s="6">
        <v>0</v>
      </c>
      <c r="S619" s="3">
        <v>0</v>
      </c>
      <c r="T619" s="4">
        <v>0</v>
      </c>
      <c r="U619" s="5">
        <v>0</v>
      </c>
      <c r="V619" s="6">
        <v>0</v>
      </c>
    </row>
    <row r="620" spans="1:25" x14ac:dyDescent="0.3">
      <c r="A620" t="s">
        <v>25</v>
      </c>
      <c r="B620" s="7">
        <v>45199</v>
      </c>
      <c r="C620" t="s">
        <v>42</v>
      </c>
      <c r="D620">
        <v>18</v>
      </c>
      <c r="E620">
        <v>1</v>
      </c>
      <c r="F620">
        <v>4</v>
      </c>
      <c r="G620" t="s">
        <v>27</v>
      </c>
      <c r="H620">
        <v>1</v>
      </c>
      <c r="I620" s="8">
        <v>0.72916666666666663</v>
      </c>
      <c r="J620" s="8">
        <v>0.77083333333333337</v>
      </c>
      <c r="K620" s="9">
        <f t="shared" si="9"/>
        <v>1.0000000000000018</v>
      </c>
      <c r="L620" t="s">
        <v>25</v>
      </c>
      <c r="M620" t="s">
        <v>99</v>
      </c>
      <c r="N620" t="s">
        <v>27</v>
      </c>
      <c r="O620" s="3">
        <v>0</v>
      </c>
      <c r="P620" s="4">
        <v>0</v>
      </c>
      <c r="Q620" s="5">
        <v>0</v>
      </c>
      <c r="R620" s="6">
        <v>0</v>
      </c>
      <c r="S620" s="3">
        <v>0</v>
      </c>
      <c r="T620" s="4">
        <v>0</v>
      </c>
      <c r="U620" s="5">
        <v>0</v>
      </c>
      <c r="V620" s="6">
        <v>0</v>
      </c>
    </row>
    <row r="621" spans="1:25" x14ac:dyDescent="0.3">
      <c r="A621" t="s">
        <v>25</v>
      </c>
      <c r="B621" s="7">
        <v>45199</v>
      </c>
      <c r="C621" t="s">
        <v>42</v>
      </c>
      <c r="D621">
        <v>19</v>
      </c>
      <c r="E621">
        <v>1</v>
      </c>
      <c r="F621">
        <v>4</v>
      </c>
      <c r="G621" t="s">
        <v>27</v>
      </c>
      <c r="H621">
        <v>1</v>
      </c>
      <c r="I621" s="8">
        <v>0.75</v>
      </c>
      <c r="J621" s="8">
        <v>0.77083333333333337</v>
      </c>
      <c r="K621" s="9">
        <f t="shared" si="9"/>
        <v>0.50000000000000089</v>
      </c>
      <c r="L621" t="s">
        <v>25</v>
      </c>
      <c r="M621" t="s">
        <v>99</v>
      </c>
      <c r="N621" t="s">
        <v>38</v>
      </c>
      <c r="O621" s="3">
        <v>0</v>
      </c>
      <c r="P621" s="4">
        <v>0</v>
      </c>
      <c r="Q621" s="5">
        <v>0</v>
      </c>
      <c r="R621" s="6">
        <v>0</v>
      </c>
      <c r="S621" s="3">
        <v>0</v>
      </c>
      <c r="T621" s="4">
        <v>0</v>
      </c>
      <c r="U621" s="5">
        <v>0</v>
      </c>
      <c r="V621" s="6">
        <v>0</v>
      </c>
    </row>
    <row r="622" spans="1:25" x14ac:dyDescent="0.3">
      <c r="A622" t="s">
        <v>25</v>
      </c>
      <c r="B622" s="7">
        <v>45204</v>
      </c>
      <c r="C622" t="s">
        <v>26</v>
      </c>
      <c r="D622">
        <v>1</v>
      </c>
      <c r="E622">
        <v>2</v>
      </c>
      <c r="F622">
        <v>4</v>
      </c>
      <c r="G622" t="s">
        <v>27</v>
      </c>
      <c r="H622">
        <v>1</v>
      </c>
      <c r="I622" s="8">
        <v>0.25</v>
      </c>
      <c r="J622" s="8">
        <v>0.32847222222222222</v>
      </c>
      <c r="K622" s="2">
        <f t="shared" si="9"/>
        <v>1.8833333333333333</v>
      </c>
      <c r="L622" t="s">
        <v>28</v>
      </c>
      <c r="M622" t="s">
        <v>29</v>
      </c>
      <c r="N622" t="s">
        <v>27</v>
      </c>
      <c r="O622" s="3">
        <v>0</v>
      </c>
      <c r="P622" s="4">
        <v>0</v>
      </c>
      <c r="Q622" s="5">
        <v>0</v>
      </c>
      <c r="R622" s="6">
        <v>0</v>
      </c>
      <c r="S622" s="3">
        <v>0</v>
      </c>
      <c r="T622" s="4">
        <v>0</v>
      </c>
      <c r="U622" s="5">
        <v>0</v>
      </c>
      <c r="V622" s="6">
        <v>0</v>
      </c>
    </row>
    <row r="623" spans="1:25" x14ac:dyDescent="0.3">
      <c r="A623" t="s">
        <v>25</v>
      </c>
      <c r="B623" s="7">
        <v>45204</v>
      </c>
      <c r="C623" t="s">
        <v>26</v>
      </c>
      <c r="D623">
        <v>2</v>
      </c>
      <c r="E623">
        <v>2</v>
      </c>
      <c r="F623">
        <v>3</v>
      </c>
      <c r="G623" t="s">
        <v>27</v>
      </c>
      <c r="H623">
        <v>1</v>
      </c>
      <c r="I623" s="8">
        <v>0.28125</v>
      </c>
      <c r="J623" s="8">
        <v>0.35416666666666669</v>
      </c>
      <c r="K623" s="2">
        <f t="shared" si="9"/>
        <v>1.7500000000000004</v>
      </c>
      <c r="L623" t="s">
        <v>28</v>
      </c>
      <c r="M623" t="s">
        <v>82</v>
      </c>
      <c r="N623" t="s">
        <v>27</v>
      </c>
      <c r="O623" s="3">
        <v>0</v>
      </c>
      <c r="P623" s="4">
        <v>0</v>
      </c>
      <c r="Q623" s="5">
        <v>0</v>
      </c>
      <c r="R623" s="6">
        <v>0</v>
      </c>
      <c r="S623" s="3">
        <v>0</v>
      </c>
      <c r="T623" s="4">
        <v>0</v>
      </c>
      <c r="U623" s="5">
        <v>0</v>
      </c>
      <c r="V623" s="6">
        <v>0</v>
      </c>
    </row>
    <row r="624" spans="1:25" x14ac:dyDescent="0.3">
      <c r="A624" t="s">
        <v>25</v>
      </c>
      <c r="B624" s="7">
        <v>45204</v>
      </c>
      <c r="C624" t="s">
        <v>26</v>
      </c>
      <c r="D624">
        <v>3</v>
      </c>
      <c r="E624">
        <v>2</v>
      </c>
      <c r="F624">
        <v>3</v>
      </c>
      <c r="G624" t="s">
        <v>27</v>
      </c>
      <c r="H624">
        <v>1</v>
      </c>
      <c r="I624" s="8">
        <v>0.29166666666666669</v>
      </c>
      <c r="J624" s="8">
        <v>0.35555555555555557</v>
      </c>
      <c r="K624" s="2">
        <f t="shared" si="9"/>
        <v>1.5333333333333332</v>
      </c>
      <c r="L624" t="s">
        <v>25</v>
      </c>
      <c r="M624" t="s">
        <v>56</v>
      </c>
      <c r="N624" t="s">
        <v>38</v>
      </c>
      <c r="O624" s="3">
        <v>0</v>
      </c>
      <c r="P624" s="4">
        <v>0</v>
      </c>
      <c r="Q624" s="5">
        <v>0</v>
      </c>
      <c r="R624" s="6">
        <v>0</v>
      </c>
      <c r="S624" s="3">
        <v>0</v>
      </c>
      <c r="T624" s="4">
        <v>0</v>
      </c>
      <c r="U624" s="5">
        <v>0</v>
      </c>
      <c r="V624" s="6">
        <v>0</v>
      </c>
    </row>
    <row r="625" spans="1:25" x14ac:dyDescent="0.3">
      <c r="A625" t="s">
        <v>25</v>
      </c>
      <c r="B625" s="7">
        <v>45204</v>
      </c>
      <c r="C625" t="s">
        <v>26</v>
      </c>
      <c r="D625">
        <v>4</v>
      </c>
      <c r="E625">
        <v>2</v>
      </c>
      <c r="F625">
        <v>2</v>
      </c>
      <c r="G625" t="s">
        <v>27</v>
      </c>
      <c r="H625">
        <v>4</v>
      </c>
      <c r="I625" s="8">
        <v>0.29166666666666669</v>
      </c>
      <c r="J625" s="8">
        <v>0.36805555555555558</v>
      </c>
      <c r="K625" s="2">
        <f t="shared" si="9"/>
        <v>7.3333333333333339</v>
      </c>
      <c r="L625" t="s">
        <v>28</v>
      </c>
      <c r="M625" t="s">
        <v>56</v>
      </c>
      <c r="N625" t="s">
        <v>38</v>
      </c>
      <c r="O625" s="3">
        <v>0</v>
      </c>
      <c r="P625" s="4">
        <v>8</v>
      </c>
      <c r="Q625" s="5">
        <v>0</v>
      </c>
      <c r="R625" s="6">
        <v>0</v>
      </c>
      <c r="S625" s="3">
        <v>0</v>
      </c>
      <c r="T625" s="4">
        <v>3</v>
      </c>
      <c r="U625" s="5">
        <v>0</v>
      </c>
      <c r="V625" s="6">
        <v>0</v>
      </c>
    </row>
    <row r="626" spans="1:25" x14ac:dyDescent="0.3">
      <c r="A626" t="s">
        <v>25</v>
      </c>
      <c r="B626" s="7">
        <v>45204</v>
      </c>
      <c r="C626" t="s">
        <v>26</v>
      </c>
      <c r="D626">
        <v>5</v>
      </c>
      <c r="E626">
        <v>2</v>
      </c>
      <c r="F626">
        <v>2</v>
      </c>
      <c r="G626" t="s">
        <v>27</v>
      </c>
      <c r="H626">
        <v>1</v>
      </c>
      <c r="I626" s="8">
        <v>0.25</v>
      </c>
      <c r="J626" s="8">
        <v>0.38680555555555557</v>
      </c>
      <c r="K626" s="2">
        <f t="shared" si="9"/>
        <v>3.2833333333333337</v>
      </c>
      <c r="L626" t="s">
        <v>25</v>
      </c>
      <c r="M626" t="s">
        <v>56</v>
      </c>
      <c r="N626" t="s">
        <v>38</v>
      </c>
      <c r="O626" s="3">
        <v>0</v>
      </c>
      <c r="P626" s="4">
        <v>1</v>
      </c>
      <c r="Q626" s="5">
        <v>0</v>
      </c>
      <c r="R626" s="6">
        <v>0</v>
      </c>
      <c r="S626" s="3">
        <v>0</v>
      </c>
      <c r="T626" s="4">
        <v>0</v>
      </c>
      <c r="U626" s="5">
        <v>0</v>
      </c>
      <c r="V626" s="6">
        <v>0</v>
      </c>
    </row>
    <row r="627" spans="1:25" x14ac:dyDescent="0.3">
      <c r="A627" t="s">
        <v>25</v>
      </c>
      <c r="B627" s="7">
        <v>45204</v>
      </c>
      <c r="C627" t="s">
        <v>26</v>
      </c>
      <c r="D627">
        <v>6</v>
      </c>
      <c r="E627">
        <v>2</v>
      </c>
      <c r="F627">
        <v>2</v>
      </c>
      <c r="G627" t="s">
        <v>27</v>
      </c>
      <c r="H627">
        <v>1</v>
      </c>
      <c r="I627" s="8">
        <v>0.29166666666666669</v>
      </c>
      <c r="J627" s="8">
        <v>0.39930555555555558</v>
      </c>
      <c r="K627" s="2">
        <f t="shared" si="9"/>
        <v>2.5833333333333335</v>
      </c>
      <c r="L627" t="s">
        <v>25</v>
      </c>
      <c r="M627" t="s">
        <v>56</v>
      </c>
      <c r="N627" t="s">
        <v>38</v>
      </c>
      <c r="O627" s="3">
        <v>0</v>
      </c>
      <c r="P627" s="4">
        <v>4</v>
      </c>
      <c r="Q627" s="5">
        <v>0</v>
      </c>
      <c r="R627" s="6">
        <v>0</v>
      </c>
      <c r="S627" s="3">
        <v>0</v>
      </c>
      <c r="T627" s="4">
        <v>0</v>
      </c>
      <c r="U627" s="5">
        <v>0</v>
      </c>
      <c r="V627" s="6">
        <v>0</v>
      </c>
      <c r="Y627" t="s">
        <v>173</v>
      </c>
    </row>
    <row r="628" spans="1:25" x14ac:dyDescent="0.3">
      <c r="A628" t="s">
        <v>25</v>
      </c>
      <c r="B628" s="7">
        <v>45204</v>
      </c>
      <c r="C628" t="s">
        <v>26</v>
      </c>
      <c r="D628">
        <v>7</v>
      </c>
      <c r="E628">
        <v>2</v>
      </c>
      <c r="F628">
        <v>1</v>
      </c>
      <c r="G628" t="s">
        <v>27</v>
      </c>
      <c r="H628">
        <v>2</v>
      </c>
      <c r="I628" s="8">
        <v>0.375</v>
      </c>
      <c r="J628" s="8">
        <v>0.4069444444444445</v>
      </c>
      <c r="K628" s="2">
        <f t="shared" si="9"/>
        <v>1.5333333333333359</v>
      </c>
      <c r="L628" t="s">
        <v>28</v>
      </c>
      <c r="M628" t="s">
        <v>56</v>
      </c>
      <c r="N628" t="s">
        <v>38</v>
      </c>
      <c r="O628" s="3">
        <v>0</v>
      </c>
      <c r="P628" s="4">
        <v>1</v>
      </c>
      <c r="Q628" s="5">
        <v>0</v>
      </c>
      <c r="R628" s="6">
        <v>0</v>
      </c>
      <c r="S628" s="3">
        <v>0</v>
      </c>
      <c r="T628" s="4">
        <v>0</v>
      </c>
      <c r="U628" s="5">
        <v>0</v>
      </c>
      <c r="V628" s="6">
        <v>0</v>
      </c>
      <c r="W628" t="s">
        <v>164</v>
      </c>
    </row>
    <row r="629" spans="1:25" x14ac:dyDescent="0.3">
      <c r="A629" t="s">
        <v>25</v>
      </c>
      <c r="B629" s="7">
        <v>45204</v>
      </c>
      <c r="C629" t="s">
        <v>26</v>
      </c>
      <c r="D629">
        <v>8</v>
      </c>
      <c r="E629">
        <v>1</v>
      </c>
      <c r="F629">
        <v>4</v>
      </c>
      <c r="G629" t="s">
        <v>27</v>
      </c>
      <c r="H629">
        <v>2</v>
      </c>
      <c r="I629" s="8">
        <v>0.39583333333333331</v>
      </c>
      <c r="J629" s="8">
        <v>0.41666666666666669</v>
      </c>
      <c r="K629" s="2">
        <f t="shared" si="9"/>
        <v>1.0000000000000018</v>
      </c>
      <c r="L629" t="s">
        <v>25</v>
      </c>
      <c r="M629" t="s">
        <v>56</v>
      </c>
      <c r="N629" t="s">
        <v>27</v>
      </c>
      <c r="O629" s="3">
        <v>0</v>
      </c>
      <c r="P629" s="4">
        <v>0</v>
      </c>
      <c r="Q629" s="5">
        <v>0</v>
      </c>
      <c r="R629" s="6">
        <v>0</v>
      </c>
      <c r="S629" s="3">
        <v>0</v>
      </c>
      <c r="T629" s="4">
        <v>0</v>
      </c>
      <c r="U629" s="5">
        <v>0</v>
      </c>
      <c r="V629" s="6">
        <v>0</v>
      </c>
    </row>
    <row r="630" spans="1:25" x14ac:dyDescent="0.3">
      <c r="A630" t="s">
        <v>25</v>
      </c>
      <c r="B630" s="7">
        <v>45204</v>
      </c>
      <c r="C630" t="s">
        <v>42</v>
      </c>
      <c r="D630">
        <v>9</v>
      </c>
      <c r="E630">
        <v>3</v>
      </c>
      <c r="F630">
        <v>8</v>
      </c>
      <c r="G630" t="s">
        <v>27</v>
      </c>
      <c r="H630">
        <v>2</v>
      </c>
      <c r="I630" s="8">
        <v>0.25</v>
      </c>
      <c r="J630" s="8">
        <v>0.63194444444444442</v>
      </c>
      <c r="K630" s="2">
        <f t="shared" si="9"/>
        <v>18.333333333333332</v>
      </c>
      <c r="L630" t="s">
        <v>25</v>
      </c>
      <c r="M630" t="s">
        <v>51</v>
      </c>
      <c r="N630" t="s">
        <v>38</v>
      </c>
      <c r="O630" s="3">
        <v>0</v>
      </c>
      <c r="P630" s="4">
        <v>1</v>
      </c>
      <c r="Q630" s="5">
        <v>0</v>
      </c>
      <c r="R630" s="6">
        <v>0</v>
      </c>
      <c r="S630" s="3">
        <v>0</v>
      </c>
      <c r="T630" s="4">
        <v>0</v>
      </c>
      <c r="U630" s="5">
        <v>4</v>
      </c>
      <c r="V630" s="6">
        <v>2</v>
      </c>
    </row>
    <row r="631" spans="1:25" x14ac:dyDescent="0.3">
      <c r="A631" t="s">
        <v>25</v>
      </c>
      <c r="B631" s="7">
        <v>45204</v>
      </c>
      <c r="C631" t="s">
        <v>42</v>
      </c>
      <c r="D631">
        <v>10</v>
      </c>
      <c r="E631">
        <v>3</v>
      </c>
      <c r="F631">
        <v>8</v>
      </c>
      <c r="G631" t="s">
        <v>27</v>
      </c>
      <c r="H631">
        <v>1</v>
      </c>
      <c r="I631" s="8">
        <v>0.5625</v>
      </c>
      <c r="J631" s="8">
        <v>0.63541666666666663</v>
      </c>
      <c r="K631" s="2">
        <f t="shared" si="9"/>
        <v>1.7499999999999991</v>
      </c>
      <c r="L631" t="s">
        <v>25</v>
      </c>
      <c r="M631" t="s">
        <v>51</v>
      </c>
      <c r="N631" t="s">
        <v>55</v>
      </c>
      <c r="O631" s="3">
        <v>0</v>
      </c>
      <c r="P631" s="4">
        <v>0</v>
      </c>
      <c r="Q631" s="5">
        <v>0</v>
      </c>
      <c r="R631" s="6">
        <v>0</v>
      </c>
      <c r="S631" s="3">
        <v>0</v>
      </c>
      <c r="T631" s="4">
        <v>0</v>
      </c>
      <c r="U631" s="5">
        <v>4</v>
      </c>
      <c r="V631" s="6">
        <v>11</v>
      </c>
    </row>
    <row r="632" spans="1:25" x14ac:dyDescent="0.3">
      <c r="A632" t="s">
        <v>25</v>
      </c>
      <c r="B632" s="7">
        <v>45204</v>
      </c>
      <c r="C632" t="s">
        <v>42</v>
      </c>
      <c r="D632">
        <v>11</v>
      </c>
      <c r="E632">
        <v>3</v>
      </c>
      <c r="F632">
        <v>8</v>
      </c>
      <c r="G632" t="s">
        <v>27</v>
      </c>
      <c r="H632">
        <v>1</v>
      </c>
      <c r="I632" s="8">
        <v>0.45833333333333331</v>
      </c>
      <c r="J632" s="8">
        <v>0.63680555555555551</v>
      </c>
      <c r="K632" s="2">
        <f t="shared" si="9"/>
        <v>4.2833333333333332</v>
      </c>
      <c r="L632" t="s">
        <v>25</v>
      </c>
      <c r="M632" t="s">
        <v>51</v>
      </c>
      <c r="N632" t="s">
        <v>38</v>
      </c>
      <c r="O632" s="3">
        <v>0</v>
      </c>
      <c r="P632" s="4">
        <v>0</v>
      </c>
      <c r="Q632" s="5">
        <v>0</v>
      </c>
      <c r="R632" s="6">
        <v>0</v>
      </c>
      <c r="S632" s="3">
        <v>0</v>
      </c>
      <c r="T632" s="4">
        <v>0</v>
      </c>
      <c r="U632" s="5">
        <v>15</v>
      </c>
      <c r="V632" s="6">
        <v>0</v>
      </c>
    </row>
    <row r="633" spans="1:25" x14ac:dyDescent="0.3">
      <c r="A633" t="s">
        <v>25</v>
      </c>
      <c r="B633" s="7">
        <v>45204</v>
      </c>
      <c r="C633" t="s">
        <v>42</v>
      </c>
      <c r="D633">
        <v>12</v>
      </c>
      <c r="E633">
        <v>3</v>
      </c>
      <c r="F633">
        <v>8</v>
      </c>
      <c r="G633" t="s">
        <v>27</v>
      </c>
      <c r="H633">
        <v>1</v>
      </c>
      <c r="I633" s="8">
        <v>0.60416666666666663</v>
      </c>
      <c r="J633" s="8">
        <v>0.64027777777777783</v>
      </c>
      <c r="K633" s="2">
        <f t="shared" si="9"/>
        <v>0.86666666666666892</v>
      </c>
      <c r="L633" t="s">
        <v>25</v>
      </c>
      <c r="M633" t="s">
        <v>79</v>
      </c>
      <c r="N633" t="s">
        <v>38</v>
      </c>
      <c r="O633" s="3">
        <v>0</v>
      </c>
      <c r="P633" s="4">
        <v>5</v>
      </c>
      <c r="Q633" s="5">
        <v>0</v>
      </c>
      <c r="R633" s="6">
        <v>0</v>
      </c>
      <c r="S633" s="3">
        <v>0</v>
      </c>
      <c r="T633" s="4">
        <v>0</v>
      </c>
      <c r="U633" s="5">
        <v>40</v>
      </c>
      <c r="V633" s="6">
        <v>0</v>
      </c>
    </row>
    <row r="634" spans="1:25" x14ac:dyDescent="0.3">
      <c r="A634" t="s">
        <v>25</v>
      </c>
      <c r="B634" s="7">
        <v>45204</v>
      </c>
      <c r="C634" t="s">
        <v>42</v>
      </c>
      <c r="D634">
        <v>13</v>
      </c>
      <c r="E634">
        <v>3</v>
      </c>
      <c r="F634">
        <v>6</v>
      </c>
      <c r="G634" t="s">
        <v>27</v>
      </c>
      <c r="H634">
        <v>1</v>
      </c>
      <c r="I634" s="8">
        <v>0.47916666666666669</v>
      </c>
      <c r="J634" s="8">
        <v>0.67847222222222225</v>
      </c>
      <c r="K634" s="2">
        <f t="shared" si="9"/>
        <v>4.7833333333333332</v>
      </c>
      <c r="L634" t="s">
        <v>25</v>
      </c>
      <c r="M634" t="s">
        <v>51</v>
      </c>
      <c r="N634" t="s">
        <v>27</v>
      </c>
      <c r="O634" s="3">
        <v>0</v>
      </c>
      <c r="P634" s="4">
        <v>0</v>
      </c>
      <c r="Q634" s="5">
        <v>3</v>
      </c>
      <c r="R634" s="6">
        <v>0</v>
      </c>
      <c r="S634" s="3">
        <v>0</v>
      </c>
      <c r="T634" s="4">
        <v>0</v>
      </c>
      <c r="U634" s="5">
        <v>0</v>
      </c>
      <c r="V634" s="6">
        <v>0</v>
      </c>
    </row>
    <row r="635" spans="1:25" x14ac:dyDescent="0.3">
      <c r="A635" t="s">
        <v>25</v>
      </c>
      <c r="B635" s="7">
        <v>45204</v>
      </c>
      <c r="C635" t="s">
        <v>42</v>
      </c>
      <c r="D635">
        <v>14</v>
      </c>
      <c r="E635">
        <v>3</v>
      </c>
      <c r="F635">
        <v>6</v>
      </c>
      <c r="G635" t="s">
        <v>27</v>
      </c>
      <c r="H635">
        <v>1</v>
      </c>
      <c r="I635" s="8">
        <v>0.54166666666666663</v>
      </c>
      <c r="J635" s="8">
        <v>0.6791666666666667</v>
      </c>
      <c r="K635" s="2">
        <f t="shared" si="9"/>
        <v>3.3000000000000016</v>
      </c>
      <c r="L635" t="s">
        <v>25</v>
      </c>
      <c r="M635" t="s">
        <v>148</v>
      </c>
      <c r="N635" t="s">
        <v>38</v>
      </c>
      <c r="O635" s="3">
        <v>0</v>
      </c>
      <c r="P635" s="4">
        <v>1</v>
      </c>
      <c r="Q635" s="5">
        <v>0</v>
      </c>
      <c r="R635" s="6">
        <v>0</v>
      </c>
      <c r="S635" s="3">
        <v>0</v>
      </c>
      <c r="T635" s="4">
        <v>0</v>
      </c>
      <c r="U635" s="5">
        <v>2</v>
      </c>
      <c r="V635" s="6">
        <v>0</v>
      </c>
    </row>
    <row r="636" spans="1:25" x14ac:dyDescent="0.3">
      <c r="A636" t="s">
        <v>25</v>
      </c>
      <c r="B636" s="7">
        <v>45204</v>
      </c>
      <c r="C636" t="s">
        <v>42</v>
      </c>
      <c r="D636">
        <v>15</v>
      </c>
      <c r="E636">
        <v>3</v>
      </c>
      <c r="F636">
        <v>6</v>
      </c>
      <c r="G636" t="s">
        <v>27</v>
      </c>
      <c r="H636">
        <v>1</v>
      </c>
      <c r="I636" s="8">
        <v>0.52083333333333337</v>
      </c>
      <c r="J636" s="8">
        <v>0.68055555555555547</v>
      </c>
      <c r="K636" s="2">
        <f t="shared" si="9"/>
        <v>3.8333333333333304</v>
      </c>
      <c r="L636" t="s">
        <v>25</v>
      </c>
      <c r="M636" t="s">
        <v>51</v>
      </c>
      <c r="N636" t="s">
        <v>38</v>
      </c>
      <c r="O636" s="3">
        <v>0</v>
      </c>
      <c r="P636" s="4">
        <v>0</v>
      </c>
      <c r="Q636" s="5">
        <v>0</v>
      </c>
      <c r="R636" s="6">
        <v>0</v>
      </c>
      <c r="S636" s="3">
        <v>0</v>
      </c>
      <c r="T636" s="4">
        <v>0</v>
      </c>
      <c r="U636" s="5">
        <v>2</v>
      </c>
      <c r="V636" s="6">
        <v>0</v>
      </c>
    </row>
    <row r="637" spans="1:25" x14ac:dyDescent="0.3">
      <c r="A637" t="s">
        <v>25</v>
      </c>
      <c r="B637" s="7">
        <v>45204</v>
      </c>
      <c r="C637" t="s">
        <v>42</v>
      </c>
      <c r="D637">
        <v>16</v>
      </c>
      <c r="E637">
        <v>2</v>
      </c>
      <c r="F637">
        <v>2</v>
      </c>
      <c r="G637" t="s">
        <v>27</v>
      </c>
      <c r="H637">
        <v>1</v>
      </c>
      <c r="I637" s="8">
        <v>0.71875</v>
      </c>
      <c r="J637" s="8">
        <v>0.77916666666666667</v>
      </c>
      <c r="K637" s="2">
        <f t="shared" si="9"/>
        <v>1.4500000000000002</v>
      </c>
      <c r="L637" t="s">
        <v>25</v>
      </c>
      <c r="M637" t="s">
        <v>56</v>
      </c>
      <c r="N637" t="s">
        <v>38</v>
      </c>
      <c r="O637" s="3">
        <v>0</v>
      </c>
      <c r="P637" s="4">
        <v>0</v>
      </c>
      <c r="Q637" s="5">
        <v>0</v>
      </c>
      <c r="R637" s="6">
        <v>0</v>
      </c>
      <c r="S637" s="3">
        <v>0</v>
      </c>
      <c r="T637" s="4">
        <v>0</v>
      </c>
      <c r="U637" s="5">
        <v>0</v>
      </c>
      <c r="V637" s="6">
        <v>0</v>
      </c>
    </row>
    <row r="638" spans="1:25" x14ac:dyDescent="0.3">
      <c r="A638" t="s">
        <v>25</v>
      </c>
      <c r="B638" s="7">
        <v>45204</v>
      </c>
      <c r="C638" t="s">
        <v>42</v>
      </c>
      <c r="D638">
        <v>17</v>
      </c>
      <c r="E638">
        <v>2</v>
      </c>
      <c r="F638">
        <v>2</v>
      </c>
      <c r="G638" t="s">
        <v>27</v>
      </c>
      <c r="H638">
        <v>2</v>
      </c>
      <c r="I638" s="8">
        <v>0.66666666666666663</v>
      </c>
      <c r="J638" s="8">
        <v>0.78125</v>
      </c>
      <c r="K638" s="2">
        <f t="shared" si="9"/>
        <v>5.5000000000000018</v>
      </c>
      <c r="L638" t="s">
        <v>25</v>
      </c>
      <c r="M638" t="s">
        <v>56</v>
      </c>
      <c r="N638" t="s">
        <v>38</v>
      </c>
      <c r="O638" s="3">
        <v>0</v>
      </c>
      <c r="P638" s="4">
        <v>6</v>
      </c>
      <c r="Q638" s="5">
        <v>0</v>
      </c>
      <c r="R638" s="6">
        <v>0</v>
      </c>
      <c r="S638" s="3">
        <v>0</v>
      </c>
      <c r="T638" s="4">
        <v>0</v>
      </c>
      <c r="U638" s="5">
        <v>4</v>
      </c>
      <c r="V638" s="6">
        <v>0</v>
      </c>
    </row>
    <row r="639" spans="1:25" x14ac:dyDescent="0.3">
      <c r="A639" t="s">
        <v>25</v>
      </c>
      <c r="B639" s="7">
        <v>45204</v>
      </c>
      <c r="C639" t="s">
        <v>42</v>
      </c>
      <c r="D639">
        <v>18</v>
      </c>
      <c r="E639">
        <v>2</v>
      </c>
      <c r="F639">
        <v>2</v>
      </c>
      <c r="G639" t="s">
        <v>27</v>
      </c>
      <c r="H639">
        <v>1</v>
      </c>
      <c r="I639" s="8">
        <v>0.70833333333333337</v>
      </c>
      <c r="J639" s="8">
        <v>0.78125</v>
      </c>
      <c r="K639" s="2">
        <f t="shared" si="9"/>
        <v>1.7499999999999991</v>
      </c>
      <c r="L639" t="s">
        <v>25</v>
      </c>
      <c r="M639" t="s">
        <v>56</v>
      </c>
      <c r="N639" t="s">
        <v>38</v>
      </c>
      <c r="O639" s="3">
        <v>0</v>
      </c>
      <c r="P639" s="4">
        <v>0</v>
      </c>
      <c r="Q639" s="5">
        <v>0</v>
      </c>
      <c r="R639" s="6">
        <v>0</v>
      </c>
      <c r="S639" s="3">
        <v>0</v>
      </c>
      <c r="T639" s="4">
        <v>6</v>
      </c>
      <c r="U639" s="5">
        <v>0</v>
      </c>
      <c r="V639" s="6">
        <v>0</v>
      </c>
    </row>
    <row r="640" spans="1:25" x14ac:dyDescent="0.3">
      <c r="A640" t="s">
        <v>25</v>
      </c>
      <c r="B640" s="7">
        <v>45204</v>
      </c>
      <c r="C640" t="s">
        <v>42</v>
      </c>
      <c r="D640">
        <v>19</v>
      </c>
      <c r="E640">
        <v>2</v>
      </c>
      <c r="F640">
        <v>2</v>
      </c>
      <c r="G640" t="s">
        <v>27</v>
      </c>
      <c r="H640">
        <v>1</v>
      </c>
      <c r="I640" s="8">
        <v>0.75</v>
      </c>
      <c r="J640" s="8">
        <v>0.78125</v>
      </c>
      <c r="K640" s="2">
        <f t="shared" si="9"/>
        <v>0.75</v>
      </c>
      <c r="L640" t="s">
        <v>25</v>
      </c>
      <c r="M640" t="s">
        <v>29</v>
      </c>
      <c r="N640" t="s">
        <v>38</v>
      </c>
      <c r="O640" s="3">
        <v>0</v>
      </c>
      <c r="P640" s="4">
        <v>0</v>
      </c>
      <c r="Q640" s="5">
        <v>0</v>
      </c>
      <c r="R640" s="6">
        <v>0</v>
      </c>
      <c r="S640" s="3">
        <v>0</v>
      </c>
      <c r="T640" s="4">
        <v>0</v>
      </c>
      <c r="U640" s="5">
        <v>0</v>
      </c>
      <c r="V640" s="6">
        <v>0</v>
      </c>
    </row>
    <row r="641" spans="1:25" x14ac:dyDescent="0.3">
      <c r="A641" t="s">
        <v>25</v>
      </c>
      <c r="B641" s="7">
        <v>45204</v>
      </c>
      <c r="C641" t="s">
        <v>42</v>
      </c>
      <c r="D641">
        <v>20</v>
      </c>
      <c r="E641">
        <v>2</v>
      </c>
      <c r="F641">
        <v>2</v>
      </c>
      <c r="G641" t="s">
        <v>27</v>
      </c>
      <c r="H641">
        <v>1</v>
      </c>
      <c r="I641" s="8">
        <v>0.6875</v>
      </c>
      <c r="J641" s="8">
        <v>0.78125</v>
      </c>
      <c r="K641" s="2">
        <f t="shared" si="9"/>
        <v>2.25</v>
      </c>
      <c r="L641" t="s">
        <v>25</v>
      </c>
      <c r="M641" t="s">
        <v>51</v>
      </c>
      <c r="N641" t="s">
        <v>146</v>
      </c>
      <c r="O641" s="3">
        <v>0</v>
      </c>
      <c r="P641" s="4">
        <v>0</v>
      </c>
      <c r="Q641" s="5">
        <v>0</v>
      </c>
      <c r="R641" s="6">
        <v>0</v>
      </c>
      <c r="S641" s="3">
        <v>0</v>
      </c>
      <c r="T641" s="4">
        <v>0</v>
      </c>
      <c r="U641" s="5">
        <v>0</v>
      </c>
      <c r="V641" s="6">
        <v>0</v>
      </c>
    </row>
    <row r="642" spans="1:25" x14ac:dyDescent="0.3">
      <c r="A642" t="s">
        <v>25</v>
      </c>
      <c r="B642" s="7">
        <v>45205</v>
      </c>
      <c r="C642" t="s">
        <v>26</v>
      </c>
      <c r="D642">
        <v>1</v>
      </c>
      <c r="E642">
        <v>1</v>
      </c>
      <c r="F642">
        <v>4</v>
      </c>
      <c r="G642" t="s">
        <v>27</v>
      </c>
      <c r="H642">
        <v>1</v>
      </c>
      <c r="I642" s="8">
        <v>0.29166666666666669</v>
      </c>
      <c r="J642" s="8">
        <v>0.33333333333333331</v>
      </c>
      <c r="K642" s="2">
        <f t="shared" si="9"/>
        <v>0.99999999999999911</v>
      </c>
      <c r="L642" t="s">
        <v>28</v>
      </c>
      <c r="M642" t="s">
        <v>148</v>
      </c>
      <c r="N642" t="s">
        <v>38</v>
      </c>
      <c r="O642" s="3">
        <v>0</v>
      </c>
      <c r="P642" s="4">
        <v>2</v>
      </c>
      <c r="Q642" s="5">
        <v>0</v>
      </c>
      <c r="R642" s="6">
        <v>0</v>
      </c>
      <c r="S642" s="3">
        <v>0</v>
      </c>
      <c r="T642" s="4">
        <v>4</v>
      </c>
      <c r="U642" s="5">
        <v>0</v>
      </c>
      <c r="V642" s="6">
        <v>0</v>
      </c>
    </row>
    <row r="643" spans="1:25" x14ac:dyDescent="0.3">
      <c r="A643" t="s">
        <v>25</v>
      </c>
      <c r="B643" s="7">
        <v>45205</v>
      </c>
      <c r="C643" t="s">
        <v>26</v>
      </c>
      <c r="D643">
        <v>2</v>
      </c>
      <c r="E643">
        <v>2</v>
      </c>
      <c r="F643">
        <v>1</v>
      </c>
      <c r="G643" t="s">
        <v>27</v>
      </c>
      <c r="H643">
        <v>2</v>
      </c>
      <c r="I643" s="8">
        <v>0.3125</v>
      </c>
      <c r="J643" s="8">
        <v>0.34375</v>
      </c>
      <c r="K643" s="2">
        <f t="shared" si="9"/>
        <v>1.5</v>
      </c>
      <c r="L643" t="s">
        <v>28</v>
      </c>
      <c r="M643" t="s">
        <v>56</v>
      </c>
      <c r="N643" t="s">
        <v>38</v>
      </c>
      <c r="O643" s="3">
        <v>0</v>
      </c>
      <c r="P643" s="4">
        <v>0</v>
      </c>
      <c r="Q643" s="5">
        <v>0</v>
      </c>
      <c r="R643" s="6">
        <v>0</v>
      </c>
      <c r="S643" s="3">
        <v>0</v>
      </c>
      <c r="T643" s="4">
        <v>1</v>
      </c>
      <c r="U643" s="5">
        <v>0</v>
      </c>
      <c r="V643" s="6">
        <v>0</v>
      </c>
      <c r="Y643" t="s">
        <v>175</v>
      </c>
    </row>
    <row r="644" spans="1:25" x14ac:dyDescent="0.3">
      <c r="A644" t="s">
        <v>25</v>
      </c>
      <c r="B644" s="7">
        <v>45205</v>
      </c>
      <c r="C644" t="s">
        <v>26</v>
      </c>
      <c r="D644">
        <v>3</v>
      </c>
      <c r="E644">
        <v>2</v>
      </c>
      <c r="F644">
        <v>1</v>
      </c>
      <c r="G644" t="s">
        <v>27</v>
      </c>
      <c r="H644">
        <v>1</v>
      </c>
      <c r="I644" s="8">
        <v>0.27083333333333331</v>
      </c>
      <c r="J644" s="8">
        <v>0.34375</v>
      </c>
      <c r="K644" s="2">
        <f t="shared" si="9"/>
        <v>1.7500000000000004</v>
      </c>
      <c r="L644" t="s">
        <v>28</v>
      </c>
      <c r="M644" t="s">
        <v>56</v>
      </c>
      <c r="N644" t="s">
        <v>38</v>
      </c>
      <c r="O644" s="3">
        <v>0</v>
      </c>
      <c r="P644" s="4">
        <v>0</v>
      </c>
      <c r="Q644" s="5">
        <v>0</v>
      </c>
      <c r="R644" s="6">
        <v>0</v>
      </c>
      <c r="S644" s="3">
        <v>0</v>
      </c>
      <c r="T644" s="4">
        <v>0</v>
      </c>
      <c r="U644" s="5">
        <v>0</v>
      </c>
      <c r="V644" s="6">
        <v>0</v>
      </c>
    </row>
    <row r="645" spans="1:25" x14ac:dyDescent="0.3">
      <c r="A645" t="s">
        <v>25</v>
      </c>
      <c r="B645" s="7">
        <v>45205</v>
      </c>
      <c r="C645" t="s">
        <v>26</v>
      </c>
      <c r="D645">
        <v>4</v>
      </c>
      <c r="E645">
        <v>2</v>
      </c>
      <c r="F645">
        <v>1</v>
      </c>
      <c r="G645" t="s">
        <v>27</v>
      </c>
      <c r="H645">
        <v>1</v>
      </c>
      <c r="I645" s="8">
        <v>0.25</v>
      </c>
      <c r="J645" s="8">
        <v>0.34930555555555554</v>
      </c>
      <c r="K645" s="2">
        <f t="shared" si="9"/>
        <v>2.3833333333333329</v>
      </c>
      <c r="L645" t="s">
        <v>28</v>
      </c>
      <c r="M645" t="s">
        <v>56</v>
      </c>
      <c r="N645" t="s">
        <v>38</v>
      </c>
      <c r="O645" s="3">
        <v>0</v>
      </c>
      <c r="P645" s="4">
        <v>2</v>
      </c>
      <c r="Q645" s="5">
        <v>0</v>
      </c>
      <c r="R645" s="6">
        <v>0</v>
      </c>
      <c r="S645" s="3">
        <v>0</v>
      </c>
      <c r="T645" s="4">
        <v>2</v>
      </c>
      <c r="U645" s="5">
        <v>0</v>
      </c>
      <c r="V645" s="6">
        <v>0</v>
      </c>
      <c r="Y645" t="s">
        <v>201</v>
      </c>
    </row>
    <row r="646" spans="1:25" x14ac:dyDescent="0.3">
      <c r="A646" t="s">
        <v>25</v>
      </c>
      <c r="B646" s="7">
        <v>45205</v>
      </c>
      <c r="C646" t="s">
        <v>26</v>
      </c>
      <c r="D646">
        <v>5</v>
      </c>
      <c r="E646">
        <v>2</v>
      </c>
      <c r="F646">
        <v>1</v>
      </c>
      <c r="G646" t="s">
        <v>27</v>
      </c>
      <c r="H646">
        <v>1</v>
      </c>
      <c r="I646" s="8">
        <v>0.29166666666666669</v>
      </c>
      <c r="J646" s="8">
        <v>0.34930555555555554</v>
      </c>
      <c r="K646" s="2">
        <f t="shared" si="9"/>
        <v>1.3833333333333324</v>
      </c>
      <c r="L646" t="s">
        <v>28</v>
      </c>
      <c r="M646" t="s">
        <v>56</v>
      </c>
      <c r="N646" t="s">
        <v>38</v>
      </c>
      <c r="O646" s="3">
        <v>0</v>
      </c>
      <c r="P646" s="4">
        <v>1</v>
      </c>
      <c r="Q646" s="5">
        <v>0</v>
      </c>
      <c r="R646" s="6">
        <v>0</v>
      </c>
      <c r="S646" s="3">
        <v>0</v>
      </c>
      <c r="T646" s="4">
        <v>0</v>
      </c>
      <c r="U646" s="5">
        <v>0</v>
      </c>
      <c r="V646" s="6">
        <v>0</v>
      </c>
    </row>
    <row r="647" spans="1:25" x14ac:dyDescent="0.3">
      <c r="A647" t="s">
        <v>25</v>
      </c>
      <c r="B647" s="7">
        <v>45205</v>
      </c>
      <c r="C647" t="s">
        <v>26</v>
      </c>
      <c r="D647">
        <v>6</v>
      </c>
      <c r="E647">
        <v>2</v>
      </c>
      <c r="F647">
        <v>1</v>
      </c>
      <c r="G647" t="s">
        <v>27</v>
      </c>
      <c r="H647">
        <v>1</v>
      </c>
      <c r="I647" s="8">
        <v>0.25</v>
      </c>
      <c r="J647" s="8">
        <v>0.34930555555555554</v>
      </c>
      <c r="K647" s="2">
        <f t="shared" si="9"/>
        <v>2.3833333333333329</v>
      </c>
      <c r="L647" t="s">
        <v>28</v>
      </c>
      <c r="M647" t="s">
        <v>56</v>
      </c>
      <c r="N647" t="s">
        <v>38</v>
      </c>
      <c r="O647" s="3">
        <v>1</v>
      </c>
      <c r="P647" s="4">
        <v>2</v>
      </c>
      <c r="Q647" s="5">
        <v>0</v>
      </c>
      <c r="R647" s="6">
        <v>0</v>
      </c>
      <c r="S647" s="3">
        <v>0</v>
      </c>
      <c r="T647" s="4">
        <v>0</v>
      </c>
      <c r="U647" s="5">
        <v>0</v>
      </c>
      <c r="V647" s="6">
        <v>0</v>
      </c>
      <c r="Y647" t="s">
        <v>202</v>
      </c>
    </row>
    <row r="648" spans="1:25" x14ac:dyDescent="0.3">
      <c r="A648" t="s">
        <v>25</v>
      </c>
      <c r="B648" s="7">
        <v>45205</v>
      </c>
      <c r="C648" t="s">
        <v>26</v>
      </c>
      <c r="D648">
        <v>7</v>
      </c>
      <c r="E648">
        <v>2</v>
      </c>
      <c r="F648">
        <v>1</v>
      </c>
      <c r="G648" t="s">
        <v>27</v>
      </c>
      <c r="H648">
        <v>1</v>
      </c>
      <c r="I648" s="8">
        <v>0.3125</v>
      </c>
      <c r="J648" s="8">
        <v>0.35416666666666669</v>
      </c>
      <c r="K648" s="2">
        <f t="shared" si="9"/>
        <v>1.0000000000000004</v>
      </c>
      <c r="L648" t="s">
        <v>28</v>
      </c>
      <c r="M648" t="s">
        <v>56</v>
      </c>
      <c r="N648" t="s">
        <v>38</v>
      </c>
      <c r="O648" s="3">
        <v>0</v>
      </c>
      <c r="P648" s="4">
        <v>0</v>
      </c>
      <c r="Q648" s="5">
        <v>0</v>
      </c>
      <c r="R648" s="6">
        <v>0</v>
      </c>
      <c r="S648" s="3">
        <v>0</v>
      </c>
      <c r="T648" s="4">
        <v>2</v>
      </c>
      <c r="U648" s="5">
        <v>0</v>
      </c>
      <c r="V648" s="6">
        <v>0</v>
      </c>
    </row>
    <row r="649" spans="1:25" x14ac:dyDescent="0.3">
      <c r="A649" t="s">
        <v>25</v>
      </c>
      <c r="B649" s="7">
        <v>45205</v>
      </c>
      <c r="C649" t="s">
        <v>26</v>
      </c>
      <c r="D649">
        <v>8</v>
      </c>
      <c r="E649">
        <v>2</v>
      </c>
      <c r="F649">
        <v>1</v>
      </c>
      <c r="G649" t="s">
        <v>27</v>
      </c>
      <c r="H649">
        <v>1</v>
      </c>
      <c r="I649" s="8">
        <v>0.3125</v>
      </c>
      <c r="J649" s="8">
        <v>0.35416666666666669</v>
      </c>
      <c r="K649" s="2">
        <f t="shared" si="9"/>
        <v>1.0000000000000004</v>
      </c>
      <c r="L649" t="s">
        <v>28</v>
      </c>
      <c r="M649" t="s">
        <v>56</v>
      </c>
      <c r="N649" t="s">
        <v>38</v>
      </c>
      <c r="O649" s="3">
        <v>0</v>
      </c>
      <c r="P649" s="4">
        <v>1</v>
      </c>
      <c r="Q649" s="5">
        <v>0</v>
      </c>
      <c r="R649" s="6">
        <v>0</v>
      </c>
      <c r="S649" s="3">
        <v>0</v>
      </c>
      <c r="T649" s="4">
        <v>0</v>
      </c>
      <c r="U649" s="5">
        <v>0</v>
      </c>
      <c r="V649" s="6">
        <v>0</v>
      </c>
    </row>
    <row r="650" spans="1:25" x14ac:dyDescent="0.3">
      <c r="A650" t="s">
        <v>25</v>
      </c>
      <c r="B650" s="7">
        <v>45205</v>
      </c>
      <c r="C650" t="s">
        <v>26</v>
      </c>
      <c r="D650">
        <v>9</v>
      </c>
      <c r="E650">
        <v>2</v>
      </c>
      <c r="F650">
        <v>2</v>
      </c>
      <c r="G650" t="s">
        <v>27</v>
      </c>
      <c r="H650">
        <v>1</v>
      </c>
      <c r="I650" s="8">
        <v>0.29166666666666669</v>
      </c>
      <c r="J650" s="8">
        <v>0.38541666666666669</v>
      </c>
      <c r="K650" s="2">
        <f t="shared" si="9"/>
        <v>2.25</v>
      </c>
      <c r="L650" t="s">
        <v>25</v>
      </c>
      <c r="M650" t="s">
        <v>56</v>
      </c>
      <c r="N650" t="s">
        <v>27</v>
      </c>
      <c r="O650" s="3">
        <v>0</v>
      </c>
      <c r="P650" s="4">
        <v>0</v>
      </c>
      <c r="Q650" s="5">
        <v>0</v>
      </c>
      <c r="R650" s="6">
        <v>0</v>
      </c>
      <c r="S650" s="3">
        <v>0</v>
      </c>
      <c r="T650" s="4">
        <v>0</v>
      </c>
      <c r="U650" s="5">
        <v>0</v>
      </c>
      <c r="V650" s="6">
        <v>0</v>
      </c>
    </row>
    <row r="651" spans="1:25" x14ac:dyDescent="0.3">
      <c r="A651" t="s">
        <v>25</v>
      </c>
      <c r="B651" s="7">
        <v>45205</v>
      </c>
      <c r="C651" t="s">
        <v>26</v>
      </c>
      <c r="D651">
        <v>10</v>
      </c>
      <c r="E651">
        <v>2</v>
      </c>
      <c r="F651">
        <v>3</v>
      </c>
      <c r="G651" t="s">
        <v>27</v>
      </c>
      <c r="H651">
        <v>2</v>
      </c>
      <c r="I651" s="8">
        <v>0.3125</v>
      </c>
      <c r="J651" s="8">
        <v>0.39583333333333331</v>
      </c>
      <c r="K651" s="2">
        <f t="shared" si="9"/>
        <v>3.9999999999999991</v>
      </c>
      <c r="L651" t="s">
        <v>28</v>
      </c>
      <c r="M651" t="s">
        <v>56</v>
      </c>
      <c r="N651" t="s">
        <v>38</v>
      </c>
      <c r="O651" s="3">
        <v>0</v>
      </c>
      <c r="P651" s="4">
        <v>2</v>
      </c>
      <c r="Q651" s="5">
        <v>0</v>
      </c>
      <c r="R651" s="6">
        <v>0</v>
      </c>
      <c r="S651" s="3">
        <v>0</v>
      </c>
      <c r="T651" s="4">
        <v>0</v>
      </c>
      <c r="U651" s="5">
        <v>0</v>
      </c>
      <c r="V651" s="6">
        <v>0</v>
      </c>
      <c r="Y651" t="s">
        <v>200</v>
      </c>
    </row>
    <row r="652" spans="1:25" x14ac:dyDescent="0.3">
      <c r="A652" t="s">
        <v>25</v>
      </c>
      <c r="B652" s="7">
        <v>45205</v>
      </c>
      <c r="C652" t="s">
        <v>26</v>
      </c>
      <c r="D652">
        <v>11</v>
      </c>
      <c r="E652">
        <v>2</v>
      </c>
      <c r="F652">
        <v>3</v>
      </c>
      <c r="G652" t="s">
        <v>27</v>
      </c>
      <c r="H652">
        <v>1</v>
      </c>
      <c r="I652" s="8">
        <v>0.25</v>
      </c>
      <c r="J652" s="8">
        <v>0.39583333333333331</v>
      </c>
      <c r="K652" s="2">
        <f t="shared" si="9"/>
        <v>3.4999999999999996</v>
      </c>
      <c r="L652" t="s">
        <v>28</v>
      </c>
      <c r="M652" t="s">
        <v>56</v>
      </c>
      <c r="N652" t="s">
        <v>38</v>
      </c>
      <c r="O652" s="3">
        <v>0</v>
      </c>
      <c r="P652" s="4">
        <v>0</v>
      </c>
      <c r="Q652" s="5">
        <v>0</v>
      </c>
      <c r="R652" s="6">
        <v>0</v>
      </c>
      <c r="S652" s="3">
        <v>0</v>
      </c>
      <c r="T652" s="4">
        <v>0</v>
      </c>
      <c r="U652" s="5">
        <v>0</v>
      </c>
      <c r="V652" s="6">
        <v>0</v>
      </c>
    </row>
    <row r="653" spans="1:25" x14ac:dyDescent="0.3">
      <c r="A653" t="s">
        <v>25</v>
      </c>
      <c r="B653" s="7">
        <v>45205</v>
      </c>
      <c r="C653" t="s">
        <v>42</v>
      </c>
      <c r="D653">
        <v>12</v>
      </c>
      <c r="E653">
        <v>2</v>
      </c>
      <c r="F653">
        <v>3</v>
      </c>
      <c r="G653" t="s">
        <v>27</v>
      </c>
      <c r="H653">
        <v>2</v>
      </c>
      <c r="I653" s="8">
        <v>0.5625</v>
      </c>
      <c r="J653" s="8">
        <v>0.69444444444444453</v>
      </c>
      <c r="K653" s="2">
        <f t="shared" si="9"/>
        <v>6.3333333333333375</v>
      </c>
      <c r="L653" t="s">
        <v>25</v>
      </c>
      <c r="M653" t="s">
        <v>56</v>
      </c>
      <c r="N653" t="s">
        <v>38</v>
      </c>
      <c r="O653" s="3">
        <v>0</v>
      </c>
      <c r="P653" s="4">
        <v>2</v>
      </c>
      <c r="Q653" s="5">
        <v>0</v>
      </c>
      <c r="R653" s="6">
        <v>0</v>
      </c>
      <c r="S653" s="3">
        <v>0</v>
      </c>
      <c r="T653" s="4">
        <v>0</v>
      </c>
      <c r="U653" s="5">
        <v>0</v>
      </c>
      <c r="V653" s="6">
        <v>0</v>
      </c>
      <c r="Y653" t="s">
        <v>166</v>
      </c>
    </row>
    <row r="654" spans="1:25" x14ac:dyDescent="0.3">
      <c r="A654" t="s">
        <v>25</v>
      </c>
      <c r="B654" s="7">
        <v>45205</v>
      </c>
      <c r="C654" t="s">
        <v>42</v>
      </c>
      <c r="D654">
        <v>13</v>
      </c>
      <c r="E654">
        <v>2</v>
      </c>
      <c r="F654">
        <v>3</v>
      </c>
      <c r="G654" t="s">
        <v>27</v>
      </c>
      <c r="H654">
        <v>1</v>
      </c>
      <c r="I654" s="8">
        <v>0.61458333333333337</v>
      </c>
      <c r="J654" s="8">
        <v>0.69791666666666663</v>
      </c>
      <c r="K654" s="2">
        <f t="shared" si="9"/>
        <v>1.9999999999999982</v>
      </c>
      <c r="L654" t="s">
        <v>28</v>
      </c>
      <c r="M654" t="s">
        <v>56</v>
      </c>
      <c r="N654" t="s">
        <v>38</v>
      </c>
      <c r="O654" s="3">
        <v>0</v>
      </c>
      <c r="P654" s="4">
        <v>0</v>
      </c>
      <c r="Q654" s="5">
        <v>0</v>
      </c>
      <c r="R654" s="6">
        <v>0</v>
      </c>
      <c r="S654" s="3">
        <v>0</v>
      </c>
      <c r="T654" s="4">
        <v>0</v>
      </c>
      <c r="U654" s="5">
        <v>0</v>
      </c>
      <c r="V654" s="6">
        <v>0</v>
      </c>
    </row>
    <row r="655" spans="1:25" x14ac:dyDescent="0.3">
      <c r="A655" t="s">
        <v>25</v>
      </c>
      <c r="B655" s="7">
        <v>45205</v>
      </c>
      <c r="C655" t="s">
        <v>42</v>
      </c>
      <c r="D655">
        <v>14</v>
      </c>
      <c r="E655">
        <v>2</v>
      </c>
      <c r="F655">
        <v>1</v>
      </c>
      <c r="G655" t="s">
        <v>27</v>
      </c>
      <c r="H655">
        <v>1</v>
      </c>
      <c r="I655" s="8">
        <v>0.72916666666666663</v>
      </c>
      <c r="J655" s="8">
        <v>0.76388888888888884</v>
      </c>
      <c r="K655" s="2">
        <f t="shared" si="9"/>
        <v>0.83333333333333304</v>
      </c>
      <c r="L655" t="s">
        <v>25</v>
      </c>
      <c r="M655" t="s">
        <v>99</v>
      </c>
      <c r="N655" t="s">
        <v>38</v>
      </c>
      <c r="O655" s="3">
        <v>0</v>
      </c>
      <c r="P655" s="4">
        <v>0</v>
      </c>
      <c r="Q655" s="5">
        <v>0</v>
      </c>
      <c r="R655" s="6">
        <v>0</v>
      </c>
      <c r="S655" s="3">
        <v>0</v>
      </c>
      <c r="T655" s="4">
        <v>0</v>
      </c>
      <c r="U655" s="5">
        <v>0</v>
      </c>
      <c r="V655" s="6">
        <v>0</v>
      </c>
    </row>
    <row r="656" spans="1:25" x14ac:dyDescent="0.3">
      <c r="A656" t="s">
        <v>25</v>
      </c>
      <c r="B656" s="7">
        <v>45205</v>
      </c>
      <c r="C656" t="s">
        <v>42</v>
      </c>
      <c r="D656">
        <v>15</v>
      </c>
      <c r="E656">
        <v>2</v>
      </c>
      <c r="F656">
        <v>1</v>
      </c>
      <c r="G656" t="s">
        <v>27</v>
      </c>
      <c r="H656">
        <v>1</v>
      </c>
      <c r="I656" s="8">
        <v>0.74305555555555547</v>
      </c>
      <c r="J656" s="8">
        <v>0.76388888888888884</v>
      </c>
      <c r="K656" s="2">
        <f t="shared" si="9"/>
        <v>0.50000000000000089</v>
      </c>
      <c r="L656" t="s">
        <v>25</v>
      </c>
      <c r="M656" t="s">
        <v>51</v>
      </c>
      <c r="N656" t="s">
        <v>27</v>
      </c>
      <c r="O656" s="3">
        <v>0</v>
      </c>
      <c r="P656" s="4">
        <v>0</v>
      </c>
      <c r="Q656" s="5">
        <v>0</v>
      </c>
      <c r="R656" s="6">
        <v>0</v>
      </c>
      <c r="S656" s="3">
        <v>0</v>
      </c>
      <c r="T656" s="4">
        <v>0</v>
      </c>
      <c r="U656" s="5">
        <v>0</v>
      </c>
      <c r="V656" s="6">
        <v>0</v>
      </c>
    </row>
    <row r="657" spans="1:25" x14ac:dyDescent="0.3">
      <c r="A657" t="s">
        <v>25</v>
      </c>
      <c r="B657" s="7">
        <v>45205</v>
      </c>
      <c r="C657" t="s">
        <v>42</v>
      </c>
      <c r="D657">
        <v>16</v>
      </c>
      <c r="E657">
        <v>2</v>
      </c>
      <c r="F657">
        <v>2</v>
      </c>
      <c r="G657" t="s">
        <v>27</v>
      </c>
      <c r="H657">
        <v>1</v>
      </c>
      <c r="I657" s="8">
        <v>0.69513888888888886</v>
      </c>
      <c r="J657" s="8">
        <v>0.77847222222222223</v>
      </c>
      <c r="K657" s="2">
        <f t="shared" si="9"/>
        <v>2.0000000000000009</v>
      </c>
      <c r="L657" t="s">
        <v>25</v>
      </c>
      <c r="M657" t="s">
        <v>56</v>
      </c>
      <c r="N657" t="s">
        <v>27</v>
      </c>
      <c r="O657" s="3">
        <v>0</v>
      </c>
      <c r="P657" s="4">
        <v>0</v>
      </c>
      <c r="Q657" s="5">
        <v>0</v>
      </c>
      <c r="R657" s="6">
        <v>0</v>
      </c>
      <c r="S657" s="3">
        <v>0</v>
      </c>
      <c r="T657" s="4">
        <v>0</v>
      </c>
      <c r="U657" s="5">
        <v>0</v>
      </c>
      <c r="V657" s="6">
        <v>0</v>
      </c>
    </row>
    <row r="658" spans="1:25" x14ac:dyDescent="0.3">
      <c r="A658" t="s">
        <v>25</v>
      </c>
      <c r="B658" s="7">
        <v>45205</v>
      </c>
      <c r="C658" t="s">
        <v>42</v>
      </c>
      <c r="D658">
        <v>17</v>
      </c>
      <c r="E658">
        <v>2</v>
      </c>
      <c r="F658">
        <v>2</v>
      </c>
      <c r="G658" t="s">
        <v>27</v>
      </c>
      <c r="H658">
        <v>1</v>
      </c>
      <c r="I658" s="8">
        <v>0.66666666666666663</v>
      </c>
      <c r="J658" s="8">
        <v>0.77847222222222223</v>
      </c>
      <c r="K658" s="2">
        <f t="shared" si="9"/>
        <v>2.6833333333333345</v>
      </c>
      <c r="L658" t="s">
        <v>25</v>
      </c>
      <c r="M658" t="s">
        <v>56</v>
      </c>
      <c r="N658" t="s">
        <v>38</v>
      </c>
      <c r="O658" s="3">
        <v>0</v>
      </c>
      <c r="P658" s="4">
        <v>3</v>
      </c>
      <c r="Q658" s="5">
        <v>0</v>
      </c>
      <c r="R658" s="6">
        <v>0</v>
      </c>
      <c r="S658" s="3">
        <v>0</v>
      </c>
      <c r="T658" s="4">
        <v>1</v>
      </c>
      <c r="U658" s="5">
        <v>0</v>
      </c>
      <c r="V658" s="6">
        <v>0</v>
      </c>
      <c r="W658" t="s">
        <v>203</v>
      </c>
      <c r="X658" t="s">
        <v>204</v>
      </c>
      <c r="Y658" t="s">
        <v>205</v>
      </c>
    </row>
    <row r="659" spans="1:25" x14ac:dyDescent="0.3">
      <c r="A659" t="s">
        <v>25</v>
      </c>
      <c r="B659" s="7">
        <v>45205</v>
      </c>
      <c r="C659" t="s">
        <v>42</v>
      </c>
      <c r="D659">
        <v>18</v>
      </c>
      <c r="E659">
        <v>2</v>
      </c>
      <c r="F659">
        <v>2</v>
      </c>
      <c r="G659" t="s">
        <v>27</v>
      </c>
      <c r="H659">
        <v>1</v>
      </c>
      <c r="I659" s="8">
        <v>0.5</v>
      </c>
      <c r="J659" s="8">
        <v>0.77847222222222223</v>
      </c>
      <c r="K659" s="2">
        <f t="shared" si="9"/>
        <v>6.6833333333333336</v>
      </c>
      <c r="L659" t="s">
        <v>25</v>
      </c>
      <c r="M659" t="s">
        <v>145</v>
      </c>
      <c r="N659" t="s">
        <v>38</v>
      </c>
      <c r="O659" s="3">
        <v>0</v>
      </c>
      <c r="P659" s="4">
        <v>0</v>
      </c>
      <c r="Q659" s="5">
        <v>0</v>
      </c>
      <c r="R659" s="6">
        <v>0</v>
      </c>
      <c r="S659" s="3">
        <v>0</v>
      </c>
      <c r="T659" s="4">
        <v>0</v>
      </c>
      <c r="U659" s="5">
        <v>0</v>
      </c>
      <c r="V659" s="6">
        <v>0</v>
      </c>
    </row>
    <row r="660" spans="1:25" x14ac:dyDescent="0.3">
      <c r="A660" t="s">
        <v>25</v>
      </c>
      <c r="B660" s="7">
        <v>45205</v>
      </c>
      <c r="C660" t="s">
        <v>42</v>
      </c>
      <c r="D660">
        <v>19</v>
      </c>
      <c r="E660">
        <v>2</v>
      </c>
      <c r="F660">
        <v>2</v>
      </c>
      <c r="G660" t="s">
        <v>27</v>
      </c>
      <c r="H660">
        <v>1</v>
      </c>
      <c r="I660" s="8">
        <v>0.66666666666666663</v>
      </c>
      <c r="J660" s="8">
        <v>0.78125</v>
      </c>
      <c r="K660" s="2">
        <f t="shared" si="9"/>
        <v>2.7500000000000009</v>
      </c>
      <c r="L660" t="s">
        <v>25</v>
      </c>
      <c r="M660" t="s">
        <v>56</v>
      </c>
      <c r="N660" t="s">
        <v>38</v>
      </c>
      <c r="O660" s="3">
        <v>0</v>
      </c>
      <c r="P660" s="4">
        <v>0</v>
      </c>
      <c r="Q660" s="5">
        <v>0</v>
      </c>
      <c r="R660" s="6">
        <v>0</v>
      </c>
      <c r="S660" s="3">
        <v>0</v>
      </c>
      <c r="T660" s="4">
        <v>0</v>
      </c>
      <c r="U660" s="5">
        <v>0</v>
      </c>
      <c r="V660" s="6">
        <v>0</v>
      </c>
    </row>
    <row r="661" spans="1:25" x14ac:dyDescent="0.3">
      <c r="A661" t="s">
        <v>25</v>
      </c>
      <c r="B661" s="7">
        <v>45205</v>
      </c>
      <c r="C661" t="s">
        <v>42</v>
      </c>
      <c r="D661">
        <v>20</v>
      </c>
      <c r="E661">
        <v>2</v>
      </c>
      <c r="F661">
        <v>2</v>
      </c>
      <c r="G661" t="s">
        <v>27</v>
      </c>
      <c r="H661">
        <v>2</v>
      </c>
      <c r="I661" s="8">
        <v>0.70000000000000007</v>
      </c>
      <c r="J661" s="8">
        <v>0.78333333333333333</v>
      </c>
      <c r="K661" s="2">
        <f t="shared" si="9"/>
        <v>3.9999999999999964</v>
      </c>
      <c r="L661" t="s">
        <v>28</v>
      </c>
      <c r="M661" t="s">
        <v>56</v>
      </c>
      <c r="N661" t="s">
        <v>38</v>
      </c>
      <c r="O661" s="3">
        <v>0</v>
      </c>
      <c r="P661" s="4">
        <v>3</v>
      </c>
      <c r="Q661" s="5">
        <v>0</v>
      </c>
      <c r="R661" s="6">
        <v>0</v>
      </c>
      <c r="S661" s="3">
        <v>0</v>
      </c>
      <c r="T661" s="4">
        <v>0</v>
      </c>
      <c r="U661" s="5">
        <v>0</v>
      </c>
      <c r="V661" s="6">
        <v>0</v>
      </c>
      <c r="Y661" t="s">
        <v>196</v>
      </c>
    </row>
    <row r="662" spans="1:25" x14ac:dyDescent="0.3">
      <c r="A662" t="s">
        <v>25</v>
      </c>
      <c r="B662" s="7">
        <v>45205</v>
      </c>
      <c r="C662" t="s">
        <v>42</v>
      </c>
      <c r="D662">
        <v>21</v>
      </c>
      <c r="E662">
        <v>2</v>
      </c>
      <c r="F662">
        <v>2</v>
      </c>
      <c r="G662" t="s">
        <v>27</v>
      </c>
      <c r="H662">
        <v>1</v>
      </c>
      <c r="I662" s="8">
        <v>0.625</v>
      </c>
      <c r="J662" s="8">
        <v>0.79166666666666663</v>
      </c>
      <c r="K662" s="2">
        <f t="shared" si="9"/>
        <v>3.9999999999999991</v>
      </c>
      <c r="L662" t="s">
        <v>25</v>
      </c>
      <c r="M662" t="s">
        <v>56</v>
      </c>
      <c r="N662" t="s">
        <v>38</v>
      </c>
      <c r="O662" s="3">
        <v>0</v>
      </c>
      <c r="P662" s="4">
        <v>0</v>
      </c>
      <c r="Q662" s="5">
        <v>0</v>
      </c>
      <c r="R662" s="6">
        <v>0</v>
      </c>
      <c r="S662" s="3">
        <v>0</v>
      </c>
      <c r="T662" s="4">
        <v>0</v>
      </c>
      <c r="U662" s="5">
        <v>0</v>
      </c>
      <c r="V662" s="6">
        <v>0</v>
      </c>
      <c r="W662" t="s">
        <v>206</v>
      </c>
    </row>
    <row r="663" spans="1:25" x14ac:dyDescent="0.3">
      <c r="A663" t="s">
        <v>25</v>
      </c>
      <c r="B663" s="7">
        <v>45206</v>
      </c>
      <c r="C663" t="s">
        <v>26</v>
      </c>
      <c r="D663">
        <v>1</v>
      </c>
      <c r="E663">
        <v>3</v>
      </c>
      <c r="F663">
        <v>6</v>
      </c>
      <c r="G663" t="s">
        <v>27</v>
      </c>
      <c r="H663">
        <v>1</v>
      </c>
      <c r="I663" s="8">
        <v>0.25</v>
      </c>
      <c r="J663" s="8">
        <v>0.33749999999999997</v>
      </c>
      <c r="K663" s="2">
        <f t="shared" si="9"/>
        <v>2.0999999999999992</v>
      </c>
      <c r="L663" t="s">
        <v>25</v>
      </c>
      <c r="M663" t="s">
        <v>207</v>
      </c>
      <c r="N663" t="s">
        <v>38</v>
      </c>
      <c r="O663" s="3">
        <v>0</v>
      </c>
      <c r="P663" s="4">
        <v>0</v>
      </c>
      <c r="Q663" s="5">
        <v>0</v>
      </c>
      <c r="R663" s="6">
        <v>0</v>
      </c>
      <c r="S663" s="3">
        <v>0</v>
      </c>
      <c r="T663" s="4">
        <v>0</v>
      </c>
      <c r="U663" s="5">
        <v>20</v>
      </c>
      <c r="V663" s="6">
        <v>0</v>
      </c>
    </row>
    <row r="664" spans="1:25" x14ac:dyDescent="0.3">
      <c r="A664" t="s">
        <v>25</v>
      </c>
      <c r="B664" s="7">
        <v>45206</v>
      </c>
      <c r="C664" t="s">
        <v>26</v>
      </c>
      <c r="D664">
        <v>2</v>
      </c>
      <c r="E664">
        <v>3</v>
      </c>
      <c r="F664">
        <v>6</v>
      </c>
      <c r="G664" t="s">
        <v>27</v>
      </c>
      <c r="H664">
        <v>1</v>
      </c>
      <c r="I664" s="8">
        <v>0.29166666666666669</v>
      </c>
      <c r="J664" s="8">
        <v>0.34375</v>
      </c>
      <c r="K664" s="2">
        <f t="shared" si="9"/>
        <v>1.2499999999999996</v>
      </c>
      <c r="L664" t="s">
        <v>28</v>
      </c>
      <c r="M664" t="s">
        <v>51</v>
      </c>
      <c r="N664" t="s">
        <v>38</v>
      </c>
      <c r="O664" s="3">
        <v>0</v>
      </c>
      <c r="P664" s="4">
        <v>1</v>
      </c>
      <c r="Q664" s="5">
        <v>0</v>
      </c>
      <c r="R664" s="6">
        <v>0</v>
      </c>
      <c r="S664" s="3">
        <v>0</v>
      </c>
      <c r="T664" s="4">
        <v>0</v>
      </c>
      <c r="U664" s="5">
        <v>3</v>
      </c>
      <c r="V664" s="6">
        <v>0</v>
      </c>
      <c r="Y664" t="s">
        <v>208</v>
      </c>
    </row>
    <row r="665" spans="1:25" x14ac:dyDescent="0.3">
      <c r="A665" t="s">
        <v>25</v>
      </c>
      <c r="B665" s="7">
        <v>45206</v>
      </c>
      <c r="C665" t="s">
        <v>26</v>
      </c>
      <c r="D665">
        <v>3</v>
      </c>
      <c r="E665">
        <v>2</v>
      </c>
      <c r="F665">
        <v>4</v>
      </c>
      <c r="G665" t="s">
        <v>27</v>
      </c>
      <c r="H665">
        <v>2</v>
      </c>
      <c r="I665" s="8">
        <v>0.38541666666666669</v>
      </c>
      <c r="J665" s="8">
        <v>0.41666666666666669</v>
      </c>
      <c r="K665" s="2">
        <f t="shared" si="9"/>
        <v>1.5</v>
      </c>
      <c r="L665" t="s">
        <v>28</v>
      </c>
      <c r="M665" t="s">
        <v>73</v>
      </c>
      <c r="N665" t="s">
        <v>27</v>
      </c>
      <c r="O665" s="3">
        <v>0</v>
      </c>
      <c r="P665" s="4">
        <v>1</v>
      </c>
      <c r="Q665" s="5">
        <v>0</v>
      </c>
      <c r="R665" s="6">
        <v>0</v>
      </c>
      <c r="S665" s="3">
        <v>0</v>
      </c>
      <c r="T665" s="4">
        <v>0</v>
      </c>
      <c r="U665" s="5">
        <v>0</v>
      </c>
      <c r="V665" s="6">
        <v>0</v>
      </c>
    </row>
    <row r="666" spans="1:25" x14ac:dyDescent="0.3">
      <c r="A666" t="s">
        <v>25</v>
      </c>
      <c r="B666" s="7">
        <v>45206</v>
      </c>
      <c r="C666" t="s">
        <v>26</v>
      </c>
      <c r="D666">
        <v>4</v>
      </c>
      <c r="E666">
        <v>2</v>
      </c>
      <c r="F666">
        <v>2</v>
      </c>
      <c r="G666" t="s">
        <v>27</v>
      </c>
      <c r="H666">
        <v>1</v>
      </c>
      <c r="I666" s="8">
        <v>0.23611111111111113</v>
      </c>
      <c r="J666" s="8">
        <v>0.4513888888888889</v>
      </c>
      <c r="K666" s="2">
        <f t="shared" si="9"/>
        <v>5.1666666666666661</v>
      </c>
      <c r="L666" t="s">
        <v>25</v>
      </c>
      <c r="M666" t="s">
        <v>56</v>
      </c>
      <c r="N666" t="s">
        <v>38</v>
      </c>
      <c r="O666" s="3">
        <v>0</v>
      </c>
      <c r="P666" s="4">
        <v>2</v>
      </c>
      <c r="Q666" s="5">
        <v>0</v>
      </c>
      <c r="R666" s="6">
        <v>0</v>
      </c>
      <c r="S666" s="3">
        <v>0</v>
      </c>
      <c r="T666" s="4">
        <v>3</v>
      </c>
      <c r="U666" s="5">
        <v>1</v>
      </c>
      <c r="V666" s="6">
        <v>0</v>
      </c>
      <c r="Y666" t="s">
        <v>209</v>
      </c>
    </row>
    <row r="667" spans="1:25" x14ac:dyDescent="0.3">
      <c r="A667" t="s">
        <v>25</v>
      </c>
      <c r="B667" s="7">
        <v>45206</v>
      </c>
      <c r="C667" t="s">
        <v>26</v>
      </c>
      <c r="D667">
        <v>5</v>
      </c>
      <c r="E667">
        <v>2</v>
      </c>
      <c r="F667">
        <v>2</v>
      </c>
      <c r="G667" t="s">
        <v>27</v>
      </c>
      <c r="H667">
        <v>2</v>
      </c>
      <c r="I667" s="8">
        <v>0.29166666666666669</v>
      </c>
      <c r="J667" s="8">
        <v>0.46458333333333335</v>
      </c>
      <c r="K667" s="2">
        <f t="shared" si="9"/>
        <v>8.3000000000000007</v>
      </c>
      <c r="L667" t="s">
        <v>25</v>
      </c>
      <c r="M667" t="s">
        <v>56</v>
      </c>
      <c r="N667" t="s">
        <v>38</v>
      </c>
      <c r="O667" s="3">
        <v>0</v>
      </c>
      <c r="P667" s="4">
        <v>1</v>
      </c>
      <c r="Q667" s="5">
        <v>0</v>
      </c>
      <c r="R667" s="6">
        <v>0</v>
      </c>
      <c r="S667" s="3">
        <v>0</v>
      </c>
      <c r="T667" s="4">
        <v>0</v>
      </c>
      <c r="U667" s="5">
        <v>0</v>
      </c>
      <c r="V667" s="6">
        <v>0</v>
      </c>
    </row>
    <row r="668" spans="1:25" x14ac:dyDescent="0.3">
      <c r="A668" t="s">
        <v>25</v>
      </c>
      <c r="B668" s="7">
        <v>45206</v>
      </c>
      <c r="C668" t="s">
        <v>26</v>
      </c>
      <c r="D668">
        <v>6</v>
      </c>
      <c r="E668">
        <v>2</v>
      </c>
      <c r="F668">
        <v>1</v>
      </c>
      <c r="G668" t="s">
        <v>27</v>
      </c>
      <c r="H668">
        <v>1</v>
      </c>
      <c r="I668" s="8">
        <v>0.3527777777777778</v>
      </c>
      <c r="J668" s="8">
        <v>0.4777777777777778</v>
      </c>
      <c r="K668" s="2">
        <f t="shared" si="9"/>
        <v>3</v>
      </c>
      <c r="L668" t="s">
        <v>25</v>
      </c>
      <c r="M668" t="s">
        <v>56</v>
      </c>
      <c r="N668" t="s">
        <v>38</v>
      </c>
      <c r="O668" s="3">
        <v>0</v>
      </c>
      <c r="P668" s="4">
        <v>0</v>
      </c>
      <c r="Q668" s="5">
        <v>0</v>
      </c>
      <c r="R668" s="6">
        <v>0</v>
      </c>
      <c r="S668" s="3">
        <v>0</v>
      </c>
      <c r="T668" s="4">
        <v>0</v>
      </c>
      <c r="U668" s="5">
        <v>0</v>
      </c>
      <c r="V668" s="6">
        <v>0</v>
      </c>
    </row>
    <row r="669" spans="1:25" x14ac:dyDescent="0.3">
      <c r="A669" t="s">
        <v>25</v>
      </c>
      <c r="B669" s="7">
        <v>45206</v>
      </c>
      <c r="C669" t="s">
        <v>42</v>
      </c>
      <c r="D669">
        <v>7</v>
      </c>
      <c r="E669">
        <v>1</v>
      </c>
      <c r="F669">
        <v>1</v>
      </c>
      <c r="G669" t="s">
        <v>35</v>
      </c>
      <c r="H669">
        <v>3</v>
      </c>
      <c r="I669" s="8">
        <v>0.66666666666666663</v>
      </c>
      <c r="J669" s="8">
        <v>0.70833333333333337</v>
      </c>
      <c r="K669" s="2">
        <f t="shared" si="9"/>
        <v>3.0000000000000053</v>
      </c>
      <c r="L669" t="s">
        <v>25</v>
      </c>
      <c r="M669" t="s">
        <v>99</v>
      </c>
      <c r="N669" t="s">
        <v>38</v>
      </c>
      <c r="O669" s="3">
        <v>0</v>
      </c>
      <c r="P669" s="4">
        <v>0</v>
      </c>
      <c r="Q669" s="5">
        <v>0</v>
      </c>
      <c r="R669" s="6">
        <v>0</v>
      </c>
      <c r="S669" s="3">
        <v>0</v>
      </c>
      <c r="T669" s="4">
        <v>0</v>
      </c>
      <c r="U669" s="5">
        <v>0</v>
      </c>
      <c r="V669" s="6">
        <v>0</v>
      </c>
    </row>
    <row r="670" spans="1:25" x14ac:dyDescent="0.3">
      <c r="A670" t="s">
        <v>25</v>
      </c>
      <c r="B670" s="7">
        <v>45206</v>
      </c>
      <c r="C670" t="s">
        <v>42</v>
      </c>
      <c r="D670">
        <v>8</v>
      </c>
      <c r="E670">
        <v>1</v>
      </c>
      <c r="F670">
        <v>1</v>
      </c>
      <c r="G670" t="s">
        <v>35</v>
      </c>
      <c r="H670">
        <v>1</v>
      </c>
      <c r="I670" s="8">
        <v>0.5</v>
      </c>
      <c r="J670" s="8">
        <v>0.71875</v>
      </c>
      <c r="K670" s="2">
        <f t="shared" si="9"/>
        <v>5.25</v>
      </c>
      <c r="L670" t="s">
        <v>25</v>
      </c>
      <c r="M670" t="s">
        <v>162</v>
      </c>
      <c r="N670" t="s">
        <v>38</v>
      </c>
      <c r="O670" s="3">
        <v>0</v>
      </c>
      <c r="P670" s="4">
        <v>0</v>
      </c>
      <c r="Q670" s="5">
        <v>0</v>
      </c>
      <c r="R670" s="6">
        <v>0</v>
      </c>
      <c r="S670" s="3">
        <v>0</v>
      </c>
      <c r="T670" s="4">
        <v>0</v>
      </c>
      <c r="U670" s="5">
        <v>0</v>
      </c>
      <c r="V670" s="6">
        <v>0</v>
      </c>
    </row>
    <row r="671" spans="1:25" x14ac:dyDescent="0.3">
      <c r="A671" t="s">
        <v>25</v>
      </c>
      <c r="B671" s="7">
        <v>45206</v>
      </c>
      <c r="C671" t="s">
        <v>42</v>
      </c>
      <c r="D671">
        <v>9</v>
      </c>
      <c r="E671">
        <v>1</v>
      </c>
      <c r="F671">
        <v>1</v>
      </c>
      <c r="G671" t="s">
        <v>35</v>
      </c>
      <c r="H671">
        <v>1</v>
      </c>
      <c r="I671" s="8">
        <v>0.625</v>
      </c>
      <c r="J671" s="8">
        <v>0.74791666666666667</v>
      </c>
      <c r="K671" s="2">
        <f t="shared" si="9"/>
        <v>2.95</v>
      </c>
      <c r="L671" t="s">
        <v>25</v>
      </c>
      <c r="M671" t="s">
        <v>112</v>
      </c>
      <c r="N671" t="s">
        <v>38</v>
      </c>
      <c r="O671" s="3">
        <v>0</v>
      </c>
      <c r="P671" s="4">
        <v>1</v>
      </c>
      <c r="Q671" s="5">
        <v>0</v>
      </c>
      <c r="R671" s="6">
        <v>0</v>
      </c>
      <c r="S671" s="3">
        <v>0</v>
      </c>
      <c r="T671" s="4">
        <v>0</v>
      </c>
      <c r="U671" s="5">
        <v>0</v>
      </c>
      <c r="V671" s="6">
        <v>0</v>
      </c>
    </row>
    <row r="672" spans="1:25" x14ac:dyDescent="0.3">
      <c r="A672" t="s">
        <v>25</v>
      </c>
      <c r="B672" s="7">
        <v>45206</v>
      </c>
      <c r="C672" t="s">
        <v>42</v>
      </c>
      <c r="D672">
        <v>10</v>
      </c>
      <c r="E672">
        <v>1</v>
      </c>
      <c r="F672">
        <v>1</v>
      </c>
      <c r="G672" t="s">
        <v>35</v>
      </c>
      <c r="H672">
        <v>3</v>
      </c>
      <c r="I672" s="8">
        <v>0.39583333333333331</v>
      </c>
      <c r="J672" s="8">
        <v>0.76388888888888884</v>
      </c>
      <c r="K672" s="2">
        <f t="shared" si="9"/>
        <v>26.499999999999996</v>
      </c>
      <c r="L672" t="s">
        <v>25</v>
      </c>
      <c r="M672" t="s">
        <v>51</v>
      </c>
      <c r="N672" t="s">
        <v>38</v>
      </c>
      <c r="O672" s="3">
        <v>0</v>
      </c>
      <c r="P672" s="4">
        <v>2</v>
      </c>
      <c r="Q672" s="5">
        <v>0</v>
      </c>
      <c r="R672" s="6">
        <v>0</v>
      </c>
      <c r="S672" s="3">
        <v>0</v>
      </c>
      <c r="T672" s="4">
        <v>0</v>
      </c>
      <c r="U672" s="5">
        <v>0</v>
      </c>
      <c r="V672" s="6">
        <v>0</v>
      </c>
    </row>
    <row r="673" spans="1:25" x14ac:dyDescent="0.3">
      <c r="A673" t="s">
        <v>25</v>
      </c>
      <c r="B673" s="7">
        <v>45206</v>
      </c>
      <c r="C673" t="s">
        <v>42</v>
      </c>
      <c r="D673">
        <v>11</v>
      </c>
      <c r="E673">
        <v>1</v>
      </c>
      <c r="F673">
        <v>1</v>
      </c>
      <c r="G673" t="s">
        <v>35</v>
      </c>
      <c r="H673">
        <v>3</v>
      </c>
      <c r="I673" s="8">
        <v>0.54166666666666663</v>
      </c>
      <c r="J673" s="8">
        <v>0.76388888888888884</v>
      </c>
      <c r="K673" s="2">
        <f t="shared" si="9"/>
        <v>16</v>
      </c>
      <c r="L673" t="s">
        <v>25</v>
      </c>
      <c r="M673" t="s">
        <v>29</v>
      </c>
      <c r="N673" t="s">
        <v>38</v>
      </c>
      <c r="O673" s="3">
        <v>0</v>
      </c>
      <c r="P673" s="4">
        <v>0</v>
      </c>
      <c r="Q673" s="5">
        <v>0</v>
      </c>
      <c r="R673" s="6">
        <v>0</v>
      </c>
      <c r="S673" s="3">
        <v>0</v>
      </c>
      <c r="T673" s="4">
        <v>0</v>
      </c>
      <c r="U673" s="5">
        <v>0</v>
      </c>
      <c r="V673" s="6">
        <v>0</v>
      </c>
    </row>
    <row r="674" spans="1:25" x14ac:dyDescent="0.3">
      <c r="A674" t="s">
        <v>25</v>
      </c>
      <c r="B674" s="7">
        <v>45210</v>
      </c>
      <c r="C674" t="s">
        <v>26</v>
      </c>
      <c r="D674">
        <v>1</v>
      </c>
      <c r="E674">
        <v>1</v>
      </c>
      <c r="F674">
        <v>4</v>
      </c>
      <c r="G674" t="s">
        <v>27</v>
      </c>
      <c r="H674">
        <v>1</v>
      </c>
      <c r="I674" s="8">
        <v>0.31944444444444448</v>
      </c>
      <c r="J674" s="8">
        <v>0.33333333333333331</v>
      </c>
      <c r="K674" s="2">
        <f t="shared" si="9"/>
        <v>0.33333333333333215</v>
      </c>
      <c r="L674" t="s">
        <v>28</v>
      </c>
      <c r="M674" t="s">
        <v>56</v>
      </c>
      <c r="N674" t="s">
        <v>38</v>
      </c>
      <c r="O674" s="3">
        <v>0</v>
      </c>
      <c r="P674" s="4">
        <v>0</v>
      </c>
      <c r="Q674" s="5">
        <v>0</v>
      </c>
      <c r="R674" s="6">
        <v>0</v>
      </c>
      <c r="S674" s="3">
        <v>0</v>
      </c>
      <c r="T674" s="4">
        <v>0</v>
      </c>
      <c r="U674" s="5">
        <v>0</v>
      </c>
      <c r="V674" s="6">
        <v>0</v>
      </c>
    </row>
    <row r="675" spans="1:25" x14ac:dyDescent="0.3">
      <c r="A675" t="s">
        <v>25</v>
      </c>
      <c r="B675" s="7">
        <v>45210</v>
      </c>
      <c r="C675" t="s">
        <v>26</v>
      </c>
      <c r="D675">
        <v>2</v>
      </c>
      <c r="E675">
        <v>2</v>
      </c>
      <c r="F675">
        <v>1</v>
      </c>
      <c r="G675" t="s">
        <v>27</v>
      </c>
      <c r="H675">
        <v>1</v>
      </c>
      <c r="I675" s="8">
        <v>0.31944444444444448</v>
      </c>
      <c r="J675" s="8">
        <v>0.34027777777777773</v>
      </c>
      <c r="K675" s="2">
        <f t="shared" si="9"/>
        <v>0.49999999999999822</v>
      </c>
      <c r="L675" t="s">
        <v>28</v>
      </c>
      <c r="M675" t="s">
        <v>56</v>
      </c>
      <c r="N675" t="s">
        <v>38</v>
      </c>
      <c r="O675" s="3">
        <v>0</v>
      </c>
      <c r="P675" s="4">
        <v>1</v>
      </c>
      <c r="Q675" s="5">
        <v>0</v>
      </c>
      <c r="R675" s="6">
        <v>0</v>
      </c>
      <c r="S675" s="3">
        <v>0</v>
      </c>
      <c r="T675" s="4">
        <v>0</v>
      </c>
      <c r="U675" s="5">
        <v>0</v>
      </c>
      <c r="V675" s="6">
        <v>0</v>
      </c>
    </row>
    <row r="676" spans="1:25" x14ac:dyDescent="0.3">
      <c r="A676" t="s">
        <v>25</v>
      </c>
      <c r="B676" s="7">
        <v>45210</v>
      </c>
      <c r="C676" t="s">
        <v>26</v>
      </c>
      <c r="D676">
        <v>3</v>
      </c>
      <c r="E676">
        <v>2</v>
      </c>
      <c r="F676">
        <v>1</v>
      </c>
      <c r="G676" t="s">
        <v>27</v>
      </c>
      <c r="H676">
        <v>1</v>
      </c>
      <c r="I676" s="8">
        <v>0.29166666666666669</v>
      </c>
      <c r="J676" s="8">
        <v>0.3430555555555555</v>
      </c>
      <c r="K676" s="2">
        <f t="shared" si="9"/>
        <v>1.2333333333333316</v>
      </c>
      <c r="L676" t="s">
        <v>28</v>
      </c>
      <c r="M676" t="s">
        <v>56</v>
      </c>
      <c r="N676" t="s">
        <v>38</v>
      </c>
      <c r="O676" s="3">
        <v>0</v>
      </c>
      <c r="P676" s="4">
        <v>0</v>
      </c>
      <c r="Q676" s="5">
        <v>0</v>
      </c>
      <c r="R676" s="6">
        <v>0</v>
      </c>
      <c r="S676" s="3">
        <v>0</v>
      </c>
      <c r="T676" s="4">
        <v>0</v>
      </c>
      <c r="U676" s="5">
        <v>0</v>
      </c>
      <c r="V676" s="6">
        <v>0</v>
      </c>
    </row>
    <row r="677" spans="1:25" x14ac:dyDescent="0.3">
      <c r="A677" t="s">
        <v>25</v>
      </c>
      <c r="B677" s="7">
        <v>45210</v>
      </c>
      <c r="C677" t="s">
        <v>26</v>
      </c>
      <c r="D677">
        <v>4</v>
      </c>
      <c r="E677">
        <v>2</v>
      </c>
      <c r="F677">
        <v>1</v>
      </c>
      <c r="G677" t="s">
        <v>27</v>
      </c>
      <c r="H677">
        <v>1</v>
      </c>
      <c r="I677" s="8">
        <v>0.3125</v>
      </c>
      <c r="J677" s="8">
        <v>0.34375</v>
      </c>
      <c r="K677" s="2">
        <f t="shared" si="9"/>
        <v>0.75</v>
      </c>
      <c r="L677" t="s">
        <v>28</v>
      </c>
      <c r="M677" t="s">
        <v>56</v>
      </c>
      <c r="N677" t="s">
        <v>38</v>
      </c>
      <c r="O677" s="3">
        <v>0</v>
      </c>
      <c r="P677" s="4">
        <v>1</v>
      </c>
      <c r="Q677" s="5">
        <v>0</v>
      </c>
      <c r="R677" s="6">
        <v>0</v>
      </c>
      <c r="S677" s="3">
        <v>0</v>
      </c>
      <c r="T677" s="4">
        <v>0</v>
      </c>
      <c r="U677" s="5">
        <v>0</v>
      </c>
      <c r="V677" s="6">
        <v>0</v>
      </c>
      <c r="Y677" t="s">
        <v>208</v>
      </c>
    </row>
    <row r="678" spans="1:25" x14ac:dyDescent="0.3">
      <c r="A678" t="s">
        <v>25</v>
      </c>
      <c r="B678" s="7">
        <v>45210</v>
      </c>
      <c r="C678" t="s">
        <v>26</v>
      </c>
      <c r="D678">
        <v>5</v>
      </c>
      <c r="E678">
        <v>2</v>
      </c>
      <c r="F678">
        <v>1</v>
      </c>
      <c r="G678" t="s">
        <v>27</v>
      </c>
      <c r="H678">
        <v>1</v>
      </c>
      <c r="I678" s="8">
        <v>0.29166666666666669</v>
      </c>
      <c r="J678" s="8">
        <v>0.34375</v>
      </c>
      <c r="K678" s="2">
        <f t="shared" si="9"/>
        <v>1.2499999999999996</v>
      </c>
      <c r="L678" t="s">
        <v>28</v>
      </c>
      <c r="M678" t="s">
        <v>56</v>
      </c>
      <c r="N678" t="s">
        <v>38</v>
      </c>
      <c r="O678" s="3">
        <v>0</v>
      </c>
      <c r="P678" s="4">
        <v>0</v>
      </c>
      <c r="Q678" s="5">
        <v>0</v>
      </c>
      <c r="R678" s="6">
        <v>0</v>
      </c>
      <c r="S678" s="3">
        <v>0</v>
      </c>
      <c r="T678" s="4">
        <v>0</v>
      </c>
      <c r="U678" s="5">
        <v>0</v>
      </c>
      <c r="V678" s="6">
        <v>0</v>
      </c>
    </row>
    <row r="679" spans="1:25" x14ac:dyDescent="0.3">
      <c r="A679" t="s">
        <v>25</v>
      </c>
      <c r="B679" s="7">
        <v>45210</v>
      </c>
      <c r="C679" t="s">
        <v>26</v>
      </c>
      <c r="D679">
        <v>6</v>
      </c>
      <c r="E679">
        <v>2</v>
      </c>
      <c r="F679">
        <v>2</v>
      </c>
      <c r="G679" t="s">
        <v>27</v>
      </c>
      <c r="H679">
        <v>1</v>
      </c>
      <c r="I679" s="8">
        <v>0.29166666666666669</v>
      </c>
      <c r="J679" s="8">
        <v>0.35416666666666669</v>
      </c>
      <c r="K679" s="2">
        <f t="shared" si="9"/>
        <v>1.5</v>
      </c>
      <c r="L679" t="s">
        <v>28</v>
      </c>
      <c r="M679" t="s">
        <v>56</v>
      </c>
      <c r="N679" t="s">
        <v>38</v>
      </c>
      <c r="O679" s="3">
        <v>0</v>
      </c>
      <c r="P679" s="4">
        <v>2</v>
      </c>
      <c r="Q679" s="5">
        <v>0</v>
      </c>
      <c r="R679" s="6">
        <v>0</v>
      </c>
      <c r="S679" s="3">
        <v>0</v>
      </c>
      <c r="T679" s="4">
        <v>0</v>
      </c>
      <c r="U679" s="5">
        <v>0</v>
      </c>
      <c r="V679" s="6">
        <v>0</v>
      </c>
      <c r="Y679" t="s">
        <v>210</v>
      </c>
    </row>
    <row r="680" spans="1:25" x14ac:dyDescent="0.3">
      <c r="A680" t="s">
        <v>25</v>
      </c>
      <c r="B680" s="7">
        <v>45210</v>
      </c>
      <c r="C680" t="s">
        <v>26</v>
      </c>
      <c r="D680">
        <v>7</v>
      </c>
      <c r="E680">
        <v>2</v>
      </c>
      <c r="F680">
        <v>2</v>
      </c>
      <c r="G680" t="s">
        <v>27</v>
      </c>
      <c r="H680">
        <v>1</v>
      </c>
      <c r="I680" s="8">
        <v>0.32291666666666669</v>
      </c>
      <c r="J680" s="8">
        <v>0.35416666666666669</v>
      </c>
      <c r="K680" s="2">
        <f t="shared" si="9"/>
        <v>0.75</v>
      </c>
      <c r="L680" t="s">
        <v>28</v>
      </c>
      <c r="M680" t="s">
        <v>56</v>
      </c>
      <c r="N680" t="s">
        <v>38</v>
      </c>
      <c r="O680" s="3">
        <v>0</v>
      </c>
      <c r="P680" s="4">
        <v>1</v>
      </c>
      <c r="Q680" s="5">
        <v>0</v>
      </c>
      <c r="R680" s="6">
        <v>0</v>
      </c>
      <c r="S680" s="3">
        <v>0</v>
      </c>
      <c r="T680" s="4">
        <v>0</v>
      </c>
      <c r="U680" s="5">
        <v>0</v>
      </c>
      <c r="V680" s="6">
        <v>0</v>
      </c>
    </row>
    <row r="681" spans="1:25" x14ac:dyDescent="0.3">
      <c r="A681" t="s">
        <v>25</v>
      </c>
      <c r="B681" s="7">
        <v>45210</v>
      </c>
      <c r="C681" t="s">
        <v>26</v>
      </c>
      <c r="D681">
        <v>8</v>
      </c>
      <c r="E681">
        <v>2</v>
      </c>
      <c r="F681">
        <v>2</v>
      </c>
      <c r="G681" t="s">
        <v>27</v>
      </c>
      <c r="H681">
        <v>1</v>
      </c>
      <c r="I681" s="8">
        <v>0.32291666666666669</v>
      </c>
      <c r="J681" s="8">
        <v>0.35416666666666669</v>
      </c>
      <c r="K681" s="2">
        <f t="shared" si="9"/>
        <v>0.75</v>
      </c>
      <c r="L681" t="s">
        <v>28</v>
      </c>
      <c r="M681" t="s">
        <v>56</v>
      </c>
      <c r="N681" t="s">
        <v>38</v>
      </c>
      <c r="O681" s="3">
        <v>0</v>
      </c>
      <c r="P681" s="4">
        <v>1</v>
      </c>
      <c r="Q681" s="5">
        <v>0</v>
      </c>
      <c r="R681" s="6">
        <v>0</v>
      </c>
      <c r="S681" s="3">
        <v>0</v>
      </c>
      <c r="T681" s="4">
        <v>0</v>
      </c>
      <c r="U681" s="5">
        <v>0</v>
      </c>
      <c r="V681" s="6">
        <v>0</v>
      </c>
    </row>
    <row r="682" spans="1:25" x14ac:dyDescent="0.3">
      <c r="A682" t="s">
        <v>25</v>
      </c>
      <c r="B682" s="7">
        <v>45210</v>
      </c>
      <c r="C682" t="s">
        <v>26</v>
      </c>
      <c r="D682">
        <v>9</v>
      </c>
      <c r="E682">
        <v>2</v>
      </c>
      <c r="F682">
        <v>2</v>
      </c>
      <c r="G682" t="s">
        <v>27</v>
      </c>
      <c r="H682">
        <v>1</v>
      </c>
      <c r="I682" s="8">
        <v>0.29166666666666669</v>
      </c>
      <c r="J682" s="8">
        <v>0.375</v>
      </c>
      <c r="K682" s="2">
        <f t="shared" si="9"/>
        <v>1.9999999999999996</v>
      </c>
      <c r="L682" t="s">
        <v>25</v>
      </c>
      <c r="M682" t="s">
        <v>56</v>
      </c>
      <c r="N682" t="s">
        <v>38</v>
      </c>
      <c r="O682" s="3">
        <v>0</v>
      </c>
      <c r="P682" s="4">
        <v>1</v>
      </c>
      <c r="Q682" s="5">
        <v>0</v>
      </c>
      <c r="R682" s="6">
        <v>0</v>
      </c>
      <c r="S682" s="3">
        <v>0</v>
      </c>
      <c r="T682" s="4">
        <v>0</v>
      </c>
      <c r="U682" s="5">
        <v>0</v>
      </c>
      <c r="V682" s="6">
        <v>0</v>
      </c>
    </row>
    <row r="683" spans="1:25" x14ac:dyDescent="0.3">
      <c r="A683" t="s">
        <v>25</v>
      </c>
      <c r="B683" s="7">
        <v>45210</v>
      </c>
      <c r="C683" t="s">
        <v>26</v>
      </c>
      <c r="D683">
        <v>10</v>
      </c>
      <c r="E683">
        <v>2</v>
      </c>
      <c r="F683">
        <v>2</v>
      </c>
      <c r="G683" t="s">
        <v>27</v>
      </c>
      <c r="H683">
        <v>3</v>
      </c>
      <c r="I683" s="8">
        <v>0.29166666666666669</v>
      </c>
      <c r="J683" s="8">
        <v>0.375</v>
      </c>
      <c r="K683" s="2">
        <f t="shared" si="9"/>
        <v>5.9999999999999982</v>
      </c>
      <c r="L683" t="s">
        <v>28</v>
      </c>
      <c r="M683" t="s">
        <v>56</v>
      </c>
      <c r="N683" t="s">
        <v>38</v>
      </c>
      <c r="O683" s="3">
        <v>0</v>
      </c>
      <c r="P683" s="4">
        <v>1</v>
      </c>
      <c r="Q683" s="5">
        <v>0</v>
      </c>
      <c r="R683" s="6">
        <v>0</v>
      </c>
      <c r="S683" s="3">
        <v>0</v>
      </c>
      <c r="T683" s="4">
        <v>0</v>
      </c>
      <c r="U683" s="5">
        <v>0</v>
      </c>
      <c r="V683" s="6">
        <v>0</v>
      </c>
    </row>
    <row r="684" spans="1:25" x14ac:dyDescent="0.3">
      <c r="A684" t="s">
        <v>25</v>
      </c>
      <c r="B684" s="7">
        <v>45210</v>
      </c>
      <c r="C684" t="s">
        <v>26</v>
      </c>
      <c r="D684">
        <v>11</v>
      </c>
      <c r="E684">
        <v>2</v>
      </c>
      <c r="F684">
        <v>2</v>
      </c>
      <c r="G684" t="s">
        <v>27</v>
      </c>
      <c r="H684">
        <v>1</v>
      </c>
      <c r="I684" s="8">
        <v>0.32291666666666669</v>
      </c>
      <c r="J684" s="8">
        <v>0.38541666666666669</v>
      </c>
      <c r="K684" s="2">
        <f t="shared" si="9"/>
        <v>1.5</v>
      </c>
      <c r="L684" t="s">
        <v>28</v>
      </c>
      <c r="M684" t="s">
        <v>29</v>
      </c>
      <c r="N684" t="s">
        <v>38</v>
      </c>
      <c r="O684" s="3">
        <v>0</v>
      </c>
      <c r="P684" s="4">
        <v>0</v>
      </c>
      <c r="Q684" s="5">
        <v>0</v>
      </c>
      <c r="R684" s="6">
        <v>0</v>
      </c>
      <c r="S684" s="3">
        <v>0</v>
      </c>
      <c r="T684" s="4">
        <v>0</v>
      </c>
      <c r="U684" s="5">
        <v>0</v>
      </c>
      <c r="V684" s="6">
        <v>0</v>
      </c>
    </row>
    <row r="685" spans="1:25" x14ac:dyDescent="0.3">
      <c r="A685" t="s">
        <v>25</v>
      </c>
      <c r="B685" s="7">
        <v>45210</v>
      </c>
      <c r="C685" t="s">
        <v>26</v>
      </c>
      <c r="D685">
        <v>12</v>
      </c>
      <c r="E685">
        <v>2</v>
      </c>
      <c r="F685">
        <v>2</v>
      </c>
      <c r="G685" t="s">
        <v>27</v>
      </c>
      <c r="H685">
        <v>1</v>
      </c>
      <c r="I685" s="8">
        <v>0.36458333333333331</v>
      </c>
      <c r="J685" s="8">
        <v>0.39583333333333331</v>
      </c>
      <c r="K685" s="2">
        <f t="shared" si="9"/>
        <v>0.75</v>
      </c>
      <c r="L685" t="s">
        <v>28</v>
      </c>
      <c r="M685" t="s">
        <v>56</v>
      </c>
      <c r="N685" t="s">
        <v>38</v>
      </c>
      <c r="O685" s="3">
        <v>0</v>
      </c>
      <c r="P685" s="4">
        <v>0</v>
      </c>
      <c r="Q685" s="5">
        <v>0</v>
      </c>
      <c r="R685" s="6">
        <v>0</v>
      </c>
      <c r="S685" s="3">
        <v>0</v>
      </c>
      <c r="T685" s="4">
        <v>0</v>
      </c>
      <c r="U685" s="5">
        <v>0</v>
      </c>
      <c r="V685" s="6">
        <v>0</v>
      </c>
    </row>
    <row r="686" spans="1:25" x14ac:dyDescent="0.3">
      <c r="A686" t="s">
        <v>25</v>
      </c>
      <c r="B686" s="7">
        <v>45210</v>
      </c>
      <c r="C686" t="s">
        <v>26</v>
      </c>
      <c r="D686">
        <v>13</v>
      </c>
      <c r="E686">
        <v>2</v>
      </c>
      <c r="F686">
        <v>2</v>
      </c>
      <c r="G686" t="s">
        <v>27</v>
      </c>
      <c r="H686">
        <v>2</v>
      </c>
      <c r="I686" s="8">
        <v>0.27083333333333331</v>
      </c>
      <c r="J686" s="8">
        <v>0.41666666666666669</v>
      </c>
      <c r="K686" s="2">
        <f t="shared" si="9"/>
        <v>7.0000000000000018</v>
      </c>
      <c r="L686" t="s">
        <v>25</v>
      </c>
      <c r="M686" t="s">
        <v>56</v>
      </c>
      <c r="N686" t="s">
        <v>38</v>
      </c>
      <c r="O686" s="3">
        <v>0</v>
      </c>
      <c r="P686" s="4">
        <v>0</v>
      </c>
      <c r="Q686" s="5">
        <v>0</v>
      </c>
      <c r="R686" s="6">
        <v>0</v>
      </c>
      <c r="S686" s="3">
        <v>0</v>
      </c>
      <c r="T686" s="4">
        <v>1</v>
      </c>
      <c r="U686" s="5">
        <v>0</v>
      </c>
      <c r="V686" s="6">
        <v>0</v>
      </c>
    </row>
    <row r="687" spans="1:25" x14ac:dyDescent="0.3">
      <c r="A687" t="s">
        <v>25</v>
      </c>
      <c r="B687" s="7">
        <v>45210</v>
      </c>
      <c r="C687" t="s">
        <v>26</v>
      </c>
      <c r="D687">
        <v>14</v>
      </c>
      <c r="E687">
        <v>2</v>
      </c>
      <c r="F687">
        <v>2</v>
      </c>
      <c r="G687" t="s">
        <v>27</v>
      </c>
      <c r="H687">
        <v>2</v>
      </c>
      <c r="I687" s="8">
        <v>0.27083333333333331</v>
      </c>
      <c r="J687" s="8">
        <v>0.41666666666666669</v>
      </c>
      <c r="K687" s="2">
        <f t="shared" si="9"/>
        <v>7.0000000000000018</v>
      </c>
      <c r="L687" t="s">
        <v>25</v>
      </c>
      <c r="M687" t="s">
        <v>56</v>
      </c>
      <c r="N687" t="s">
        <v>27</v>
      </c>
      <c r="O687" s="3">
        <v>0</v>
      </c>
      <c r="P687" s="4">
        <v>1</v>
      </c>
      <c r="Q687" s="5">
        <v>0</v>
      </c>
      <c r="R687" s="6">
        <v>0</v>
      </c>
      <c r="S687" s="3">
        <v>0</v>
      </c>
      <c r="T687" s="4">
        <v>0</v>
      </c>
      <c r="U687" s="5">
        <v>0</v>
      </c>
      <c r="V687" s="6">
        <v>0</v>
      </c>
    </row>
    <row r="688" spans="1:25" x14ac:dyDescent="0.3">
      <c r="A688" t="s">
        <v>25</v>
      </c>
      <c r="B688" s="7">
        <v>45210</v>
      </c>
      <c r="C688" t="s">
        <v>26</v>
      </c>
      <c r="D688">
        <v>15</v>
      </c>
      <c r="E688">
        <v>2</v>
      </c>
      <c r="F688">
        <v>5</v>
      </c>
      <c r="G688" t="s">
        <v>27</v>
      </c>
      <c r="H688">
        <v>1</v>
      </c>
      <c r="I688" s="8">
        <v>0.33333333333333331</v>
      </c>
      <c r="J688" s="8">
        <v>0.43472222222222223</v>
      </c>
      <c r="K688" s="2">
        <f t="shared" si="9"/>
        <v>2.433333333333334</v>
      </c>
      <c r="L688" t="s">
        <v>25</v>
      </c>
      <c r="M688" t="s">
        <v>56</v>
      </c>
      <c r="N688" t="s">
        <v>38</v>
      </c>
      <c r="O688" s="3">
        <v>0</v>
      </c>
      <c r="P688" s="4">
        <v>0</v>
      </c>
      <c r="Q688" s="5">
        <v>0</v>
      </c>
      <c r="R688" s="6">
        <v>0</v>
      </c>
      <c r="S688" s="3">
        <v>0</v>
      </c>
      <c r="T688" s="4">
        <v>0</v>
      </c>
      <c r="U688" s="5">
        <v>0</v>
      </c>
      <c r="V688" s="6">
        <v>0</v>
      </c>
    </row>
    <row r="689" spans="1:25" x14ac:dyDescent="0.3">
      <c r="A689" t="s">
        <v>25</v>
      </c>
      <c r="B689" s="7">
        <v>45210</v>
      </c>
      <c r="C689" t="s">
        <v>42</v>
      </c>
      <c r="D689">
        <v>16</v>
      </c>
      <c r="E689">
        <v>2</v>
      </c>
      <c r="F689">
        <v>2</v>
      </c>
      <c r="G689" t="s">
        <v>27</v>
      </c>
      <c r="H689">
        <v>1</v>
      </c>
      <c r="I689" s="8">
        <v>0.64583333333333337</v>
      </c>
      <c r="J689" s="8">
        <v>0.70833333333333337</v>
      </c>
      <c r="K689" s="2">
        <f t="shared" si="9"/>
        <v>1.5</v>
      </c>
      <c r="L689" t="s">
        <v>25</v>
      </c>
      <c r="M689" t="s">
        <v>99</v>
      </c>
      <c r="N689" t="s">
        <v>151</v>
      </c>
      <c r="O689" s="3">
        <v>0</v>
      </c>
      <c r="P689" s="4">
        <v>0</v>
      </c>
      <c r="Q689" s="5">
        <v>0</v>
      </c>
      <c r="R689" s="6">
        <v>0</v>
      </c>
      <c r="S689" s="3">
        <v>0</v>
      </c>
      <c r="T689" s="4">
        <v>0</v>
      </c>
      <c r="U689" s="5">
        <v>0</v>
      </c>
      <c r="V689" s="6">
        <v>0</v>
      </c>
    </row>
    <row r="690" spans="1:25" x14ac:dyDescent="0.3">
      <c r="A690" t="s">
        <v>25</v>
      </c>
      <c r="B690" s="7">
        <v>45210</v>
      </c>
      <c r="C690" t="s">
        <v>42</v>
      </c>
      <c r="D690">
        <v>17</v>
      </c>
      <c r="E690">
        <v>2</v>
      </c>
      <c r="F690">
        <v>2</v>
      </c>
      <c r="G690" t="s">
        <v>27</v>
      </c>
      <c r="H690">
        <v>1</v>
      </c>
      <c r="I690" s="8">
        <v>0.70833333333333337</v>
      </c>
      <c r="J690" s="8">
        <v>0.75</v>
      </c>
      <c r="K690" s="2">
        <f t="shared" si="9"/>
        <v>0.99999999999999911</v>
      </c>
      <c r="L690" t="s">
        <v>25</v>
      </c>
      <c r="M690" t="s">
        <v>56</v>
      </c>
      <c r="N690" t="s">
        <v>38</v>
      </c>
      <c r="O690" s="3">
        <v>0</v>
      </c>
      <c r="P690" s="4">
        <v>0</v>
      </c>
      <c r="Q690" s="5">
        <v>0</v>
      </c>
      <c r="R690" s="6">
        <v>0</v>
      </c>
      <c r="S690" s="3">
        <v>0</v>
      </c>
      <c r="T690" s="4">
        <v>0</v>
      </c>
      <c r="U690" s="5">
        <v>0</v>
      </c>
      <c r="V690" s="6">
        <v>0</v>
      </c>
    </row>
    <row r="691" spans="1:25" x14ac:dyDescent="0.3">
      <c r="A691" t="s">
        <v>25</v>
      </c>
      <c r="B691" s="7">
        <v>45210</v>
      </c>
      <c r="C691" t="s">
        <v>42</v>
      </c>
      <c r="D691">
        <v>18</v>
      </c>
      <c r="E691">
        <v>2</v>
      </c>
      <c r="F691">
        <v>2</v>
      </c>
      <c r="G691" t="s">
        <v>27</v>
      </c>
      <c r="H691">
        <v>1</v>
      </c>
      <c r="I691" s="8">
        <v>0.70833333333333337</v>
      </c>
      <c r="J691" s="8">
        <v>0.76041666666666663</v>
      </c>
      <c r="K691" s="2">
        <f t="shared" si="9"/>
        <v>1.2499999999999982</v>
      </c>
      <c r="L691" t="s">
        <v>25</v>
      </c>
      <c r="M691" t="s">
        <v>29</v>
      </c>
      <c r="N691" t="s">
        <v>38</v>
      </c>
      <c r="O691" s="3">
        <v>0</v>
      </c>
      <c r="P691" s="4">
        <v>0</v>
      </c>
      <c r="Q691" s="5">
        <v>0</v>
      </c>
      <c r="R691" s="6">
        <v>0</v>
      </c>
      <c r="S691" s="3">
        <v>0</v>
      </c>
      <c r="T691" s="4">
        <v>0</v>
      </c>
      <c r="U691" s="5">
        <v>0</v>
      </c>
      <c r="V691" s="6">
        <v>0</v>
      </c>
    </row>
    <row r="692" spans="1:25" x14ac:dyDescent="0.3">
      <c r="A692" t="s">
        <v>25</v>
      </c>
      <c r="B692" s="7">
        <v>45210</v>
      </c>
      <c r="C692" t="s">
        <v>42</v>
      </c>
      <c r="D692">
        <v>19</v>
      </c>
      <c r="E692">
        <v>2</v>
      </c>
      <c r="F692">
        <v>2</v>
      </c>
      <c r="G692" t="s">
        <v>27</v>
      </c>
      <c r="H692">
        <v>1</v>
      </c>
      <c r="I692" s="8">
        <v>0.72916666666666663</v>
      </c>
      <c r="J692" s="8">
        <v>0.77083333333333337</v>
      </c>
      <c r="K692" s="2">
        <f t="shared" si="9"/>
        <v>1.0000000000000018</v>
      </c>
      <c r="L692" t="s">
        <v>25</v>
      </c>
      <c r="M692" t="s">
        <v>56</v>
      </c>
      <c r="N692" t="s">
        <v>38</v>
      </c>
      <c r="O692" s="3">
        <v>0</v>
      </c>
      <c r="P692" s="4">
        <v>0</v>
      </c>
      <c r="Q692" s="5">
        <v>0</v>
      </c>
      <c r="R692" s="6">
        <v>0</v>
      </c>
      <c r="S692" s="3">
        <v>0</v>
      </c>
      <c r="T692" s="4">
        <v>0</v>
      </c>
      <c r="U692" s="5">
        <v>0</v>
      </c>
      <c r="V692" s="6">
        <v>0</v>
      </c>
    </row>
    <row r="693" spans="1:25" x14ac:dyDescent="0.3">
      <c r="A693" t="s">
        <v>25</v>
      </c>
      <c r="B693" s="7">
        <v>45210</v>
      </c>
      <c r="C693" t="s">
        <v>42</v>
      </c>
      <c r="D693">
        <v>20</v>
      </c>
      <c r="E693">
        <v>2</v>
      </c>
      <c r="F693">
        <v>2</v>
      </c>
      <c r="G693" t="s">
        <v>27</v>
      </c>
      <c r="H693">
        <v>1</v>
      </c>
      <c r="I693" s="8">
        <v>0.72916666666666663</v>
      </c>
      <c r="J693" s="8">
        <v>0.77083333333333337</v>
      </c>
      <c r="K693" s="2">
        <f t="shared" si="9"/>
        <v>1.0000000000000018</v>
      </c>
      <c r="L693" t="s">
        <v>25</v>
      </c>
      <c r="M693" t="s">
        <v>99</v>
      </c>
      <c r="N693" t="s">
        <v>27</v>
      </c>
      <c r="O693" s="3">
        <v>0</v>
      </c>
      <c r="P693" s="4">
        <v>0</v>
      </c>
      <c r="Q693" s="5">
        <v>0</v>
      </c>
      <c r="R693" s="6">
        <v>0</v>
      </c>
      <c r="S693" s="3">
        <v>0</v>
      </c>
      <c r="T693" s="4">
        <v>0</v>
      </c>
      <c r="U693" s="5">
        <v>0</v>
      </c>
      <c r="V693" s="6">
        <v>0</v>
      </c>
    </row>
    <row r="694" spans="1:25" x14ac:dyDescent="0.3">
      <c r="A694" t="s">
        <v>25</v>
      </c>
      <c r="B694" s="7">
        <v>45211</v>
      </c>
      <c r="C694" t="s">
        <v>26</v>
      </c>
      <c r="D694">
        <v>1</v>
      </c>
      <c r="E694">
        <v>2</v>
      </c>
      <c r="F694">
        <v>1</v>
      </c>
      <c r="G694" t="s">
        <v>27</v>
      </c>
      <c r="H694">
        <v>2</v>
      </c>
      <c r="I694" s="8">
        <v>0.27777777777777779</v>
      </c>
      <c r="J694" s="8">
        <v>0.3125</v>
      </c>
      <c r="K694" s="2">
        <f t="shared" si="9"/>
        <v>1.6666666666666661</v>
      </c>
      <c r="L694" t="s">
        <v>28</v>
      </c>
      <c r="M694" t="s">
        <v>56</v>
      </c>
      <c r="N694" t="s">
        <v>38</v>
      </c>
      <c r="O694" s="3">
        <v>0</v>
      </c>
      <c r="P694" s="4">
        <v>0</v>
      </c>
      <c r="Q694" s="5">
        <v>0</v>
      </c>
      <c r="R694" s="6">
        <v>0</v>
      </c>
      <c r="S694" s="3">
        <v>0</v>
      </c>
      <c r="T694" s="4">
        <v>0</v>
      </c>
      <c r="U694" s="5">
        <v>0</v>
      </c>
      <c r="V694" s="6">
        <v>0</v>
      </c>
    </row>
    <row r="695" spans="1:25" x14ac:dyDescent="0.3">
      <c r="A695" t="s">
        <v>25</v>
      </c>
      <c r="B695" s="7">
        <v>45211</v>
      </c>
      <c r="C695" t="s">
        <v>26</v>
      </c>
      <c r="D695">
        <v>2</v>
      </c>
      <c r="E695">
        <v>2</v>
      </c>
      <c r="F695">
        <v>2</v>
      </c>
      <c r="G695" t="s">
        <v>27</v>
      </c>
      <c r="H695">
        <v>3</v>
      </c>
      <c r="I695" s="8">
        <v>0.25</v>
      </c>
      <c r="J695" s="8">
        <v>0.33402777777777781</v>
      </c>
      <c r="K695" s="2">
        <f t="shared" si="9"/>
        <v>6.0500000000000025</v>
      </c>
      <c r="L695" t="s">
        <v>28</v>
      </c>
      <c r="M695" t="s">
        <v>56</v>
      </c>
      <c r="N695" t="s">
        <v>38</v>
      </c>
      <c r="O695" s="3">
        <v>0</v>
      </c>
      <c r="P695" s="4">
        <v>5</v>
      </c>
      <c r="Q695" s="5">
        <v>0</v>
      </c>
      <c r="R695" s="6">
        <v>0</v>
      </c>
      <c r="S695" s="3">
        <v>0</v>
      </c>
      <c r="T695" s="4">
        <v>0</v>
      </c>
      <c r="U695" s="5">
        <v>0</v>
      </c>
      <c r="V695" s="6">
        <v>0</v>
      </c>
      <c r="Y695" t="s">
        <v>211</v>
      </c>
    </row>
    <row r="696" spans="1:25" x14ac:dyDescent="0.3">
      <c r="A696" t="s">
        <v>25</v>
      </c>
      <c r="B696" s="7">
        <v>45211</v>
      </c>
      <c r="C696" t="s">
        <v>26</v>
      </c>
      <c r="D696">
        <v>3</v>
      </c>
      <c r="E696">
        <v>2</v>
      </c>
      <c r="F696">
        <v>3</v>
      </c>
      <c r="G696" t="s">
        <v>27</v>
      </c>
      <c r="H696">
        <v>1</v>
      </c>
      <c r="I696" s="8">
        <v>0.29166666666666669</v>
      </c>
      <c r="J696" s="8">
        <v>0.35416666666666669</v>
      </c>
      <c r="K696" s="2">
        <f t="shared" si="9"/>
        <v>1.5</v>
      </c>
      <c r="L696" t="s">
        <v>28</v>
      </c>
      <c r="M696" t="s">
        <v>99</v>
      </c>
      <c r="N696" t="s">
        <v>38</v>
      </c>
      <c r="O696" s="3">
        <v>0</v>
      </c>
      <c r="P696" s="4">
        <v>0</v>
      </c>
      <c r="Q696" s="5">
        <v>0</v>
      </c>
      <c r="R696" s="6">
        <v>0</v>
      </c>
      <c r="S696" s="3">
        <v>0</v>
      </c>
      <c r="T696" s="4">
        <v>0</v>
      </c>
      <c r="U696" s="5">
        <v>0</v>
      </c>
      <c r="V696" s="6">
        <v>0</v>
      </c>
    </row>
    <row r="697" spans="1:25" x14ac:dyDescent="0.3">
      <c r="A697" t="s">
        <v>25</v>
      </c>
      <c r="B697" s="7">
        <v>45211</v>
      </c>
      <c r="C697" t="s">
        <v>26</v>
      </c>
      <c r="D697">
        <v>4</v>
      </c>
      <c r="E697">
        <v>2</v>
      </c>
      <c r="F697">
        <v>5</v>
      </c>
      <c r="G697" t="s">
        <v>27</v>
      </c>
      <c r="H697">
        <v>1</v>
      </c>
      <c r="I697" s="8">
        <v>0.34722222222222227</v>
      </c>
      <c r="J697" s="8">
        <v>0.3888888888888889</v>
      </c>
      <c r="K697" s="2">
        <f t="shared" si="9"/>
        <v>0.99999999999999911</v>
      </c>
      <c r="L697" t="s">
        <v>25</v>
      </c>
      <c r="M697" t="s">
        <v>29</v>
      </c>
      <c r="N697" t="s">
        <v>38</v>
      </c>
      <c r="O697" s="3">
        <v>0</v>
      </c>
      <c r="P697" s="4">
        <v>0</v>
      </c>
      <c r="Q697" s="5">
        <v>0</v>
      </c>
      <c r="R697" s="6">
        <v>0</v>
      </c>
      <c r="S697" s="3">
        <v>0</v>
      </c>
      <c r="T697" s="4">
        <v>0</v>
      </c>
      <c r="U697" s="5">
        <v>12</v>
      </c>
      <c r="V697" s="6">
        <v>0</v>
      </c>
    </row>
    <row r="698" spans="1:25" x14ac:dyDescent="0.3">
      <c r="A698" t="s">
        <v>25</v>
      </c>
      <c r="B698" s="7">
        <v>45211</v>
      </c>
      <c r="C698" t="s">
        <v>26</v>
      </c>
      <c r="D698">
        <v>5</v>
      </c>
      <c r="E698">
        <v>3</v>
      </c>
      <c r="F698">
        <v>2</v>
      </c>
      <c r="G698" t="s">
        <v>27</v>
      </c>
      <c r="H698">
        <v>1</v>
      </c>
      <c r="I698" s="8">
        <v>0.375</v>
      </c>
      <c r="J698" s="8">
        <v>0.40972222222222227</v>
      </c>
      <c r="K698" s="2">
        <f t="shared" si="9"/>
        <v>0.83333333333333437</v>
      </c>
      <c r="L698" t="s">
        <v>28</v>
      </c>
      <c r="M698" t="s">
        <v>29</v>
      </c>
      <c r="N698" t="s">
        <v>27</v>
      </c>
      <c r="O698" s="3">
        <v>0</v>
      </c>
      <c r="P698" s="4">
        <v>0</v>
      </c>
      <c r="Q698" s="5">
        <v>0</v>
      </c>
      <c r="R698" s="6">
        <v>0</v>
      </c>
      <c r="S698" s="3">
        <v>0</v>
      </c>
      <c r="T698" s="4">
        <v>0</v>
      </c>
      <c r="U698" s="5">
        <v>0</v>
      </c>
      <c r="V698" s="6">
        <v>0</v>
      </c>
    </row>
    <row r="699" spans="1:25" x14ac:dyDescent="0.3">
      <c r="A699" t="s">
        <v>25</v>
      </c>
      <c r="B699" s="7">
        <v>45211</v>
      </c>
      <c r="C699" t="s">
        <v>26</v>
      </c>
      <c r="D699">
        <v>6</v>
      </c>
      <c r="E699">
        <v>3</v>
      </c>
      <c r="F699">
        <v>6</v>
      </c>
      <c r="G699" t="s">
        <v>27</v>
      </c>
      <c r="H699">
        <v>1</v>
      </c>
      <c r="I699" s="8">
        <v>0.29166666666666669</v>
      </c>
      <c r="J699" s="8">
        <v>0.4375</v>
      </c>
      <c r="K699" s="2">
        <f t="shared" si="9"/>
        <v>3.4999999999999996</v>
      </c>
      <c r="L699" t="s">
        <v>25</v>
      </c>
      <c r="M699" t="s">
        <v>148</v>
      </c>
      <c r="N699" t="s">
        <v>38</v>
      </c>
      <c r="O699" s="3">
        <v>0</v>
      </c>
      <c r="P699" s="4">
        <v>3</v>
      </c>
      <c r="Q699" s="5">
        <v>0</v>
      </c>
      <c r="R699" s="6">
        <v>0</v>
      </c>
      <c r="S699" s="3">
        <v>0</v>
      </c>
      <c r="T699" s="4">
        <v>0</v>
      </c>
      <c r="U699" s="5">
        <v>3</v>
      </c>
      <c r="V699" s="6">
        <v>0</v>
      </c>
    </row>
    <row r="700" spans="1:25" x14ac:dyDescent="0.3">
      <c r="A700" t="s">
        <v>25</v>
      </c>
      <c r="B700" s="7">
        <v>45211</v>
      </c>
      <c r="C700" t="s">
        <v>26</v>
      </c>
      <c r="D700">
        <v>7</v>
      </c>
      <c r="E700">
        <v>3</v>
      </c>
      <c r="F700">
        <v>6</v>
      </c>
      <c r="G700" t="s">
        <v>27</v>
      </c>
      <c r="H700">
        <v>2</v>
      </c>
      <c r="I700" s="8">
        <v>0.29166666666666669</v>
      </c>
      <c r="J700" s="8">
        <v>0.4375</v>
      </c>
      <c r="K700" s="2">
        <f t="shared" si="9"/>
        <v>6.9999999999999991</v>
      </c>
      <c r="L700" t="s">
        <v>25</v>
      </c>
      <c r="M700" t="s">
        <v>51</v>
      </c>
      <c r="N700" t="s">
        <v>38</v>
      </c>
      <c r="O700" s="3">
        <v>0</v>
      </c>
      <c r="P700" s="4">
        <v>2</v>
      </c>
      <c r="Q700" s="5">
        <v>1</v>
      </c>
      <c r="R700" s="6">
        <v>0</v>
      </c>
      <c r="S700" s="3">
        <v>0</v>
      </c>
      <c r="T700" s="4">
        <v>0</v>
      </c>
      <c r="U700" s="5">
        <v>5</v>
      </c>
      <c r="V700" s="6">
        <v>0</v>
      </c>
    </row>
    <row r="701" spans="1:25" x14ac:dyDescent="0.3">
      <c r="A701" t="s">
        <v>25</v>
      </c>
      <c r="B701" s="7">
        <v>45211</v>
      </c>
      <c r="C701" t="s">
        <v>26</v>
      </c>
      <c r="D701">
        <v>8</v>
      </c>
      <c r="E701">
        <v>3</v>
      </c>
      <c r="F701">
        <v>8</v>
      </c>
      <c r="G701" t="s">
        <v>27</v>
      </c>
      <c r="H701">
        <v>1</v>
      </c>
      <c r="I701" s="8">
        <v>0.375</v>
      </c>
      <c r="J701" s="8">
        <v>0.45833333333333331</v>
      </c>
      <c r="K701" s="2">
        <f t="shared" si="9"/>
        <v>1.9999999999999996</v>
      </c>
      <c r="L701" t="s">
        <v>25</v>
      </c>
      <c r="M701" t="s">
        <v>51</v>
      </c>
      <c r="N701" t="s">
        <v>27</v>
      </c>
      <c r="O701" s="3">
        <v>0</v>
      </c>
      <c r="P701" s="4">
        <v>0</v>
      </c>
      <c r="Q701" s="5">
        <v>6</v>
      </c>
      <c r="R701" s="6">
        <v>0</v>
      </c>
      <c r="S701" s="3">
        <v>0</v>
      </c>
      <c r="T701" s="4">
        <v>0</v>
      </c>
      <c r="U701" s="5">
        <v>3</v>
      </c>
      <c r="V701" s="6">
        <v>0</v>
      </c>
    </row>
    <row r="702" spans="1:25" x14ac:dyDescent="0.3">
      <c r="A702" t="s">
        <v>25</v>
      </c>
      <c r="B702" s="7">
        <v>45211</v>
      </c>
      <c r="C702" t="s">
        <v>26</v>
      </c>
      <c r="D702">
        <v>9</v>
      </c>
      <c r="E702">
        <v>3</v>
      </c>
      <c r="F702">
        <v>8</v>
      </c>
      <c r="G702" t="s">
        <v>27</v>
      </c>
      <c r="H702">
        <v>1</v>
      </c>
      <c r="I702" s="8">
        <v>0.39583333333333331</v>
      </c>
      <c r="J702" s="8">
        <v>0.46527777777777773</v>
      </c>
      <c r="K702" s="2">
        <f t="shared" si="9"/>
        <v>1.6666666666666661</v>
      </c>
      <c r="L702" t="s">
        <v>25</v>
      </c>
      <c r="M702" t="s">
        <v>51</v>
      </c>
      <c r="N702" t="s">
        <v>38</v>
      </c>
      <c r="O702" s="3">
        <v>0</v>
      </c>
      <c r="P702" s="4">
        <v>0</v>
      </c>
      <c r="Q702" s="5">
        <v>0</v>
      </c>
      <c r="R702" s="6">
        <v>0</v>
      </c>
      <c r="S702" s="3">
        <v>0</v>
      </c>
      <c r="T702" s="4">
        <v>0</v>
      </c>
      <c r="U702" s="5">
        <v>3</v>
      </c>
      <c r="V702" s="6">
        <v>0</v>
      </c>
    </row>
    <row r="703" spans="1:25" x14ac:dyDescent="0.3">
      <c r="A703" t="s">
        <v>25</v>
      </c>
      <c r="B703" s="7">
        <v>45211</v>
      </c>
      <c r="C703" t="s">
        <v>26</v>
      </c>
      <c r="D703">
        <v>10</v>
      </c>
      <c r="E703">
        <v>3</v>
      </c>
      <c r="F703">
        <v>8</v>
      </c>
      <c r="G703" t="s">
        <v>27</v>
      </c>
      <c r="H703">
        <v>1</v>
      </c>
      <c r="I703" s="8">
        <v>0.375</v>
      </c>
      <c r="J703" s="8">
        <v>0.46875</v>
      </c>
      <c r="K703" s="2">
        <f t="shared" si="9"/>
        <v>2.25</v>
      </c>
      <c r="L703" t="s">
        <v>25</v>
      </c>
      <c r="M703" t="s">
        <v>148</v>
      </c>
      <c r="N703" t="s">
        <v>38</v>
      </c>
      <c r="O703" s="3">
        <v>0</v>
      </c>
      <c r="P703" s="4">
        <v>1</v>
      </c>
      <c r="Q703" s="5">
        <v>0</v>
      </c>
      <c r="R703" s="6">
        <v>0</v>
      </c>
      <c r="S703" s="3">
        <v>0</v>
      </c>
      <c r="T703" s="4">
        <v>0</v>
      </c>
      <c r="U703" s="5">
        <v>18</v>
      </c>
      <c r="V703" s="6">
        <v>0</v>
      </c>
    </row>
    <row r="704" spans="1:25" x14ac:dyDescent="0.3">
      <c r="A704" t="s">
        <v>25</v>
      </c>
      <c r="B704" s="7">
        <v>45211</v>
      </c>
      <c r="C704" t="s">
        <v>26</v>
      </c>
      <c r="D704">
        <v>11</v>
      </c>
      <c r="E704">
        <v>3</v>
      </c>
      <c r="F704">
        <v>8</v>
      </c>
      <c r="G704" t="s">
        <v>27</v>
      </c>
      <c r="H704">
        <v>1</v>
      </c>
      <c r="I704" s="8">
        <v>0.42708333333333331</v>
      </c>
      <c r="J704" s="8">
        <v>0.46875</v>
      </c>
      <c r="K704" s="2">
        <f t="shared" si="9"/>
        <v>1.0000000000000004</v>
      </c>
      <c r="L704" t="s">
        <v>28</v>
      </c>
      <c r="M704" t="s">
        <v>51</v>
      </c>
      <c r="N704" t="s">
        <v>38</v>
      </c>
      <c r="O704" s="3">
        <v>0</v>
      </c>
      <c r="P704" s="4">
        <v>1</v>
      </c>
      <c r="Q704" s="5">
        <v>0</v>
      </c>
      <c r="R704" s="6">
        <v>0</v>
      </c>
      <c r="S704" s="3">
        <v>0</v>
      </c>
      <c r="T704" s="4">
        <v>0</v>
      </c>
      <c r="U704" s="5">
        <v>1</v>
      </c>
      <c r="V704" s="6">
        <v>0</v>
      </c>
    </row>
    <row r="705" spans="1:25" x14ac:dyDescent="0.3">
      <c r="A705" t="s">
        <v>25</v>
      </c>
      <c r="B705" s="7">
        <v>45211</v>
      </c>
      <c r="C705" t="s">
        <v>26</v>
      </c>
      <c r="D705">
        <v>12</v>
      </c>
      <c r="E705">
        <v>3</v>
      </c>
      <c r="F705">
        <v>8</v>
      </c>
      <c r="G705" t="s">
        <v>27</v>
      </c>
      <c r="H705">
        <v>2</v>
      </c>
      <c r="I705" s="8">
        <v>0.29166666666666669</v>
      </c>
      <c r="J705" s="8">
        <v>0.47916666666666669</v>
      </c>
      <c r="K705" s="2">
        <f t="shared" si="9"/>
        <v>9</v>
      </c>
      <c r="L705" t="s">
        <v>25</v>
      </c>
      <c r="M705" t="s">
        <v>51</v>
      </c>
      <c r="N705" t="s">
        <v>38</v>
      </c>
      <c r="O705" s="3">
        <v>0</v>
      </c>
      <c r="P705" s="4">
        <v>2</v>
      </c>
      <c r="Q705" s="5">
        <v>0</v>
      </c>
      <c r="R705" s="6">
        <v>0</v>
      </c>
      <c r="S705" s="3">
        <v>1</v>
      </c>
      <c r="T705" s="4">
        <v>0</v>
      </c>
      <c r="U705" s="5">
        <v>10</v>
      </c>
      <c r="V705" s="6">
        <v>0</v>
      </c>
    </row>
    <row r="706" spans="1:25" x14ac:dyDescent="0.3">
      <c r="A706" t="s">
        <v>25</v>
      </c>
      <c r="B706" s="7">
        <v>45211</v>
      </c>
      <c r="C706" t="s">
        <v>26</v>
      </c>
      <c r="D706">
        <v>13</v>
      </c>
      <c r="E706">
        <v>3</v>
      </c>
      <c r="F706">
        <v>8</v>
      </c>
      <c r="G706" t="s">
        <v>27</v>
      </c>
      <c r="H706">
        <v>1</v>
      </c>
      <c r="I706" s="8">
        <v>0.35416666666666669</v>
      </c>
      <c r="J706" s="8">
        <v>0.47916666666666669</v>
      </c>
      <c r="K706" s="2">
        <f t="shared" si="9"/>
        <v>3</v>
      </c>
      <c r="L706" t="s">
        <v>25</v>
      </c>
      <c r="M706" t="s">
        <v>51</v>
      </c>
      <c r="N706" t="s">
        <v>38</v>
      </c>
      <c r="O706" s="3">
        <v>0</v>
      </c>
      <c r="P706" s="4">
        <v>0</v>
      </c>
      <c r="Q706" s="5">
        <v>0</v>
      </c>
      <c r="R706" s="6">
        <v>0</v>
      </c>
      <c r="S706" s="3">
        <v>0</v>
      </c>
      <c r="T706" s="4">
        <v>0</v>
      </c>
      <c r="U706" s="5">
        <v>3</v>
      </c>
      <c r="V706" s="6">
        <v>0</v>
      </c>
    </row>
    <row r="707" spans="1:25" x14ac:dyDescent="0.3">
      <c r="A707" t="s">
        <v>25</v>
      </c>
      <c r="B707" s="7">
        <v>45211</v>
      </c>
      <c r="C707" t="s">
        <v>26</v>
      </c>
      <c r="D707">
        <v>14</v>
      </c>
      <c r="E707">
        <v>3</v>
      </c>
      <c r="F707">
        <v>8</v>
      </c>
      <c r="G707" t="s">
        <v>27</v>
      </c>
      <c r="H707">
        <v>2</v>
      </c>
      <c r="I707" s="8">
        <v>0.29166666666666669</v>
      </c>
      <c r="J707" s="8">
        <v>0.4826388888888889</v>
      </c>
      <c r="K707" s="2">
        <f t="shared" si="9"/>
        <v>9.1666666666666661</v>
      </c>
      <c r="L707" t="s">
        <v>25</v>
      </c>
      <c r="M707" t="s">
        <v>51</v>
      </c>
      <c r="N707" t="s">
        <v>38</v>
      </c>
      <c r="O707" s="3">
        <v>0</v>
      </c>
      <c r="P707" s="4">
        <v>5</v>
      </c>
      <c r="Q707" s="5">
        <v>0</v>
      </c>
      <c r="R707" s="6">
        <v>0</v>
      </c>
      <c r="S707" s="3">
        <v>0</v>
      </c>
      <c r="T707" s="4">
        <v>0</v>
      </c>
      <c r="U707" s="5">
        <v>30</v>
      </c>
      <c r="V707" s="6">
        <v>0</v>
      </c>
      <c r="Y707" t="s">
        <v>212</v>
      </c>
    </row>
    <row r="708" spans="1:25" x14ac:dyDescent="0.3">
      <c r="A708" t="s">
        <v>25</v>
      </c>
      <c r="B708" s="7">
        <v>45211</v>
      </c>
      <c r="C708" t="s">
        <v>42</v>
      </c>
      <c r="D708">
        <v>15</v>
      </c>
      <c r="E708">
        <v>1</v>
      </c>
      <c r="F708">
        <v>1</v>
      </c>
      <c r="G708" t="s">
        <v>35</v>
      </c>
      <c r="H708">
        <v>2</v>
      </c>
      <c r="I708" s="8">
        <v>0.64583333333333337</v>
      </c>
      <c r="J708" s="8">
        <v>0.77083333333333337</v>
      </c>
      <c r="K708" s="2">
        <f t="shared" si="9"/>
        <v>6</v>
      </c>
      <c r="L708" t="s">
        <v>25</v>
      </c>
      <c r="M708" t="s">
        <v>213</v>
      </c>
      <c r="N708" t="s">
        <v>38</v>
      </c>
      <c r="O708" s="3">
        <v>0</v>
      </c>
      <c r="P708" s="4">
        <v>0</v>
      </c>
      <c r="Q708" s="5">
        <v>0</v>
      </c>
      <c r="R708" s="6">
        <v>0</v>
      </c>
      <c r="S708" s="3">
        <v>0</v>
      </c>
      <c r="T708" s="4">
        <v>0</v>
      </c>
      <c r="U708" s="5">
        <v>0</v>
      </c>
      <c r="V708" s="6">
        <v>0</v>
      </c>
    </row>
    <row r="709" spans="1:25" x14ac:dyDescent="0.3">
      <c r="A709" t="s">
        <v>25</v>
      </c>
      <c r="B709" s="7">
        <v>45211</v>
      </c>
      <c r="C709" t="s">
        <v>42</v>
      </c>
      <c r="D709">
        <v>16</v>
      </c>
      <c r="E709">
        <v>1</v>
      </c>
      <c r="F709">
        <v>1</v>
      </c>
      <c r="G709" t="s">
        <v>35</v>
      </c>
      <c r="H709">
        <v>1</v>
      </c>
      <c r="I709" s="8">
        <v>0.72916666666666663</v>
      </c>
      <c r="J709" s="8">
        <v>0.79166666666666663</v>
      </c>
      <c r="K709" s="2">
        <f t="shared" si="9"/>
        <v>1.5</v>
      </c>
      <c r="L709" t="s">
        <v>25</v>
      </c>
      <c r="M709" t="s">
        <v>101</v>
      </c>
      <c r="N709" t="s">
        <v>38</v>
      </c>
      <c r="O709" s="3">
        <v>0</v>
      </c>
      <c r="P709" s="4">
        <v>0</v>
      </c>
      <c r="Q709" s="5">
        <v>0</v>
      </c>
      <c r="R709" s="6">
        <v>0</v>
      </c>
      <c r="S709" s="3">
        <v>0</v>
      </c>
      <c r="T709" s="4">
        <v>0</v>
      </c>
      <c r="U709" s="5">
        <v>0</v>
      </c>
      <c r="V709" s="6">
        <v>0</v>
      </c>
    </row>
    <row r="710" spans="1:25" x14ac:dyDescent="0.3">
      <c r="A710" t="s">
        <v>25</v>
      </c>
      <c r="B710" s="7">
        <v>45212</v>
      </c>
      <c r="C710" t="s">
        <v>26</v>
      </c>
      <c r="D710">
        <v>1</v>
      </c>
      <c r="E710">
        <v>2</v>
      </c>
      <c r="F710">
        <v>1</v>
      </c>
      <c r="G710" t="s">
        <v>27</v>
      </c>
      <c r="H710">
        <v>1</v>
      </c>
      <c r="I710" s="8">
        <v>0.375</v>
      </c>
      <c r="J710" s="8">
        <v>0.39097222222222222</v>
      </c>
      <c r="K710" s="2">
        <f t="shared" si="9"/>
        <v>0.3833333333333333</v>
      </c>
      <c r="L710" t="s">
        <v>28</v>
      </c>
      <c r="M710" t="s">
        <v>56</v>
      </c>
      <c r="N710" t="s">
        <v>38</v>
      </c>
      <c r="O710" s="3">
        <v>0</v>
      </c>
      <c r="P710" s="4">
        <v>0</v>
      </c>
      <c r="Q710" s="5">
        <v>0</v>
      </c>
      <c r="R710" s="6">
        <v>0</v>
      </c>
      <c r="S710" s="3">
        <v>0</v>
      </c>
      <c r="T710" s="4">
        <v>1</v>
      </c>
      <c r="U710" s="5">
        <v>0</v>
      </c>
      <c r="V710" s="6">
        <v>0</v>
      </c>
    </row>
    <row r="711" spans="1:25" x14ac:dyDescent="0.3">
      <c r="A711" t="s">
        <v>25</v>
      </c>
      <c r="B711" s="7">
        <v>45212</v>
      </c>
      <c r="C711" t="s">
        <v>26</v>
      </c>
      <c r="D711">
        <v>2</v>
      </c>
      <c r="E711">
        <v>2</v>
      </c>
      <c r="F711">
        <v>1</v>
      </c>
      <c r="G711" t="s">
        <v>27</v>
      </c>
      <c r="H711">
        <v>2</v>
      </c>
      <c r="I711" s="8">
        <v>0.29166666666666669</v>
      </c>
      <c r="J711" s="8">
        <v>0.39583333333333331</v>
      </c>
      <c r="K711" s="2">
        <f t="shared" si="9"/>
        <v>4.9999999999999982</v>
      </c>
      <c r="L711" t="s">
        <v>28</v>
      </c>
      <c r="M711" t="s">
        <v>56</v>
      </c>
      <c r="N711" t="s">
        <v>38</v>
      </c>
      <c r="O711" s="3">
        <v>0</v>
      </c>
      <c r="P711" s="4">
        <v>0</v>
      </c>
      <c r="Q711" s="5">
        <v>0</v>
      </c>
      <c r="R711" s="6">
        <v>0</v>
      </c>
      <c r="S711" s="3">
        <v>0</v>
      </c>
      <c r="T711" s="4">
        <v>0</v>
      </c>
      <c r="U711" s="5">
        <v>0</v>
      </c>
      <c r="V711" s="6">
        <v>0</v>
      </c>
    </row>
    <row r="712" spans="1:25" x14ac:dyDescent="0.3">
      <c r="A712" t="s">
        <v>25</v>
      </c>
      <c r="B712" s="7">
        <v>45212</v>
      </c>
      <c r="C712" t="s">
        <v>26</v>
      </c>
      <c r="D712">
        <v>3</v>
      </c>
      <c r="E712">
        <v>2</v>
      </c>
      <c r="F712">
        <v>1</v>
      </c>
      <c r="G712" t="s">
        <v>27</v>
      </c>
      <c r="H712">
        <v>1</v>
      </c>
      <c r="I712" s="8">
        <v>0.375</v>
      </c>
      <c r="J712" s="8">
        <v>0.39583333333333331</v>
      </c>
      <c r="K712" s="2">
        <f t="shared" si="9"/>
        <v>0.49999999999999956</v>
      </c>
      <c r="L712" t="s">
        <v>28</v>
      </c>
      <c r="M712" t="s">
        <v>56</v>
      </c>
      <c r="N712" t="s">
        <v>27</v>
      </c>
      <c r="O712" s="3">
        <v>0</v>
      </c>
      <c r="P712" s="4">
        <v>0</v>
      </c>
      <c r="Q712" s="5">
        <v>0</v>
      </c>
      <c r="R712" s="6">
        <v>0</v>
      </c>
      <c r="S712" s="3">
        <v>0</v>
      </c>
      <c r="T712" s="4">
        <v>0</v>
      </c>
      <c r="U712" s="5">
        <v>0</v>
      </c>
      <c r="V712" s="6">
        <v>0</v>
      </c>
    </row>
    <row r="713" spans="1:25" x14ac:dyDescent="0.3">
      <c r="A713" t="s">
        <v>25</v>
      </c>
      <c r="B713" s="7">
        <v>45212</v>
      </c>
      <c r="C713" t="s">
        <v>26</v>
      </c>
      <c r="D713">
        <v>4</v>
      </c>
      <c r="E713">
        <v>2</v>
      </c>
      <c r="F713">
        <v>2</v>
      </c>
      <c r="G713" t="s">
        <v>27</v>
      </c>
      <c r="H713">
        <v>1</v>
      </c>
      <c r="I713" s="8">
        <v>0.35416666666666669</v>
      </c>
      <c r="J713" s="8">
        <v>0.39583333333333331</v>
      </c>
      <c r="K713" s="2">
        <f t="shared" si="9"/>
        <v>0.99999999999999911</v>
      </c>
      <c r="L713" t="s">
        <v>28</v>
      </c>
      <c r="M713" t="s">
        <v>79</v>
      </c>
      <c r="N713" t="s">
        <v>38</v>
      </c>
      <c r="O713" s="3">
        <v>0</v>
      </c>
      <c r="P713" s="4">
        <v>0</v>
      </c>
      <c r="Q713" s="5">
        <v>0</v>
      </c>
      <c r="R713" s="6">
        <v>0</v>
      </c>
      <c r="S713" s="3">
        <v>0</v>
      </c>
      <c r="T713" s="4">
        <v>0</v>
      </c>
      <c r="U713" s="5">
        <v>0</v>
      </c>
      <c r="V713" s="6">
        <v>0</v>
      </c>
    </row>
    <row r="714" spans="1:25" x14ac:dyDescent="0.3">
      <c r="A714" t="s">
        <v>25</v>
      </c>
      <c r="B714" s="7">
        <v>45212</v>
      </c>
      <c r="C714" t="s">
        <v>26</v>
      </c>
      <c r="D714">
        <v>5</v>
      </c>
      <c r="E714">
        <v>2</v>
      </c>
      <c r="F714">
        <v>2</v>
      </c>
      <c r="G714" t="s">
        <v>27</v>
      </c>
      <c r="H714">
        <v>2</v>
      </c>
      <c r="I714" s="8">
        <v>0.375</v>
      </c>
      <c r="J714" s="8">
        <v>2.0833333333333332E-2</v>
      </c>
      <c r="K714" s="2">
        <f t="shared" si="9"/>
        <v>-17</v>
      </c>
      <c r="L714" t="s">
        <v>28</v>
      </c>
      <c r="M714" t="s">
        <v>214</v>
      </c>
      <c r="N714" t="s">
        <v>38</v>
      </c>
      <c r="O714" s="3">
        <v>0</v>
      </c>
      <c r="P714" s="4">
        <v>0</v>
      </c>
      <c r="Q714" s="5">
        <v>0</v>
      </c>
      <c r="R714" s="6">
        <v>0</v>
      </c>
      <c r="S714" s="3">
        <v>0</v>
      </c>
      <c r="T714" s="4">
        <v>0</v>
      </c>
      <c r="U714" s="5">
        <v>0</v>
      </c>
      <c r="V714" s="6">
        <v>0</v>
      </c>
    </row>
    <row r="715" spans="1:25" x14ac:dyDescent="0.3">
      <c r="A715" t="s">
        <v>25</v>
      </c>
      <c r="B715" s="7">
        <v>45212</v>
      </c>
      <c r="C715" t="s">
        <v>26</v>
      </c>
      <c r="D715">
        <v>6</v>
      </c>
      <c r="E715">
        <v>2</v>
      </c>
      <c r="F715">
        <v>2</v>
      </c>
      <c r="G715" t="s">
        <v>27</v>
      </c>
      <c r="H715">
        <v>1</v>
      </c>
      <c r="I715" s="8">
        <v>0.29166666666666669</v>
      </c>
      <c r="J715" s="8">
        <v>0.40347222222222223</v>
      </c>
      <c r="K715" s="2">
        <f t="shared" si="9"/>
        <v>2.6833333333333331</v>
      </c>
      <c r="L715" t="s">
        <v>25</v>
      </c>
      <c r="M715" t="s">
        <v>56</v>
      </c>
      <c r="N715" t="s">
        <v>38</v>
      </c>
      <c r="O715" s="3">
        <v>0</v>
      </c>
      <c r="P715" s="4">
        <v>2</v>
      </c>
      <c r="Q715" s="5">
        <v>0</v>
      </c>
      <c r="R715" s="6">
        <v>0</v>
      </c>
      <c r="S715" s="3">
        <v>0</v>
      </c>
      <c r="T715" s="4">
        <v>0</v>
      </c>
      <c r="U715" s="5">
        <v>0</v>
      </c>
      <c r="V715" s="6">
        <v>0</v>
      </c>
    </row>
    <row r="716" spans="1:25" x14ac:dyDescent="0.3">
      <c r="A716" t="s">
        <v>25</v>
      </c>
      <c r="B716" s="7">
        <v>45212</v>
      </c>
      <c r="C716" t="s">
        <v>26</v>
      </c>
      <c r="D716">
        <v>7</v>
      </c>
      <c r="E716">
        <v>2</v>
      </c>
      <c r="F716">
        <v>2</v>
      </c>
      <c r="G716" t="s">
        <v>27</v>
      </c>
      <c r="H716">
        <v>1</v>
      </c>
      <c r="I716" s="8">
        <v>0.29166666666666669</v>
      </c>
      <c r="J716" s="8">
        <v>0.41666666666666669</v>
      </c>
      <c r="K716" s="2">
        <f t="shared" si="9"/>
        <v>3</v>
      </c>
      <c r="L716" t="s">
        <v>25</v>
      </c>
      <c r="M716" t="s">
        <v>56</v>
      </c>
      <c r="N716" t="s">
        <v>38</v>
      </c>
      <c r="O716" s="3">
        <v>0</v>
      </c>
      <c r="P716" s="4">
        <v>1</v>
      </c>
      <c r="Q716" s="5">
        <v>0</v>
      </c>
      <c r="R716" s="6">
        <v>0</v>
      </c>
      <c r="S716" s="3">
        <v>0</v>
      </c>
      <c r="T716" s="4">
        <v>0</v>
      </c>
      <c r="U716" s="5">
        <v>0</v>
      </c>
      <c r="V716" s="6">
        <v>0</v>
      </c>
    </row>
    <row r="717" spans="1:25" x14ac:dyDescent="0.3">
      <c r="A717" t="s">
        <v>25</v>
      </c>
      <c r="B717" s="7">
        <v>45212</v>
      </c>
      <c r="C717" t="s">
        <v>26</v>
      </c>
      <c r="D717">
        <v>8</v>
      </c>
      <c r="E717">
        <v>2</v>
      </c>
      <c r="F717">
        <v>2</v>
      </c>
      <c r="G717" t="s">
        <v>27</v>
      </c>
      <c r="H717">
        <v>2</v>
      </c>
      <c r="I717" s="8">
        <v>0.375</v>
      </c>
      <c r="J717" s="8">
        <v>0.41666666666666669</v>
      </c>
      <c r="K717" s="2">
        <f t="shared" si="9"/>
        <v>2.0000000000000009</v>
      </c>
      <c r="L717" t="s">
        <v>28</v>
      </c>
      <c r="M717" t="s">
        <v>114</v>
      </c>
      <c r="N717" t="s">
        <v>38</v>
      </c>
      <c r="O717" s="3">
        <v>0</v>
      </c>
      <c r="P717" s="4">
        <v>0</v>
      </c>
      <c r="Q717" s="5">
        <v>0</v>
      </c>
      <c r="R717" s="6">
        <v>0</v>
      </c>
      <c r="S717" s="3">
        <v>0</v>
      </c>
      <c r="T717" s="4">
        <v>0</v>
      </c>
      <c r="U717" s="5">
        <v>0</v>
      </c>
      <c r="V717" s="6">
        <v>0</v>
      </c>
    </row>
    <row r="718" spans="1:25" x14ac:dyDescent="0.3">
      <c r="A718" t="s">
        <v>25</v>
      </c>
      <c r="B718" s="7">
        <v>45212</v>
      </c>
      <c r="C718" t="s">
        <v>26</v>
      </c>
      <c r="D718">
        <v>9</v>
      </c>
      <c r="E718">
        <v>2</v>
      </c>
      <c r="F718">
        <v>2</v>
      </c>
      <c r="G718" t="s">
        <v>27</v>
      </c>
      <c r="H718">
        <v>3</v>
      </c>
      <c r="I718" s="8">
        <v>0.3125</v>
      </c>
      <c r="J718" s="8">
        <v>0.42708333333333331</v>
      </c>
      <c r="K718" s="2">
        <f t="shared" si="9"/>
        <v>8.2499999999999982</v>
      </c>
      <c r="L718" t="s">
        <v>25</v>
      </c>
      <c r="M718" t="s">
        <v>56</v>
      </c>
      <c r="N718" t="s">
        <v>38</v>
      </c>
      <c r="O718" s="3">
        <v>0</v>
      </c>
      <c r="P718" s="4">
        <v>0</v>
      </c>
      <c r="Q718" s="5">
        <v>0</v>
      </c>
      <c r="R718" s="6">
        <v>0</v>
      </c>
      <c r="S718" s="3">
        <v>0</v>
      </c>
      <c r="T718" s="4">
        <v>0</v>
      </c>
      <c r="U718" s="5">
        <v>0</v>
      </c>
      <c r="V718" s="6">
        <v>0</v>
      </c>
    </row>
    <row r="719" spans="1:25" x14ac:dyDescent="0.3">
      <c r="A719" t="s">
        <v>25</v>
      </c>
      <c r="B719" s="7">
        <v>45212</v>
      </c>
      <c r="C719" t="s">
        <v>26</v>
      </c>
      <c r="D719">
        <v>10</v>
      </c>
      <c r="E719">
        <v>2</v>
      </c>
      <c r="F719">
        <v>2</v>
      </c>
      <c r="G719" t="s">
        <v>27</v>
      </c>
      <c r="H719">
        <v>1</v>
      </c>
      <c r="I719" s="8">
        <v>0.32291666666666669</v>
      </c>
      <c r="J719" s="8">
        <v>0.43263888888888885</v>
      </c>
      <c r="K719" s="2">
        <f t="shared" si="9"/>
        <v>2.633333333333332</v>
      </c>
      <c r="L719" t="s">
        <v>25</v>
      </c>
      <c r="M719" t="s">
        <v>51</v>
      </c>
      <c r="N719" t="s">
        <v>38</v>
      </c>
      <c r="O719" s="3">
        <v>0</v>
      </c>
      <c r="P719" s="4">
        <v>0</v>
      </c>
      <c r="Q719" s="5">
        <v>0</v>
      </c>
      <c r="R719" s="6">
        <v>0</v>
      </c>
      <c r="S719" s="3">
        <v>0</v>
      </c>
      <c r="T719" s="4">
        <v>0</v>
      </c>
      <c r="U719" s="5">
        <v>0</v>
      </c>
      <c r="V719" s="6">
        <v>0</v>
      </c>
    </row>
    <row r="720" spans="1:25" x14ac:dyDescent="0.3">
      <c r="A720" t="s">
        <v>25</v>
      </c>
      <c r="B720" s="7">
        <v>45212</v>
      </c>
      <c r="C720" t="s">
        <v>26</v>
      </c>
      <c r="D720">
        <v>11</v>
      </c>
      <c r="E720">
        <v>2</v>
      </c>
      <c r="F720">
        <v>2</v>
      </c>
      <c r="G720" t="s">
        <v>27</v>
      </c>
      <c r="H720">
        <v>2</v>
      </c>
      <c r="I720" s="8">
        <v>0.35416666666666669</v>
      </c>
      <c r="J720" s="8">
        <v>0.4375</v>
      </c>
      <c r="K720" s="2">
        <f t="shared" si="9"/>
        <v>3.9999999999999991</v>
      </c>
      <c r="L720" t="s">
        <v>25</v>
      </c>
      <c r="M720" t="s">
        <v>56</v>
      </c>
      <c r="N720" t="s">
        <v>38</v>
      </c>
      <c r="O720" s="3">
        <v>0</v>
      </c>
      <c r="P720" s="4">
        <v>0</v>
      </c>
      <c r="Q720" s="5">
        <v>0</v>
      </c>
      <c r="R720" s="6">
        <v>0</v>
      </c>
      <c r="S720" s="3">
        <v>0</v>
      </c>
      <c r="T720" s="4">
        <v>0</v>
      </c>
      <c r="U720" s="5">
        <v>0</v>
      </c>
      <c r="V720" s="6">
        <v>0</v>
      </c>
    </row>
    <row r="721" spans="1:25" x14ac:dyDescent="0.3">
      <c r="A721" t="s">
        <v>25</v>
      </c>
      <c r="B721" s="7">
        <v>45212</v>
      </c>
      <c r="C721" t="s">
        <v>26</v>
      </c>
      <c r="D721">
        <v>12</v>
      </c>
      <c r="E721">
        <v>2</v>
      </c>
      <c r="F721">
        <v>2</v>
      </c>
      <c r="G721" t="s">
        <v>27</v>
      </c>
      <c r="H721">
        <v>1</v>
      </c>
      <c r="I721" s="8">
        <v>0.375</v>
      </c>
      <c r="J721" s="8">
        <v>0.41666666666666669</v>
      </c>
      <c r="K721" s="2">
        <f t="shared" si="9"/>
        <v>1.0000000000000004</v>
      </c>
      <c r="L721" t="s">
        <v>25</v>
      </c>
      <c r="M721" t="s">
        <v>56</v>
      </c>
      <c r="N721" t="s">
        <v>38</v>
      </c>
      <c r="O721" s="3">
        <v>0</v>
      </c>
      <c r="P721" s="4">
        <v>0</v>
      </c>
      <c r="Q721" s="5">
        <v>0</v>
      </c>
      <c r="R721" s="6">
        <v>0</v>
      </c>
      <c r="S721" s="3">
        <v>0</v>
      </c>
      <c r="T721" s="4">
        <v>0</v>
      </c>
      <c r="U721" s="5">
        <v>0</v>
      </c>
      <c r="V721" s="6">
        <v>0</v>
      </c>
    </row>
    <row r="722" spans="1:25" x14ac:dyDescent="0.3">
      <c r="A722" t="s">
        <v>25</v>
      </c>
      <c r="B722" s="7">
        <v>45212</v>
      </c>
      <c r="C722" t="s">
        <v>26</v>
      </c>
      <c r="D722">
        <v>13</v>
      </c>
      <c r="E722">
        <v>2</v>
      </c>
      <c r="F722">
        <v>2</v>
      </c>
      <c r="G722" t="s">
        <v>27</v>
      </c>
      <c r="H722">
        <v>1</v>
      </c>
      <c r="I722" s="8">
        <v>0.29166666666666669</v>
      </c>
      <c r="J722" s="8">
        <v>0.4513888888888889</v>
      </c>
      <c r="K722" s="2">
        <f t="shared" si="9"/>
        <v>3.833333333333333</v>
      </c>
      <c r="L722" t="s">
        <v>25</v>
      </c>
      <c r="M722" t="s">
        <v>56</v>
      </c>
      <c r="N722" t="s">
        <v>38</v>
      </c>
      <c r="O722" s="3">
        <v>0</v>
      </c>
      <c r="P722" s="4">
        <v>2</v>
      </c>
      <c r="Q722" s="5">
        <v>0</v>
      </c>
      <c r="R722" s="6">
        <v>0</v>
      </c>
      <c r="S722" s="3">
        <v>0</v>
      </c>
      <c r="T722" s="4">
        <v>0</v>
      </c>
      <c r="U722" s="5">
        <v>0</v>
      </c>
      <c r="V722" s="6">
        <v>0</v>
      </c>
      <c r="Y722" t="s">
        <v>166</v>
      </c>
    </row>
    <row r="723" spans="1:25" x14ac:dyDescent="0.3">
      <c r="A723" t="s">
        <v>25</v>
      </c>
      <c r="B723" s="7">
        <v>45212</v>
      </c>
      <c r="C723" t="s">
        <v>26</v>
      </c>
      <c r="D723">
        <v>14</v>
      </c>
      <c r="E723">
        <v>2</v>
      </c>
      <c r="F723">
        <v>2</v>
      </c>
      <c r="G723" t="s">
        <v>27</v>
      </c>
      <c r="H723">
        <v>1</v>
      </c>
      <c r="I723" s="8">
        <v>0.375</v>
      </c>
      <c r="J723" s="8">
        <v>0.46319444444444446</v>
      </c>
      <c r="K723" s="2">
        <f t="shared" si="9"/>
        <v>2.1166666666666671</v>
      </c>
      <c r="L723" t="s">
        <v>25</v>
      </c>
      <c r="M723" t="s">
        <v>56</v>
      </c>
      <c r="N723" t="s">
        <v>38</v>
      </c>
      <c r="O723" s="3">
        <v>0</v>
      </c>
      <c r="P723" s="4">
        <v>0</v>
      </c>
      <c r="Q723" s="5">
        <v>0</v>
      </c>
      <c r="R723" s="6">
        <v>0</v>
      </c>
      <c r="S723" s="3">
        <v>0</v>
      </c>
      <c r="T723" s="4">
        <v>0</v>
      </c>
      <c r="U723" s="5">
        <v>0</v>
      </c>
      <c r="V723" s="6">
        <v>0</v>
      </c>
    </row>
    <row r="724" spans="1:25" x14ac:dyDescent="0.3">
      <c r="A724" t="s">
        <v>25</v>
      </c>
      <c r="B724" s="7">
        <v>45212</v>
      </c>
      <c r="C724" t="s">
        <v>42</v>
      </c>
      <c r="D724">
        <v>15</v>
      </c>
      <c r="E724">
        <v>2</v>
      </c>
      <c r="F724">
        <v>2</v>
      </c>
      <c r="G724" t="s">
        <v>27</v>
      </c>
      <c r="H724">
        <v>3</v>
      </c>
      <c r="I724" s="8">
        <v>0.64583333333333337</v>
      </c>
      <c r="J724" s="8">
        <v>0.72916666666666663</v>
      </c>
      <c r="K724" s="2">
        <f t="shared" si="9"/>
        <v>5.9999999999999947</v>
      </c>
      <c r="L724" t="s">
        <v>28</v>
      </c>
      <c r="M724" t="s">
        <v>99</v>
      </c>
      <c r="N724" t="s">
        <v>38</v>
      </c>
      <c r="O724" s="3">
        <v>0</v>
      </c>
      <c r="P724" s="4">
        <v>0</v>
      </c>
      <c r="Q724" s="5">
        <v>0</v>
      </c>
      <c r="R724" s="6">
        <v>0</v>
      </c>
      <c r="S724" s="3">
        <v>0</v>
      </c>
      <c r="T724" s="4">
        <v>0</v>
      </c>
      <c r="U724" s="5">
        <v>0</v>
      </c>
      <c r="V724" s="6">
        <v>0</v>
      </c>
    </row>
    <row r="725" spans="1:25" x14ac:dyDescent="0.3">
      <c r="A725" t="s">
        <v>25</v>
      </c>
      <c r="B725" s="7">
        <v>45212</v>
      </c>
      <c r="C725" t="s">
        <v>42</v>
      </c>
      <c r="D725">
        <v>16</v>
      </c>
      <c r="E725">
        <v>2</v>
      </c>
      <c r="F725">
        <v>2</v>
      </c>
      <c r="G725" t="s">
        <v>27</v>
      </c>
      <c r="H725">
        <v>2</v>
      </c>
      <c r="I725" s="8">
        <v>0.70833333333333337</v>
      </c>
      <c r="J725" s="8">
        <v>0.72916666666666663</v>
      </c>
      <c r="K725" s="2">
        <f t="shared" si="9"/>
        <v>0.99999999999999645</v>
      </c>
      <c r="L725" t="s">
        <v>28</v>
      </c>
      <c r="M725" t="s">
        <v>56</v>
      </c>
      <c r="N725" t="s">
        <v>38</v>
      </c>
      <c r="O725" s="3">
        <v>0</v>
      </c>
      <c r="P725" s="4">
        <v>0</v>
      </c>
      <c r="Q725" s="5">
        <v>0</v>
      </c>
      <c r="R725" s="6">
        <v>0</v>
      </c>
      <c r="S725" s="3">
        <v>0</v>
      </c>
      <c r="T725" s="4">
        <v>0</v>
      </c>
      <c r="U725" s="5">
        <v>0</v>
      </c>
      <c r="V725" s="6">
        <v>0</v>
      </c>
    </row>
    <row r="726" spans="1:25" x14ac:dyDescent="0.3">
      <c r="A726" t="s">
        <v>25</v>
      </c>
      <c r="B726" s="7">
        <v>45213</v>
      </c>
      <c r="C726" t="s">
        <v>26</v>
      </c>
      <c r="D726">
        <v>1</v>
      </c>
      <c r="E726">
        <v>2</v>
      </c>
      <c r="F726">
        <v>1</v>
      </c>
      <c r="G726" t="s">
        <v>27</v>
      </c>
      <c r="H726">
        <v>1</v>
      </c>
      <c r="I726" s="8">
        <v>0.39583333333333331</v>
      </c>
      <c r="J726" s="8">
        <v>0.41666666666666669</v>
      </c>
      <c r="K726" s="2">
        <f t="shared" si="9"/>
        <v>0.50000000000000089</v>
      </c>
      <c r="L726" t="s">
        <v>28</v>
      </c>
      <c r="M726" t="s">
        <v>56</v>
      </c>
      <c r="N726" t="s">
        <v>38</v>
      </c>
      <c r="O726" s="3">
        <v>0</v>
      </c>
      <c r="P726" s="4">
        <v>0</v>
      </c>
      <c r="Q726" s="5">
        <v>0</v>
      </c>
      <c r="R726" s="6">
        <v>0</v>
      </c>
      <c r="S726" s="3">
        <v>0</v>
      </c>
      <c r="T726" s="4">
        <v>0</v>
      </c>
      <c r="U726" s="5">
        <v>0</v>
      </c>
      <c r="V726" s="6">
        <v>0</v>
      </c>
    </row>
    <row r="727" spans="1:25" x14ac:dyDescent="0.3">
      <c r="A727" t="s">
        <v>25</v>
      </c>
      <c r="B727" s="7">
        <v>45213</v>
      </c>
      <c r="C727" t="s">
        <v>26</v>
      </c>
      <c r="D727">
        <v>2</v>
      </c>
      <c r="E727">
        <v>2</v>
      </c>
      <c r="F727">
        <v>1</v>
      </c>
      <c r="G727" t="s">
        <v>27</v>
      </c>
      <c r="H727">
        <v>1</v>
      </c>
      <c r="I727" s="8">
        <v>0.3125</v>
      </c>
      <c r="J727" s="8">
        <v>0.41666666666666669</v>
      </c>
      <c r="K727" s="2">
        <f t="shared" si="9"/>
        <v>2.5000000000000004</v>
      </c>
      <c r="L727" t="s">
        <v>28</v>
      </c>
      <c r="M727" t="s">
        <v>56</v>
      </c>
      <c r="N727" t="s">
        <v>38</v>
      </c>
      <c r="O727" s="3">
        <v>0</v>
      </c>
      <c r="P727" s="4">
        <v>0</v>
      </c>
      <c r="Q727" s="5">
        <v>0</v>
      </c>
      <c r="R727" s="6">
        <v>0</v>
      </c>
      <c r="S727" s="3">
        <v>0</v>
      </c>
      <c r="T727" s="4">
        <v>0</v>
      </c>
      <c r="U727" s="5">
        <v>0</v>
      </c>
      <c r="V727" s="6">
        <v>0</v>
      </c>
    </row>
    <row r="728" spans="1:25" x14ac:dyDescent="0.3">
      <c r="A728" t="s">
        <v>25</v>
      </c>
      <c r="B728" s="7">
        <v>45213</v>
      </c>
      <c r="C728" t="s">
        <v>26</v>
      </c>
      <c r="D728">
        <v>3</v>
      </c>
      <c r="E728">
        <v>2</v>
      </c>
      <c r="F728">
        <v>1</v>
      </c>
      <c r="G728" t="s">
        <v>27</v>
      </c>
      <c r="H728">
        <v>1</v>
      </c>
      <c r="I728" s="8">
        <v>0.25</v>
      </c>
      <c r="J728" s="8">
        <v>0.41666666666666669</v>
      </c>
      <c r="K728" s="2">
        <f t="shared" si="9"/>
        <v>4</v>
      </c>
      <c r="L728" t="s">
        <v>28</v>
      </c>
      <c r="M728" t="s">
        <v>56</v>
      </c>
      <c r="N728" t="s">
        <v>27</v>
      </c>
      <c r="O728" s="3">
        <v>0</v>
      </c>
      <c r="P728" s="4">
        <v>0</v>
      </c>
      <c r="Q728" s="5">
        <v>0</v>
      </c>
      <c r="R728" s="6">
        <v>0</v>
      </c>
      <c r="S728" s="3">
        <v>0</v>
      </c>
      <c r="T728" s="4">
        <v>0</v>
      </c>
      <c r="U728" s="5">
        <v>0</v>
      </c>
      <c r="V728" s="6">
        <v>0</v>
      </c>
    </row>
    <row r="729" spans="1:25" x14ac:dyDescent="0.3">
      <c r="A729" t="s">
        <v>25</v>
      </c>
      <c r="B729" s="7">
        <v>45213</v>
      </c>
      <c r="C729" t="s">
        <v>26</v>
      </c>
      <c r="D729">
        <v>4</v>
      </c>
      <c r="E729">
        <v>2</v>
      </c>
      <c r="F729">
        <v>1</v>
      </c>
      <c r="G729" t="s">
        <v>27</v>
      </c>
      <c r="H729">
        <v>2</v>
      </c>
      <c r="I729" s="8">
        <v>0.29166666666666669</v>
      </c>
      <c r="J729" s="8">
        <v>0.42708333333333331</v>
      </c>
      <c r="K729" s="2">
        <f t="shared" si="9"/>
        <v>6.4999999999999982</v>
      </c>
      <c r="L729" t="s">
        <v>28</v>
      </c>
      <c r="M729" t="s">
        <v>56</v>
      </c>
      <c r="N729" t="s">
        <v>38</v>
      </c>
      <c r="O729" s="3">
        <v>0</v>
      </c>
      <c r="P729" s="4">
        <v>0</v>
      </c>
      <c r="Q729" s="5">
        <v>0</v>
      </c>
      <c r="R729" s="6">
        <v>0</v>
      </c>
      <c r="S729" s="3">
        <v>0</v>
      </c>
      <c r="T729" s="4">
        <v>0</v>
      </c>
      <c r="U729" s="5">
        <v>0</v>
      </c>
      <c r="V729" s="6">
        <v>0</v>
      </c>
    </row>
    <row r="730" spans="1:25" x14ac:dyDescent="0.3">
      <c r="A730" t="s">
        <v>25</v>
      </c>
      <c r="B730" s="7">
        <v>45213</v>
      </c>
      <c r="C730" t="s">
        <v>26</v>
      </c>
      <c r="D730">
        <v>5</v>
      </c>
      <c r="E730">
        <v>2</v>
      </c>
      <c r="F730">
        <v>2</v>
      </c>
      <c r="G730" t="s">
        <v>27</v>
      </c>
      <c r="H730">
        <v>1</v>
      </c>
      <c r="I730" s="8">
        <v>0.3125</v>
      </c>
      <c r="J730" s="8">
        <v>0.43055555555555558</v>
      </c>
      <c r="K730" s="2">
        <f t="shared" si="9"/>
        <v>2.8333333333333339</v>
      </c>
      <c r="L730" t="s">
        <v>28</v>
      </c>
      <c r="M730" t="s">
        <v>56</v>
      </c>
      <c r="N730" t="s">
        <v>38</v>
      </c>
      <c r="O730" s="3">
        <v>0</v>
      </c>
      <c r="P730" s="4">
        <v>0</v>
      </c>
      <c r="Q730" s="5">
        <v>0</v>
      </c>
      <c r="R730" s="6">
        <v>0</v>
      </c>
      <c r="S730" s="3">
        <v>0</v>
      </c>
      <c r="T730" s="4">
        <v>0</v>
      </c>
      <c r="U730" s="5">
        <v>0</v>
      </c>
      <c r="V730" s="6">
        <v>0</v>
      </c>
    </row>
    <row r="731" spans="1:25" x14ac:dyDescent="0.3">
      <c r="A731" t="s">
        <v>25</v>
      </c>
      <c r="B731" s="7">
        <v>45213</v>
      </c>
      <c r="C731" t="s">
        <v>26</v>
      </c>
      <c r="D731">
        <v>6</v>
      </c>
      <c r="E731">
        <v>2</v>
      </c>
      <c r="F731">
        <v>2</v>
      </c>
      <c r="G731" t="s">
        <v>27</v>
      </c>
      <c r="H731">
        <v>2</v>
      </c>
      <c r="I731" s="8">
        <v>0.41666666666666669</v>
      </c>
      <c r="J731" s="8">
        <v>0.43055555555555558</v>
      </c>
      <c r="K731" s="2">
        <f t="shared" si="9"/>
        <v>0.66666666666666696</v>
      </c>
      <c r="L731" t="s">
        <v>28</v>
      </c>
      <c r="M731" t="s">
        <v>56</v>
      </c>
      <c r="N731" t="s">
        <v>38</v>
      </c>
      <c r="O731" s="3">
        <v>0</v>
      </c>
      <c r="P731" s="4">
        <v>1</v>
      </c>
      <c r="Q731" s="5">
        <v>0</v>
      </c>
      <c r="R731" s="6">
        <v>0</v>
      </c>
      <c r="S731" s="3">
        <v>0</v>
      </c>
      <c r="T731" s="4">
        <v>0</v>
      </c>
      <c r="U731" s="5">
        <v>0</v>
      </c>
      <c r="V731" s="6">
        <v>0</v>
      </c>
      <c r="Y731" t="s">
        <v>184</v>
      </c>
    </row>
    <row r="732" spans="1:25" x14ac:dyDescent="0.3">
      <c r="A732" t="s">
        <v>25</v>
      </c>
      <c r="B732" s="7">
        <v>45213</v>
      </c>
      <c r="C732" t="s">
        <v>26</v>
      </c>
      <c r="D732">
        <v>7</v>
      </c>
      <c r="E732">
        <v>2</v>
      </c>
      <c r="F732">
        <v>2</v>
      </c>
      <c r="G732" t="s">
        <v>27</v>
      </c>
      <c r="H732">
        <v>1</v>
      </c>
      <c r="I732" s="8">
        <v>0.39583333333333331</v>
      </c>
      <c r="J732" s="8">
        <v>0.44166666666666665</v>
      </c>
      <c r="K732" s="2">
        <f t="shared" si="9"/>
        <v>1.1000000000000001</v>
      </c>
      <c r="L732" t="s">
        <v>28</v>
      </c>
      <c r="M732" t="s">
        <v>56</v>
      </c>
      <c r="N732" t="s">
        <v>38</v>
      </c>
      <c r="O732" s="3">
        <v>0</v>
      </c>
      <c r="P732" s="4">
        <v>0</v>
      </c>
      <c r="Q732" s="5">
        <v>0</v>
      </c>
      <c r="R732" s="6">
        <v>0</v>
      </c>
      <c r="S732" s="3">
        <v>0</v>
      </c>
      <c r="T732" s="4">
        <v>0</v>
      </c>
      <c r="U732" s="5">
        <v>0</v>
      </c>
      <c r="V732" s="6">
        <v>0</v>
      </c>
    </row>
    <row r="733" spans="1:25" x14ac:dyDescent="0.3">
      <c r="A733" t="s">
        <v>25</v>
      </c>
      <c r="B733" s="7">
        <v>45213</v>
      </c>
      <c r="C733" t="s">
        <v>26</v>
      </c>
      <c r="D733">
        <v>8</v>
      </c>
      <c r="E733">
        <v>2</v>
      </c>
      <c r="F733">
        <v>2</v>
      </c>
      <c r="G733" t="s">
        <v>27</v>
      </c>
      <c r="H733">
        <v>1</v>
      </c>
      <c r="I733" s="8">
        <v>0.3125</v>
      </c>
      <c r="J733" s="8">
        <v>0.44791666666666669</v>
      </c>
      <c r="K733" s="2">
        <f t="shared" si="9"/>
        <v>3.2500000000000004</v>
      </c>
      <c r="L733" t="s">
        <v>28</v>
      </c>
      <c r="M733" t="s">
        <v>56</v>
      </c>
      <c r="N733" t="s">
        <v>38</v>
      </c>
      <c r="O733" s="3">
        <v>0</v>
      </c>
      <c r="P733" s="4">
        <v>0</v>
      </c>
      <c r="Q733" s="5">
        <v>0</v>
      </c>
      <c r="R733" s="6">
        <v>0</v>
      </c>
      <c r="S733" s="3">
        <v>0</v>
      </c>
      <c r="T733" s="4">
        <v>1</v>
      </c>
      <c r="U733" s="5">
        <v>0</v>
      </c>
      <c r="V733" s="6">
        <v>0</v>
      </c>
      <c r="Y733" t="s">
        <v>184</v>
      </c>
    </row>
    <row r="734" spans="1:25" x14ac:dyDescent="0.3">
      <c r="A734" t="s">
        <v>25</v>
      </c>
      <c r="B734" s="7">
        <v>45213</v>
      </c>
      <c r="C734" t="s">
        <v>42</v>
      </c>
      <c r="D734">
        <v>9</v>
      </c>
      <c r="E734">
        <v>3</v>
      </c>
      <c r="F734">
        <v>8</v>
      </c>
      <c r="G734" t="s">
        <v>27</v>
      </c>
      <c r="H734">
        <v>2</v>
      </c>
      <c r="I734" s="8">
        <v>0.58333333333333337</v>
      </c>
      <c r="J734" s="8">
        <v>0.625</v>
      </c>
      <c r="K734" s="2">
        <f t="shared" si="9"/>
        <v>1.9999999999999982</v>
      </c>
      <c r="L734" t="s">
        <v>25</v>
      </c>
      <c r="M734" t="s">
        <v>51</v>
      </c>
      <c r="N734" t="s">
        <v>27</v>
      </c>
      <c r="O734" s="3">
        <v>0</v>
      </c>
      <c r="P734" s="4">
        <v>0</v>
      </c>
      <c r="Q734" s="5">
        <v>0</v>
      </c>
      <c r="R734" s="6">
        <v>0</v>
      </c>
      <c r="S734" s="3">
        <v>0</v>
      </c>
      <c r="T734" s="4">
        <v>0</v>
      </c>
      <c r="U734" s="5">
        <v>3</v>
      </c>
      <c r="V734" s="6">
        <v>0</v>
      </c>
    </row>
    <row r="735" spans="1:25" x14ac:dyDescent="0.3">
      <c r="A735" t="s">
        <v>25</v>
      </c>
      <c r="B735" s="7">
        <v>45213</v>
      </c>
      <c r="C735" t="s">
        <v>42</v>
      </c>
      <c r="D735">
        <v>10</v>
      </c>
      <c r="E735">
        <v>3</v>
      </c>
      <c r="F735">
        <v>6</v>
      </c>
      <c r="G735" t="s">
        <v>27</v>
      </c>
      <c r="H735">
        <v>1</v>
      </c>
      <c r="I735" s="8">
        <v>0.41666666666666669</v>
      </c>
      <c r="J735" s="8">
        <v>0.66666666666666663</v>
      </c>
      <c r="K735" s="2">
        <f t="shared" si="9"/>
        <v>5.9999999999999982</v>
      </c>
      <c r="L735" t="s">
        <v>25</v>
      </c>
      <c r="M735" t="s">
        <v>153</v>
      </c>
      <c r="N735" t="s">
        <v>27</v>
      </c>
      <c r="O735" s="3">
        <v>0</v>
      </c>
      <c r="P735" s="4">
        <v>0</v>
      </c>
      <c r="Q735" s="5">
        <v>0</v>
      </c>
      <c r="R735" s="6">
        <v>0</v>
      </c>
      <c r="S735" s="3">
        <v>0</v>
      </c>
      <c r="T735" s="4">
        <v>0</v>
      </c>
      <c r="U735" s="5">
        <v>1</v>
      </c>
      <c r="V735" s="6">
        <v>0</v>
      </c>
    </row>
    <row r="736" spans="1:25" x14ac:dyDescent="0.3">
      <c r="A736" t="s">
        <v>25</v>
      </c>
      <c r="B736" s="7">
        <v>45213</v>
      </c>
      <c r="C736" t="s">
        <v>42</v>
      </c>
      <c r="D736">
        <v>11</v>
      </c>
      <c r="E736">
        <v>2</v>
      </c>
      <c r="F736">
        <v>5</v>
      </c>
      <c r="G736" t="s">
        <v>27</v>
      </c>
      <c r="H736">
        <v>2</v>
      </c>
      <c r="I736" s="8">
        <v>0.6875</v>
      </c>
      <c r="J736" s="8">
        <v>0.69791666666666663</v>
      </c>
      <c r="K736" s="2">
        <f t="shared" si="9"/>
        <v>0.49999999999999822</v>
      </c>
      <c r="L736" t="s">
        <v>28</v>
      </c>
      <c r="M736" t="s">
        <v>56</v>
      </c>
      <c r="N736" t="s">
        <v>27</v>
      </c>
      <c r="O736" s="3">
        <v>0</v>
      </c>
      <c r="P736" s="4">
        <v>0</v>
      </c>
      <c r="Q736" s="5">
        <v>0</v>
      </c>
      <c r="R736" s="6">
        <v>0</v>
      </c>
      <c r="S736" s="3">
        <v>0</v>
      </c>
      <c r="T736" s="4">
        <v>0</v>
      </c>
      <c r="U736" s="5">
        <v>0</v>
      </c>
      <c r="V736" s="6">
        <v>0</v>
      </c>
    </row>
    <row r="737" spans="1:22" x14ac:dyDescent="0.3">
      <c r="A737" t="s">
        <v>25</v>
      </c>
      <c r="B737" s="7">
        <v>45217</v>
      </c>
      <c r="C737" t="s">
        <v>26</v>
      </c>
      <c r="D737">
        <v>1</v>
      </c>
      <c r="E737">
        <v>2</v>
      </c>
      <c r="F737">
        <v>5</v>
      </c>
      <c r="G737" t="s">
        <v>27</v>
      </c>
      <c r="H737">
        <v>1</v>
      </c>
      <c r="I737" s="8">
        <v>0.29166666666666669</v>
      </c>
      <c r="J737" s="8">
        <v>0.34861111111111115</v>
      </c>
      <c r="K737" s="2">
        <f t="shared" si="9"/>
        <v>1.3666666666666671</v>
      </c>
      <c r="L737" t="s">
        <v>28</v>
      </c>
      <c r="M737" t="s">
        <v>29</v>
      </c>
      <c r="N737" t="s">
        <v>32</v>
      </c>
      <c r="O737" s="3">
        <v>0</v>
      </c>
      <c r="P737" s="4">
        <v>0</v>
      </c>
      <c r="Q737" s="5">
        <v>0</v>
      </c>
      <c r="R737" s="6">
        <v>0</v>
      </c>
      <c r="S737" s="3">
        <v>0</v>
      </c>
      <c r="T737" s="4">
        <v>0</v>
      </c>
      <c r="U737" s="5">
        <v>6</v>
      </c>
      <c r="V737" s="6">
        <v>0</v>
      </c>
    </row>
    <row r="738" spans="1:22" x14ac:dyDescent="0.3">
      <c r="A738" t="s">
        <v>25</v>
      </c>
      <c r="B738" s="7">
        <v>45217</v>
      </c>
      <c r="C738" t="s">
        <v>26</v>
      </c>
      <c r="D738">
        <v>2</v>
      </c>
      <c r="E738">
        <v>2</v>
      </c>
      <c r="F738">
        <v>3</v>
      </c>
      <c r="G738" t="s">
        <v>27</v>
      </c>
      <c r="H738">
        <v>1</v>
      </c>
      <c r="I738" s="8">
        <v>0.35416666666666669</v>
      </c>
      <c r="J738" s="8">
        <v>0.39027777777777778</v>
      </c>
      <c r="K738" s="2">
        <f t="shared" si="9"/>
        <v>0.86666666666666625</v>
      </c>
      <c r="L738" t="s">
        <v>28</v>
      </c>
      <c r="M738" t="s">
        <v>56</v>
      </c>
      <c r="N738" t="s">
        <v>38</v>
      </c>
      <c r="O738" s="3">
        <v>0</v>
      </c>
      <c r="P738" s="4">
        <v>0</v>
      </c>
      <c r="Q738" s="5">
        <v>0</v>
      </c>
      <c r="R738" s="6">
        <v>0</v>
      </c>
      <c r="S738" s="3">
        <v>0</v>
      </c>
      <c r="T738" s="4">
        <v>0</v>
      </c>
      <c r="U738" s="5">
        <v>0</v>
      </c>
      <c r="V738" s="6">
        <v>0</v>
      </c>
    </row>
    <row r="739" spans="1:22" x14ac:dyDescent="0.3">
      <c r="A739" t="s">
        <v>25</v>
      </c>
      <c r="B739" s="7">
        <v>45217</v>
      </c>
      <c r="C739" t="s">
        <v>26</v>
      </c>
      <c r="D739">
        <v>3</v>
      </c>
      <c r="E739">
        <v>2</v>
      </c>
      <c r="F739">
        <v>2</v>
      </c>
      <c r="G739" t="s">
        <v>27</v>
      </c>
      <c r="H739">
        <v>1</v>
      </c>
      <c r="I739" s="8">
        <v>0.27083333333333331</v>
      </c>
      <c r="J739" s="8">
        <v>0.40347222222222223</v>
      </c>
      <c r="K739" s="2">
        <f t="shared" si="9"/>
        <v>3.183333333333334</v>
      </c>
      <c r="L739" t="s">
        <v>28</v>
      </c>
      <c r="M739" t="s">
        <v>99</v>
      </c>
      <c r="N739" t="s">
        <v>38</v>
      </c>
      <c r="O739" s="3">
        <v>0</v>
      </c>
      <c r="P739" s="4">
        <v>0</v>
      </c>
      <c r="Q739" s="5">
        <v>0</v>
      </c>
      <c r="R739" s="6">
        <v>0</v>
      </c>
      <c r="S739" s="3">
        <v>0</v>
      </c>
      <c r="T739" s="4">
        <v>0</v>
      </c>
      <c r="U739" s="5">
        <v>0</v>
      </c>
      <c r="V739" s="6">
        <v>0</v>
      </c>
    </row>
    <row r="740" spans="1:22" x14ac:dyDescent="0.3">
      <c r="A740" t="s">
        <v>25</v>
      </c>
      <c r="B740" s="7">
        <v>45217</v>
      </c>
      <c r="C740" t="s">
        <v>26</v>
      </c>
      <c r="D740">
        <v>4</v>
      </c>
      <c r="E740">
        <v>2</v>
      </c>
      <c r="F740">
        <v>2</v>
      </c>
      <c r="G740" t="s">
        <v>27</v>
      </c>
      <c r="H740">
        <v>1</v>
      </c>
      <c r="I740" s="8">
        <v>0.3125</v>
      </c>
      <c r="J740" s="8">
        <v>0.4055555555555555</v>
      </c>
      <c r="K740" s="2">
        <f t="shared" si="9"/>
        <v>2.2333333333333321</v>
      </c>
      <c r="L740" t="s">
        <v>28</v>
      </c>
      <c r="M740" t="s">
        <v>56</v>
      </c>
      <c r="N740" t="s">
        <v>38</v>
      </c>
      <c r="O740" s="3">
        <v>0</v>
      </c>
      <c r="P740" s="4">
        <v>0</v>
      </c>
      <c r="Q740" s="5">
        <v>0</v>
      </c>
      <c r="R740" s="6">
        <v>0</v>
      </c>
      <c r="S740" s="3">
        <v>0</v>
      </c>
      <c r="T740" s="4">
        <v>0</v>
      </c>
      <c r="U740" s="5">
        <v>0</v>
      </c>
      <c r="V740" s="6">
        <v>0</v>
      </c>
    </row>
    <row r="741" spans="1:22" x14ac:dyDescent="0.3">
      <c r="A741" t="s">
        <v>25</v>
      </c>
      <c r="B741" s="7">
        <v>45217</v>
      </c>
      <c r="C741" t="s">
        <v>26</v>
      </c>
      <c r="D741">
        <v>5</v>
      </c>
      <c r="E741">
        <v>2</v>
      </c>
      <c r="F741">
        <v>2</v>
      </c>
      <c r="G741" t="s">
        <v>27</v>
      </c>
      <c r="H741">
        <v>1</v>
      </c>
      <c r="I741" s="8">
        <v>0.38541666666666669</v>
      </c>
      <c r="J741" s="8">
        <v>0.42708333333333331</v>
      </c>
      <c r="K741" s="2">
        <f t="shared" si="9"/>
        <v>0.99999999999999911</v>
      </c>
      <c r="L741" t="s">
        <v>28</v>
      </c>
      <c r="M741" t="s">
        <v>99</v>
      </c>
      <c r="N741" t="s">
        <v>38</v>
      </c>
      <c r="O741" s="3">
        <v>0</v>
      </c>
      <c r="P741" s="4">
        <v>0</v>
      </c>
      <c r="Q741" s="5">
        <v>0</v>
      </c>
      <c r="R741" s="6">
        <v>0</v>
      </c>
      <c r="S741" s="3">
        <v>0</v>
      </c>
      <c r="T741" s="4">
        <v>0</v>
      </c>
      <c r="U741" s="5">
        <v>0</v>
      </c>
      <c r="V741" s="6">
        <v>0</v>
      </c>
    </row>
    <row r="742" spans="1:22" x14ac:dyDescent="0.3">
      <c r="A742" t="s">
        <v>25</v>
      </c>
      <c r="B742" s="7">
        <v>45217</v>
      </c>
      <c r="C742" t="s">
        <v>42</v>
      </c>
      <c r="D742">
        <v>6</v>
      </c>
      <c r="E742">
        <v>3</v>
      </c>
      <c r="F742">
        <v>8</v>
      </c>
      <c r="G742" t="s">
        <v>27</v>
      </c>
      <c r="H742">
        <v>2</v>
      </c>
      <c r="I742" s="8">
        <v>0.52083333333333337</v>
      </c>
      <c r="J742" s="8">
        <v>0.64583333333333337</v>
      </c>
      <c r="K742" s="2">
        <f t="shared" si="9"/>
        <v>6</v>
      </c>
      <c r="L742" t="s">
        <v>25</v>
      </c>
      <c r="M742" t="s">
        <v>51</v>
      </c>
      <c r="N742" t="s">
        <v>55</v>
      </c>
      <c r="O742" s="3">
        <v>0</v>
      </c>
      <c r="P742" s="4">
        <v>0</v>
      </c>
      <c r="Q742" s="5">
        <v>0</v>
      </c>
      <c r="R742" s="6">
        <v>0</v>
      </c>
      <c r="S742" s="3">
        <v>0</v>
      </c>
      <c r="T742" s="4">
        <v>0</v>
      </c>
      <c r="U742" s="5">
        <v>6</v>
      </c>
      <c r="V742" s="6">
        <v>0</v>
      </c>
    </row>
    <row r="743" spans="1:22" x14ac:dyDescent="0.3">
      <c r="A743" t="s">
        <v>25</v>
      </c>
      <c r="B743" s="7">
        <v>45217</v>
      </c>
      <c r="C743" t="s">
        <v>42</v>
      </c>
      <c r="D743">
        <v>7</v>
      </c>
      <c r="E743">
        <v>3</v>
      </c>
      <c r="F743">
        <v>7</v>
      </c>
      <c r="G743" t="s">
        <v>27</v>
      </c>
      <c r="H743">
        <v>1</v>
      </c>
      <c r="I743" s="8">
        <v>0.6118055555555556</v>
      </c>
      <c r="J743" s="8">
        <v>0.65347222222222223</v>
      </c>
      <c r="K743" s="2">
        <f t="shared" si="9"/>
        <v>0.99999999999999911</v>
      </c>
      <c r="L743" t="s">
        <v>25</v>
      </c>
      <c r="M743" t="s">
        <v>51</v>
      </c>
      <c r="N743" t="s">
        <v>32</v>
      </c>
      <c r="O743" s="3">
        <v>0</v>
      </c>
      <c r="P743" s="4">
        <v>0</v>
      </c>
      <c r="Q743" s="5">
        <v>2</v>
      </c>
      <c r="R743" s="6">
        <v>0</v>
      </c>
      <c r="S743" s="3">
        <v>0</v>
      </c>
      <c r="T743" s="4">
        <v>0</v>
      </c>
      <c r="U743" s="5">
        <v>2</v>
      </c>
      <c r="V743" s="6">
        <v>0</v>
      </c>
    </row>
    <row r="744" spans="1:22" x14ac:dyDescent="0.3">
      <c r="A744" t="s">
        <v>25</v>
      </c>
      <c r="B744" s="7">
        <v>45217</v>
      </c>
      <c r="C744" t="s">
        <v>42</v>
      </c>
      <c r="D744">
        <v>8</v>
      </c>
      <c r="E744">
        <v>2</v>
      </c>
      <c r="F744">
        <v>3</v>
      </c>
      <c r="G744" t="s">
        <v>27</v>
      </c>
      <c r="H744">
        <v>1</v>
      </c>
      <c r="I744" s="8">
        <v>0.66666666666666663</v>
      </c>
      <c r="J744" s="8">
        <v>0.7368055555555556</v>
      </c>
      <c r="K744" s="2">
        <f t="shared" si="9"/>
        <v>1.6833333333333353</v>
      </c>
      <c r="L744" t="s">
        <v>28</v>
      </c>
      <c r="M744" t="s">
        <v>186</v>
      </c>
      <c r="N744" t="s">
        <v>38</v>
      </c>
      <c r="O744" s="3">
        <v>0</v>
      </c>
      <c r="P744" s="4">
        <v>0</v>
      </c>
      <c r="Q744" s="5">
        <v>0</v>
      </c>
      <c r="R744" s="6">
        <v>0</v>
      </c>
      <c r="S744" s="3">
        <v>0</v>
      </c>
      <c r="T744" s="4">
        <v>0</v>
      </c>
      <c r="U744" s="5">
        <v>0</v>
      </c>
      <c r="V744" s="6">
        <v>0</v>
      </c>
    </row>
    <row r="745" spans="1:22" x14ac:dyDescent="0.3">
      <c r="A745" t="s">
        <v>25</v>
      </c>
      <c r="B745" s="7">
        <v>45217</v>
      </c>
      <c r="C745" t="s">
        <v>42</v>
      </c>
      <c r="D745">
        <v>9</v>
      </c>
      <c r="E745">
        <v>2</v>
      </c>
      <c r="F745">
        <v>2</v>
      </c>
      <c r="G745" t="s">
        <v>27</v>
      </c>
      <c r="H745">
        <v>1</v>
      </c>
      <c r="I745" s="8">
        <v>0.64583333333333337</v>
      </c>
      <c r="J745" s="8">
        <v>0.75</v>
      </c>
      <c r="K745" s="2">
        <f t="shared" si="9"/>
        <v>2.4999999999999991</v>
      </c>
      <c r="L745" t="s">
        <v>28</v>
      </c>
      <c r="M745" t="s">
        <v>56</v>
      </c>
      <c r="N745" t="s">
        <v>27</v>
      </c>
      <c r="O745" s="3">
        <v>0</v>
      </c>
      <c r="P745" s="4">
        <v>0</v>
      </c>
      <c r="Q745" s="5">
        <v>0</v>
      </c>
      <c r="R745" s="6">
        <v>0</v>
      </c>
      <c r="S745" s="3">
        <v>0</v>
      </c>
      <c r="T745" s="4">
        <v>0</v>
      </c>
      <c r="U745" s="5">
        <v>0</v>
      </c>
      <c r="V745" s="6">
        <v>0</v>
      </c>
    </row>
    <row r="746" spans="1:22" x14ac:dyDescent="0.3">
      <c r="A746" t="s">
        <v>25</v>
      </c>
      <c r="B746" s="7">
        <v>45217</v>
      </c>
      <c r="C746" t="s">
        <v>42</v>
      </c>
      <c r="D746">
        <v>10</v>
      </c>
      <c r="E746">
        <v>2</v>
      </c>
      <c r="F746">
        <v>2</v>
      </c>
      <c r="G746" t="s">
        <v>27</v>
      </c>
      <c r="H746">
        <v>1</v>
      </c>
      <c r="I746" s="8">
        <v>0.6875</v>
      </c>
      <c r="J746" s="8">
        <v>0.75</v>
      </c>
      <c r="K746" s="2">
        <f t="shared" si="9"/>
        <v>1.5</v>
      </c>
      <c r="L746" t="s">
        <v>28</v>
      </c>
      <c r="M746" t="s">
        <v>29</v>
      </c>
      <c r="N746" t="s">
        <v>27</v>
      </c>
      <c r="O746" s="3">
        <v>0</v>
      </c>
      <c r="P746" s="4">
        <v>0</v>
      </c>
      <c r="Q746" s="5">
        <v>0</v>
      </c>
      <c r="R746" s="6">
        <v>1</v>
      </c>
      <c r="S746" s="3">
        <v>0</v>
      </c>
      <c r="T746" s="4">
        <v>0</v>
      </c>
      <c r="U746" s="5">
        <v>0</v>
      </c>
      <c r="V746" s="6">
        <v>0</v>
      </c>
    </row>
    <row r="747" spans="1:22" x14ac:dyDescent="0.3">
      <c r="A747" t="s">
        <v>25</v>
      </c>
      <c r="B747" s="7">
        <v>45217</v>
      </c>
      <c r="C747" t="s">
        <v>42</v>
      </c>
      <c r="D747">
        <v>11</v>
      </c>
      <c r="E747">
        <v>2</v>
      </c>
      <c r="F747">
        <v>2</v>
      </c>
      <c r="G747" t="s">
        <v>27</v>
      </c>
      <c r="H747">
        <v>1</v>
      </c>
      <c r="I747" s="8">
        <v>0.72916666666666663</v>
      </c>
      <c r="J747" s="8">
        <v>0.77083333333333337</v>
      </c>
      <c r="K747" s="2">
        <f t="shared" si="9"/>
        <v>1.0000000000000018</v>
      </c>
      <c r="L747" t="s">
        <v>25</v>
      </c>
      <c r="M747" t="s">
        <v>99</v>
      </c>
      <c r="N747" t="s">
        <v>38</v>
      </c>
      <c r="O747" s="3">
        <v>0</v>
      </c>
      <c r="P747" s="4">
        <v>0</v>
      </c>
      <c r="Q747" s="5">
        <v>0</v>
      </c>
      <c r="R747" s="6">
        <v>0</v>
      </c>
      <c r="S747" s="3">
        <v>0</v>
      </c>
      <c r="T747" s="4">
        <v>0</v>
      </c>
      <c r="U747" s="5">
        <v>0</v>
      </c>
      <c r="V747" s="6">
        <v>0</v>
      </c>
    </row>
    <row r="748" spans="1:22" x14ac:dyDescent="0.3">
      <c r="A748" t="s">
        <v>25</v>
      </c>
      <c r="B748" s="7">
        <v>45218</v>
      </c>
      <c r="C748" t="s">
        <v>26</v>
      </c>
      <c r="D748">
        <v>1</v>
      </c>
      <c r="E748">
        <v>2</v>
      </c>
      <c r="F748">
        <v>1</v>
      </c>
      <c r="G748" t="s">
        <v>27</v>
      </c>
      <c r="H748">
        <v>2</v>
      </c>
      <c r="I748" s="8">
        <v>0.29166666666666669</v>
      </c>
      <c r="J748" s="8">
        <v>0.32777777777777778</v>
      </c>
      <c r="K748" s="2">
        <f t="shared" si="9"/>
        <v>1.7333333333333325</v>
      </c>
      <c r="L748" t="s">
        <v>28</v>
      </c>
      <c r="M748" t="s">
        <v>148</v>
      </c>
      <c r="N748" t="s">
        <v>27</v>
      </c>
      <c r="O748" s="3">
        <v>0</v>
      </c>
      <c r="P748" s="4">
        <v>0</v>
      </c>
      <c r="Q748" s="5">
        <v>0</v>
      </c>
      <c r="R748" s="6">
        <v>0</v>
      </c>
      <c r="S748" s="3">
        <v>0</v>
      </c>
      <c r="T748" s="4">
        <v>0</v>
      </c>
      <c r="U748" s="5">
        <v>0</v>
      </c>
      <c r="V748" s="6">
        <v>0</v>
      </c>
    </row>
    <row r="749" spans="1:22" x14ac:dyDescent="0.3">
      <c r="A749" t="s">
        <v>25</v>
      </c>
      <c r="B749" s="7">
        <v>45218</v>
      </c>
      <c r="C749" t="s">
        <v>26</v>
      </c>
      <c r="D749">
        <v>2</v>
      </c>
      <c r="E749">
        <v>2</v>
      </c>
      <c r="F749">
        <v>2</v>
      </c>
      <c r="G749" t="s">
        <v>27</v>
      </c>
      <c r="H749">
        <v>1</v>
      </c>
      <c r="I749" s="8">
        <v>0.32291666666666669</v>
      </c>
      <c r="J749" s="8">
        <v>0.33333333333333331</v>
      </c>
      <c r="K749" s="2">
        <f t="shared" si="9"/>
        <v>0.24999999999999911</v>
      </c>
      <c r="L749" t="s">
        <v>28</v>
      </c>
      <c r="M749" t="s">
        <v>56</v>
      </c>
      <c r="N749" t="s">
        <v>27</v>
      </c>
      <c r="O749" s="3">
        <v>0</v>
      </c>
      <c r="P749" s="4">
        <v>0</v>
      </c>
      <c r="Q749" s="5">
        <v>0</v>
      </c>
      <c r="R749" s="6">
        <v>0</v>
      </c>
      <c r="S749" s="3">
        <v>0</v>
      </c>
      <c r="T749" s="4">
        <v>0</v>
      </c>
      <c r="U749" s="5">
        <v>0</v>
      </c>
      <c r="V749" s="6">
        <v>0</v>
      </c>
    </row>
    <row r="750" spans="1:22" x14ac:dyDescent="0.3">
      <c r="A750" t="s">
        <v>25</v>
      </c>
      <c r="B750" s="7">
        <v>45218</v>
      </c>
      <c r="C750" t="s">
        <v>26</v>
      </c>
      <c r="D750">
        <v>3</v>
      </c>
      <c r="E750">
        <v>2</v>
      </c>
      <c r="F750">
        <v>2</v>
      </c>
      <c r="G750" t="s">
        <v>27</v>
      </c>
      <c r="H750">
        <v>1</v>
      </c>
      <c r="I750" s="8">
        <v>0.31944444444444448</v>
      </c>
      <c r="J750" s="8">
        <v>0.33333333333333331</v>
      </c>
      <c r="K750" s="2">
        <f t="shared" si="9"/>
        <v>0.33333333333333215</v>
      </c>
      <c r="L750" t="s">
        <v>28</v>
      </c>
      <c r="M750" t="s">
        <v>56</v>
      </c>
      <c r="N750" t="s">
        <v>27</v>
      </c>
      <c r="O750" s="3">
        <v>0</v>
      </c>
      <c r="P750" s="4">
        <v>0</v>
      </c>
      <c r="Q750" s="5">
        <v>0</v>
      </c>
      <c r="R750" s="6">
        <v>0</v>
      </c>
      <c r="S750" s="3">
        <v>0</v>
      </c>
      <c r="T750" s="4">
        <v>0</v>
      </c>
      <c r="U750" s="5">
        <v>0</v>
      </c>
      <c r="V750" s="6">
        <v>0</v>
      </c>
    </row>
    <row r="751" spans="1:22" x14ac:dyDescent="0.3">
      <c r="A751" t="s">
        <v>25</v>
      </c>
      <c r="B751" s="7">
        <v>45218</v>
      </c>
      <c r="C751" t="s">
        <v>26</v>
      </c>
      <c r="D751">
        <v>4</v>
      </c>
      <c r="E751">
        <v>2</v>
      </c>
      <c r="F751">
        <v>2</v>
      </c>
      <c r="G751" t="s">
        <v>27</v>
      </c>
      <c r="H751">
        <v>1</v>
      </c>
      <c r="I751" s="8">
        <v>0.31527777777777777</v>
      </c>
      <c r="J751" s="8">
        <v>0.35416666666666669</v>
      </c>
      <c r="K751" s="2">
        <f t="shared" si="9"/>
        <v>0.93333333333333401</v>
      </c>
      <c r="L751" t="s">
        <v>28</v>
      </c>
      <c r="M751" t="s">
        <v>56</v>
      </c>
      <c r="N751" t="s">
        <v>215</v>
      </c>
      <c r="O751" s="3">
        <v>0</v>
      </c>
      <c r="P751" s="4">
        <v>0</v>
      </c>
      <c r="Q751" s="5">
        <v>0</v>
      </c>
      <c r="R751" s="6">
        <v>0</v>
      </c>
      <c r="S751" s="3">
        <v>0</v>
      </c>
      <c r="T751" s="4">
        <v>0</v>
      </c>
      <c r="U751" s="5">
        <v>0</v>
      </c>
      <c r="V751" s="6">
        <v>0</v>
      </c>
    </row>
    <row r="752" spans="1:22" x14ac:dyDescent="0.3">
      <c r="A752" t="s">
        <v>25</v>
      </c>
      <c r="B752" s="7">
        <v>45218</v>
      </c>
      <c r="C752" t="s">
        <v>26</v>
      </c>
      <c r="D752">
        <v>5</v>
      </c>
      <c r="E752">
        <v>2</v>
      </c>
      <c r="F752">
        <v>2</v>
      </c>
      <c r="G752" t="s">
        <v>27</v>
      </c>
      <c r="H752">
        <v>1</v>
      </c>
      <c r="I752" s="8">
        <v>0.31944444444444448</v>
      </c>
      <c r="J752" s="8">
        <v>0.38472222222222219</v>
      </c>
      <c r="K752" s="2">
        <f t="shared" si="9"/>
        <v>1.5666666666666651</v>
      </c>
      <c r="L752" t="s">
        <v>25</v>
      </c>
      <c r="M752" t="s">
        <v>56</v>
      </c>
      <c r="N752" t="s">
        <v>38</v>
      </c>
      <c r="O752" s="3">
        <v>0</v>
      </c>
      <c r="P752" s="4">
        <v>0</v>
      </c>
      <c r="Q752" s="5">
        <v>0</v>
      </c>
      <c r="R752" s="6">
        <v>0</v>
      </c>
      <c r="S752" s="3">
        <v>0</v>
      </c>
      <c r="T752" s="4">
        <v>0</v>
      </c>
      <c r="U752" s="5">
        <v>0</v>
      </c>
      <c r="V752" s="6">
        <v>0</v>
      </c>
    </row>
    <row r="753" spans="1:22" x14ac:dyDescent="0.3">
      <c r="A753" t="s">
        <v>25</v>
      </c>
      <c r="B753" s="7">
        <v>45218</v>
      </c>
      <c r="C753" t="s">
        <v>26</v>
      </c>
      <c r="D753">
        <v>6</v>
      </c>
      <c r="E753">
        <v>2</v>
      </c>
      <c r="F753">
        <v>4</v>
      </c>
      <c r="G753" t="s">
        <v>27</v>
      </c>
      <c r="H753">
        <v>1</v>
      </c>
      <c r="I753" s="8">
        <v>0.39097222222222222</v>
      </c>
      <c r="J753" s="8">
        <v>0.43263888888888885</v>
      </c>
      <c r="K753" s="2">
        <f t="shared" si="9"/>
        <v>0.99999999999999911</v>
      </c>
      <c r="L753" t="s">
        <v>28</v>
      </c>
      <c r="M753" t="s">
        <v>216</v>
      </c>
      <c r="N753" t="s">
        <v>215</v>
      </c>
      <c r="O753" s="3">
        <v>0</v>
      </c>
      <c r="P753" s="4">
        <v>0</v>
      </c>
      <c r="Q753" s="5">
        <v>0</v>
      </c>
      <c r="R753" s="6">
        <v>0</v>
      </c>
      <c r="S753" s="3">
        <v>0</v>
      </c>
      <c r="T753" s="4">
        <v>0</v>
      </c>
      <c r="U753" s="5">
        <v>0</v>
      </c>
      <c r="V753" s="6">
        <v>0</v>
      </c>
    </row>
    <row r="754" spans="1:22" x14ac:dyDescent="0.3">
      <c r="A754" t="s">
        <v>25</v>
      </c>
      <c r="B754" s="7">
        <v>45218</v>
      </c>
      <c r="C754" t="s">
        <v>26</v>
      </c>
      <c r="D754">
        <v>7</v>
      </c>
      <c r="E754">
        <v>2</v>
      </c>
      <c r="F754">
        <v>4</v>
      </c>
      <c r="G754" t="s">
        <v>27</v>
      </c>
      <c r="H754">
        <v>3</v>
      </c>
      <c r="I754" s="8">
        <v>0.33333333333333331</v>
      </c>
      <c r="J754" s="8">
        <v>0.46875</v>
      </c>
      <c r="K754" s="2">
        <f t="shared" si="9"/>
        <v>9.7500000000000018</v>
      </c>
      <c r="L754" t="s">
        <v>28</v>
      </c>
      <c r="M754" t="s">
        <v>217</v>
      </c>
      <c r="N754" t="s">
        <v>218</v>
      </c>
      <c r="O754" s="3">
        <v>0</v>
      </c>
      <c r="P754" s="4">
        <v>0</v>
      </c>
      <c r="Q754" s="5">
        <v>0</v>
      </c>
      <c r="R754" s="6">
        <v>0</v>
      </c>
      <c r="S754" s="3">
        <v>0</v>
      </c>
      <c r="T754" s="4">
        <v>0</v>
      </c>
      <c r="U754" s="5">
        <v>0</v>
      </c>
      <c r="V754" s="6">
        <v>0</v>
      </c>
    </row>
    <row r="755" spans="1:22" x14ac:dyDescent="0.3">
      <c r="A755" t="s">
        <v>25</v>
      </c>
      <c r="B755" s="7">
        <v>45218</v>
      </c>
      <c r="C755" t="s">
        <v>26</v>
      </c>
      <c r="D755">
        <v>8</v>
      </c>
      <c r="E755">
        <v>2</v>
      </c>
      <c r="F755">
        <v>5</v>
      </c>
      <c r="G755" t="s">
        <v>27</v>
      </c>
      <c r="H755">
        <v>2</v>
      </c>
      <c r="I755" s="8">
        <v>0.45833333333333331</v>
      </c>
      <c r="J755" s="8">
        <v>0.5</v>
      </c>
      <c r="K755" s="2">
        <f t="shared" si="9"/>
        <v>2.0000000000000009</v>
      </c>
      <c r="L755" t="s">
        <v>28</v>
      </c>
      <c r="M755" t="s">
        <v>29</v>
      </c>
      <c r="N755" t="s">
        <v>27</v>
      </c>
      <c r="O755" s="3">
        <v>0</v>
      </c>
      <c r="P755" s="4">
        <v>0</v>
      </c>
      <c r="Q755" s="5">
        <v>1</v>
      </c>
      <c r="R755" s="6">
        <v>0</v>
      </c>
      <c r="S755" s="3">
        <v>0</v>
      </c>
      <c r="T755" s="4">
        <v>0</v>
      </c>
      <c r="U755" s="5">
        <v>0</v>
      </c>
      <c r="V755" s="6">
        <v>0</v>
      </c>
    </row>
    <row r="756" spans="1:22" x14ac:dyDescent="0.3">
      <c r="A756" t="s">
        <v>25</v>
      </c>
      <c r="B756" s="7">
        <v>45218</v>
      </c>
      <c r="C756" t="s">
        <v>42</v>
      </c>
      <c r="D756">
        <v>9</v>
      </c>
      <c r="E756">
        <v>2</v>
      </c>
      <c r="F756">
        <v>5</v>
      </c>
      <c r="G756" t="s">
        <v>27</v>
      </c>
      <c r="H756">
        <v>1</v>
      </c>
      <c r="I756" s="8">
        <v>0.61805555555555558</v>
      </c>
      <c r="J756" s="8">
        <v>0.6333333333333333</v>
      </c>
      <c r="L756" t="s">
        <v>28</v>
      </c>
      <c r="M756" t="s">
        <v>56</v>
      </c>
      <c r="N756" t="s">
        <v>38</v>
      </c>
      <c r="O756" s="3">
        <v>0</v>
      </c>
      <c r="P756" s="4">
        <v>0</v>
      </c>
      <c r="Q756" s="5">
        <v>0</v>
      </c>
      <c r="R756" s="6">
        <v>0</v>
      </c>
      <c r="S756" s="3">
        <v>0</v>
      </c>
      <c r="T756" s="4">
        <v>0</v>
      </c>
      <c r="U756" s="5">
        <v>0</v>
      </c>
      <c r="V756" s="6">
        <v>0</v>
      </c>
    </row>
    <row r="757" spans="1:22" x14ac:dyDescent="0.3">
      <c r="A757" t="s">
        <v>25</v>
      </c>
      <c r="B757" s="7">
        <v>45218</v>
      </c>
      <c r="C757" t="s">
        <v>42</v>
      </c>
      <c r="D757">
        <v>10</v>
      </c>
      <c r="E757">
        <v>2</v>
      </c>
      <c r="F757">
        <v>4</v>
      </c>
      <c r="G757" t="s">
        <v>27</v>
      </c>
      <c r="H757">
        <v>1</v>
      </c>
      <c r="I757" s="8">
        <v>0.625</v>
      </c>
      <c r="J757" s="8">
        <v>0.63888888888888895</v>
      </c>
      <c r="L757" t="s">
        <v>28</v>
      </c>
      <c r="M757" t="s">
        <v>219</v>
      </c>
      <c r="N757" t="s">
        <v>110</v>
      </c>
      <c r="O757" s="3">
        <v>0</v>
      </c>
      <c r="P757" s="4">
        <v>0</v>
      </c>
      <c r="Q757" s="5">
        <v>0</v>
      </c>
      <c r="R757" s="6">
        <v>0</v>
      </c>
      <c r="S757" s="3">
        <v>0</v>
      </c>
      <c r="T757" s="4">
        <v>0</v>
      </c>
      <c r="U757" s="5">
        <v>0</v>
      </c>
      <c r="V757" s="6">
        <v>0</v>
      </c>
    </row>
    <row r="758" spans="1:22" x14ac:dyDescent="0.3">
      <c r="A758" t="s">
        <v>25</v>
      </c>
      <c r="B758" s="7">
        <v>45218</v>
      </c>
      <c r="C758" t="s">
        <v>42</v>
      </c>
      <c r="D758">
        <v>11</v>
      </c>
      <c r="E758">
        <v>2</v>
      </c>
      <c r="F758">
        <v>4</v>
      </c>
      <c r="G758" t="s">
        <v>27</v>
      </c>
      <c r="H758">
        <v>1</v>
      </c>
      <c r="I758" s="8">
        <v>0.60416666666666663</v>
      </c>
      <c r="J758" s="8">
        <v>0.66666666666666663</v>
      </c>
      <c r="L758" t="s">
        <v>28</v>
      </c>
      <c r="M758" t="s">
        <v>29</v>
      </c>
      <c r="N758" t="s">
        <v>218</v>
      </c>
      <c r="O758" s="3">
        <v>0</v>
      </c>
      <c r="P758" s="4">
        <v>0</v>
      </c>
      <c r="Q758" s="5">
        <v>0</v>
      </c>
      <c r="R758" s="6">
        <v>1</v>
      </c>
      <c r="S758" s="3">
        <v>0</v>
      </c>
      <c r="T758" s="4">
        <v>0</v>
      </c>
      <c r="U758" s="5">
        <v>0</v>
      </c>
      <c r="V758" s="6">
        <v>0</v>
      </c>
    </row>
    <row r="759" spans="1:22" x14ac:dyDescent="0.3">
      <c r="A759" t="s">
        <v>25</v>
      </c>
      <c r="B759" s="7">
        <v>45218</v>
      </c>
      <c r="C759" t="s">
        <v>42</v>
      </c>
      <c r="D759">
        <v>12</v>
      </c>
      <c r="E759">
        <v>2</v>
      </c>
      <c r="F759">
        <v>2</v>
      </c>
      <c r="G759" t="s">
        <v>27</v>
      </c>
      <c r="H759">
        <v>1</v>
      </c>
      <c r="I759" s="8">
        <v>0.66666666666666663</v>
      </c>
      <c r="J759" s="8">
        <v>0.70138888888888884</v>
      </c>
      <c r="L759" t="s">
        <v>28</v>
      </c>
      <c r="M759" t="s">
        <v>29</v>
      </c>
      <c r="N759" t="s">
        <v>27</v>
      </c>
      <c r="O759" s="3">
        <v>0</v>
      </c>
      <c r="P759" s="4">
        <v>0</v>
      </c>
      <c r="Q759" s="5">
        <v>0</v>
      </c>
      <c r="R759" s="6">
        <v>0</v>
      </c>
      <c r="S759" s="3">
        <v>0</v>
      </c>
      <c r="T759" s="4">
        <v>0</v>
      </c>
      <c r="U759" s="5">
        <v>0</v>
      </c>
      <c r="V759" s="6">
        <v>0</v>
      </c>
    </row>
    <row r="760" spans="1:22" x14ac:dyDescent="0.3">
      <c r="A760" t="s">
        <v>25</v>
      </c>
      <c r="B760" s="7">
        <v>45218</v>
      </c>
      <c r="C760" t="s">
        <v>42</v>
      </c>
      <c r="D760">
        <v>13</v>
      </c>
      <c r="E760">
        <v>2</v>
      </c>
      <c r="F760">
        <v>1</v>
      </c>
      <c r="G760" t="s">
        <v>27</v>
      </c>
      <c r="H760">
        <v>2</v>
      </c>
      <c r="I760" s="8">
        <v>0.625</v>
      </c>
      <c r="J760" s="8">
        <v>0.6791666666666667</v>
      </c>
      <c r="L760" t="s">
        <v>25</v>
      </c>
      <c r="M760" t="s">
        <v>56</v>
      </c>
      <c r="N760" t="s">
        <v>27</v>
      </c>
      <c r="O760" s="3">
        <v>0</v>
      </c>
      <c r="P760" s="4">
        <v>0</v>
      </c>
      <c r="Q760" s="5">
        <v>0</v>
      </c>
      <c r="R760" s="6">
        <v>0</v>
      </c>
      <c r="S760" s="3">
        <v>0</v>
      </c>
      <c r="T760" s="4">
        <v>0</v>
      </c>
      <c r="U760" s="5">
        <v>0</v>
      </c>
      <c r="V760" s="6">
        <v>0</v>
      </c>
    </row>
    <row r="761" spans="1:22" x14ac:dyDescent="0.3">
      <c r="A761" t="s">
        <v>25</v>
      </c>
      <c r="B761" s="7">
        <v>45218</v>
      </c>
      <c r="C761" t="s">
        <v>42</v>
      </c>
      <c r="D761">
        <v>14</v>
      </c>
      <c r="E761">
        <v>1</v>
      </c>
      <c r="F761">
        <v>2</v>
      </c>
      <c r="G761" t="s">
        <v>27</v>
      </c>
      <c r="H761">
        <v>1</v>
      </c>
      <c r="I761" s="8">
        <v>0.66666666666666663</v>
      </c>
      <c r="J761" s="8">
        <v>0.74305555555555547</v>
      </c>
      <c r="L761" t="s">
        <v>25</v>
      </c>
      <c r="M761" t="s">
        <v>73</v>
      </c>
      <c r="N761" t="s">
        <v>38</v>
      </c>
      <c r="O761" s="3">
        <v>0</v>
      </c>
      <c r="P761" s="4">
        <v>0</v>
      </c>
      <c r="Q761" s="5">
        <v>0</v>
      </c>
      <c r="R761" s="6">
        <v>0</v>
      </c>
      <c r="S761" s="3">
        <v>0</v>
      </c>
      <c r="T761" s="4">
        <v>0</v>
      </c>
      <c r="U761" s="5">
        <v>0</v>
      </c>
      <c r="V761" s="6">
        <v>0</v>
      </c>
    </row>
    <row r="762" spans="1:22" x14ac:dyDescent="0.3">
      <c r="A762" t="s">
        <v>25</v>
      </c>
      <c r="B762" s="7">
        <v>45219</v>
      </c>
      <c r="C762" t="s">
        <v>26</v>
      </c>
      <c r="D762">
        <v>1</v>
      </c>
      <c r="E762">
        <v>2</v>
      </c>
      <c r="F762">
        <v>2</v>
      </c>
      <c r="G762" t="s">
        <v>27</v>
      </c>
      <c r="H762">
        <v>1</v>
      </c>
      <c r="I762" s="8">
        <v>0.32291666666666669</v>
      </c>
      <c r="J762" s="8">
        <v>0.33333333333333331</v>
      </c>
      <c r="L762" t="s">
        <v>28</v>
      </c>
      <c r="M762" t="s">
        <v>56</v>
      </c>
      <c r="N762" t="s">
        <v>38</v>
      </c>
      <c r="O762" s="3">
        <v>0</v>
      </c>
      <c r="P762" s="4">
        <v>0</v>
      </c>
      <c r="Q762" s="5">
        <v>0</v>
      </c>
      <c r="R762" s="6">
        <v>0</v>
      </c>
      <c r="S762" s="3">
        <v>0</v>
      </c>
      <c r="T762" s="4">
        <v>0</v>
      </c>
      <c r="U762" s="5">
        <v>0</v>
      </c>
      <c r="V762" s="6">
        <v>0</v>
      </c>
    </row>
    <row r="763" spans="1:22" x14ac:dyDescent="0.3">
      <c r="A763" t="s">
        <v>25</v>
      </c>
      <c r="B763" s="7">
        <v>45219</v>
      </c>
      <c r="C763" t="s">
        <v>26</v>
      </c>
      <c r="D763">
        <v>2</v>
      </c>
      <c r="E763">
        <v>2</v>
      </c>
      <c r="F763">
        <v>2</v>
      </c>
      <c r="G763" t="s">
        <v>27</v>
      </c>
      <c r="H763">
        <v>1</v>
      </c>
      <c r="I763" s="8">
        <v>0.3125</v>
      </c>
      <c r="J763" s="8">
        <v>0.33333333333333331</v>
      </c>
      <c r="L763" t="s">
        <v>28</v>
      </c>
      <c r="M763" t="s">
        <v>29</v>
      </c>
      <c r="N763" t="s">
        <v>218</v>
      </c>
      <c r="O763" s="3">
        <v>0</v>
      </c>
      <c r="P763" s="4">
        <v>0</v>
      </c>
      <c r="Q763" s="5">
        <v>0</v>
      </c>
      <c r="R763" s="6">
        <v>0</v>
      </c>
      <c r="S763" s="3">
        <v>0</v>
      </c>
      <c r="T763" s="4">
        <v>0</v>
      </c>
      <c r="U763" s="5">
        <v>0</v>
      </c>
      <c r="V763" s="6">
        <v>0</v>
      </c>
    </row>
    <row r="764" spans="1:22" x14ac:dyDescent="0.3">
      <c r="A764" t="s">
        <v>25</v>
      </c>
      <c r="B764" s="7">
        <v>45219</v>
      </c>
      <c r="C764" t="s">
        <v>26</v>
      </c>
      <c r="D764">
        <v>3</v>
      </c>
      <c r="E764">
        <v>2</v>
      </c>
      <c r="F764">
        <v>2</v>
      </c>
      <c r="G764" t="s">
        <v>27</v>
      </c>
      <c r="H764">
        <v>1</v>
      </c>
      <c r="I764" s="8">
        <v>0.32291666666666669</v>
      </c>
      <c r="J764" s="8">
        <v>0.34722222222222227</v>
      </c>
      <c r="L764" t="s">
        <v>28</v>
      </c>
      <c r="M764" t="s">
        <v>56</v>
      </c>
      <c r="N764" t="s">
        <v>38</v>
      </c>
      <c r="O764" s="3">
        <v>0</v>
      </c>
      <c r="P764" s="4">
        <v>0</v>
      </c>
      <c r="Q764" s="5">
        <v>0</v>
      </c>
      <c r="R764" s="6">
        <v>0</v>
      </c>
      <c r="S764" s="3">
        <v>0</v>
      </c>
      <c r="T764" s="4">
        <v>0</v>
      </c>
      <c r="U764" s="5">
        <v>0</v>
      </c>
      <c r="V764" s="6">
        <v>0</v>
      </c>
    </row>
    <row r="765" spans="1:22" x14ac:dyDescent="0.3">
      <c r="A765" t="s">
        <v>25</v>
      </c>
      <c r="B765" s="7">
        <v>45219</v>
      </c>
      <c r="C765" t="s">
        <v>26</v>
      </c>
      <c r="D765">
        <v>4</v>
      </c>
      <c r="E765">
        <v>2</v>
      </c>
      <c r="F765">
        <v>3</v>
      </c>
      <c r="G765" t="s">
        <v>27</v>
      </c>
      <c r="H765">
        <v>1</v>
      </c>
      <c r="I765" s="8">
        <v>0.34027777777777773</v>
      </c>
      <c r="J765" s="8">
        <v>0.3611111111111111</v>
      </c>
      <c r="L765" t="s">
        <v>28</v>
      </c>
      <c r="M765" t="s">
        <v>29</v>
      </c>
      <c r="N765" t="s">
        <v>38</v>
      </c>
      <c r="O765" s="3">
        <v>0</v>
      </c>
      <c r="P765" s="4">
        <v>0</v>
      </c>
      <c r="Q765" s="5">
        <v>0</v>
      </c>
      <c r="R765" s="6">
        <v>0</v>
      </c>
      <c r="S765" s="3">
        <v>0</v>
      </c>
      <c r="T765" s="4">
        <v>0</v>
      </c>
      <c r="U765" s="5">
        <v>0</v>
      </c>
      <c r="V765" s="6">
        <v>0</v>
      </c>
    </row>
    <row r="766" spans="1:22" x14ac:dyDescent="0.3">
      <c r="A766" t="s">
        <v>25</v>
      </c>
      <c r="B766" s="7">
        <v>45219</v>
      </c>
      <c r="C766" t="s">
        <v>26</v>
      </c>
      <c r="D766">
        <v>5</v>
      </c>
      <c r="E766">
        <v>2</v>
      </c>
      <c r="F766">
        <v>4</v>
      </c>
      <c r="G766" t="s">
        <v>27</v>
      </c>
      <c r="H766">
        <v>2</v>
      </c>
      <c r="I766" s="8">
        <v>0.375</v>
      </c>
      <c r="J766" s="8">
        <v>0.39166666666666666</v>
      </c>
      <c r="L766" t="s">
        <v>28</v>
      </c>
      <c r="M766" t="s">
        <v>62</v>
      </c>
      <c r="N766" t="s">
        <v>27</v>
      </c>
      <c r="O766" s="3">
        <v>0</v>
      </c>
      <c r="P766" s="4">
        <v>0</v>
      </c>
      <c r="Q766" s="5">
        <v>0</v>
      </c>
      <c r="R766" s="6">
        <v>0</v>
      </c>
      <c r="S766" s="3">
        <v>0</v>
      </c>
      <c r="T766" s="4">
        <v>0</v>
      </c>
      <c r="U766" s="5">
        <v>0</v>
      </c>
      <c r="V766" s="6">
        <v>0</v>
      </c>
    </row>
    <row r="767" spans="1:22" x14ac:dyDescent="0.3">
      <c r="A767" t="s">
        <v>25</v>
      </c>
      <c r="B767" s="7">
        <v>45219</v>
      </c>
      <c r="C767" t="s">
        <v>26</v>
      </c>
      <c r="D767">
        <v>6</v>
      </c>
      <c r="E767">
        <v>2</v>
      </c>
      <c r="F767">
        <v>5</v>
      </c>
      <c r="G767" t="s">
        <v>27</v>
      </c>
      <c r="H767">
        <v>2</v>
      </c>
      <c r="I767" s="8">
        <v>0.3125</v>
      </c>
      <c r="J767" s="8">
        <v>0.39583333333333331</v>
      </c>
      <c r="L767" t="s">
        <v>28</v>
      </c>
      <c r="M767" t="s">
        <v>29</v>
      </c>
      <c r="N767" t="s">
        <v>32</v>
      </c>
      <c r="O767" s="3">
        <v>0</v>
      </c>
      <c r="P767" s="4">
        <v>0</v>
      </c>
      <c r="Q767" s="5">
        <v>2</v>
      </c>
      <c r="R767" s="6">
        <v>0</v>
      </c>
      <c r="S767" s="3">
        <v>0</v>
      </c>
      <c r="T767" s="4">
        <v>0</v>
      </c>
      <c r="U767" s="5">
        <v>3</v>
      </c>
      <c r="V767" s="6">
        <v>0</v>
      </c>
    </row>
    <row r="768" spans="1:22" x14ac:dyDescent="0.3">
      <c r="A768" t="s">
        <v>25</v>
      </c>
      <c r="B768" s="7">
        <v>45219</v>
      </c>
      <c r="C768" t="s">
        <v>26</v>
      </c>
      <c r="D768">
        <v>7</v>
      </c>
      <c r="E768">
        <v>3</v>
      </c>
      <c r="F768">
        <v>2</v>
      </c>
      <c r="G768" t="s">
        <v>27</v>
      </c>
      <c r="H768">
        <v>2</v>
      </c>
      <c r="I768" s="8">
        <v>0.38541666666666669</v>
      </c>
      <c r="J768" s="8">
        <v>0.41944444444444445</v>
      </c>
      <c r="L768" t="s">
        <v>28</v>
      </c>
      <c r="M768" t="s">
        <v>29</v>
      </c>
      <c r="N768" t="s">
        <v>38</v>
      </c>
      <c r="O768" s="3">
        <v>0</v>
      </c>
      <c r="P768" s="4">
        <v>0</v>
      </c>
      <c r="Q768" s="5">
        <v>0</v>
      </c>
      <c r="R768" s="6">
        <v>0</v>
      </c>
      <c r="S768" s="3">
        <v>0</v>
      </c>
      <c r="T768" s="4">
        <v>0</v>
      </c>
      <c r="U768" s="5">
        <v>0</v>
      </c>
      <c r="V768" s="6">
        <v>0</v>
      </c>
    </row>
    <row r="769" spans="1:25" x14ac:dyDescent="0.3">
      <c r="A769" t="s">
        <v>25</v>
      </c>
      <c r="B769" s="7">
        <v>45219</v>
      </c>
      <c r="C769" t="s">
        <v>26</v>
      </c>
      <c r="D769">
        <v>8</v>
      </c>
      <c r="E769">
        <v>3</v>
      </c>
      <c r="F769">
        <v>6</v>
      </c>
      <c r="G769" t="s">
        <v>27</v>
      </c>
      <c r="H769">
        <v>1</v>
      </c>
      <c r="I769" s="8">
        <v>0.41666666666666669</v>
      </c>
      <c r="J769" s="8">
        <v>0.44444444444444442</v>
      </c>
      <c r="L769" t="s">
        <v>28</v>
      </c>
      <c r="M769" t="s">
        <v>179</v>
      </c>
      <c r="N769" t="s">
        <v>38</v>
      </c>
      <c r="O769" s="3">
        <v>0</v>
      </c>
      <c r="P769" s="4">
        <v>0</v>
      </c>
      <c r="Q769" s="5">
        <v>0</v>
      </c>
      <c r="R769" s="6">
        <v>0</v>
      </c>
      <c r="S769" s="3">
        <v>0</v>
      </c>
      <c r="T769" s="4">
        <v>0</v>
      </c>
      <c r="U769" s="5">
        <v>0</v>
      </c>
      <c r="V769" s="6">
        <v>0</v>
      </c>
    </row>
    <row r="770" spans="1:25" x14ac:dyDescent="0.3">
      <c r="A770" t="s">
        <v>25</v>
      </c>
      <c r="B770" s="7">
        <v>45219</v>
      </c>
      <c r="C770" t="s">
        <v>26</v>
      </c>
      <c r="D770">
        <v>9</v>
      </c>
      <c r="E770">
        <v>3</v>
      </c>
      <c r="F770">
        <v>6</v>
      </c>
      <c r="G770" t="s">
        <v>27</v>
      </c>
      <c r="H770">
        <v>1</v>
      </c>
      <c r="I770" s="8">
        <v>0.43055555555555558</v>
      </c>
      <c r="J770" s="8">
        <v>0.44444444444444442</v>
      </c>
      <c r="L770" t="s">
        <v>28</v>
      </c>
      <c r="M770" t="s">
        <v>29</v>
      </c>
      <c r="N770" t="s">
        <v>38</v>
      </c>
      <c r="O770" s="3">
        <v>0</v>
      </c>
      <c r="P770" s="4">
        <v>0</v>
      </c>
      <c r="Q770" s="5">
        <v>0</v>
      </c>
      <c r="R770" s="6">
        <v>0</v>
      </c>
      <c r="S770" s="3">
        <v>0</v>
      </c>
      <c r="T770" s="4">
        <v>0</v>
      </c>
      <c r="U770" s="5">
        <v>2</v>
      </c>
      <c r="V770" s="6">
        <v>0</v>
      </c>
    </row>
    <row r="771" spans="1:25" x14ac:dyDescent="0.3">
      <c r="A771" t="s">
        <v>25</v>
      </c>
      <c r="B771" s="7">
        <v>45219</v>
      </c>
      <c r="C771" t="s">
        <v>26</v>
      </c>
      <c r="D771">
        <v>10</v>
      </c>
      <c r="E771">
        <v>3</v>
      </c>
      <c r="F771">
        <v>7</v>
      </c>
      <c r="G771" t="s">
        <v>27</v>
      </c>
      <c r="H771">
        <v>1</v>
      </c>
      <c r="I771" s="8">
        <v>0.4375</v>
      </c>
      <c r="J771" s="8">
        <v>0.45833333333333331</v>
      </c>
      <c r="L771" t="s">
        <v>25</v>
      </c>
      <c r="M771" t="s">
        <v>73</v>
      </c>
      <c r="N771" t="s">
        <v>27</v>
      </c>
      <c r="O771" s="3">
        <v>0</v>
      </c>
      <c r="P771" s="4">
        <v>0</v>
      </c>
      <c r="Q771" s="5">
        <v>0</v>
      </c>
      <c r="R771" s="6">
        <v>0</v>
      </c>
      <c r="S771" s="3">
        <v>0</v>
      </c>
      <c r="T771" s="4">
        <v>0</v>
      </c>
      <c r="U771" s="5">
        <v>1</v>
      </c>
      <c r="V771" s="6">
        <v>0</v>
      </c>
    </row>
    <row r="772" spans="1:25" x14ac:dyDescent="0.3">
      <c r="A772" t="s">
        <v>25</v>
      </c>
      <c r="B772" s="7">
        <v>45219</v>
      </c>
      <c r="C772" t="s">
        <v>26</v>
      </c>
      <c r="D772">
        <v>11</v>
      </c>
      <c r="E772">
        <v>3</v>
      </c>
      <c r="F772">
        <v>7</v>
      </c>
      <c r="G772" t="s">
        <v>27</v>
      </c>
      <c r="H772">
        <v>2</v>
      </c>
      <c r="I772" s="8">
        <v>0.38263888888888892</v>
      </c>
      <c r="J772" s="8">
        <v>0.46597222222222223</v>
      </c>
      <c r="L772" t="s">
        <v>28</v>
      </c>
      <c r="M772" t="s">
        <v>148</v>
      </c>
      <c r="N772" t="s">
        <v>27</v>
      </c>
      <c r="O772" s="3">
        <v>0</v>
      </c>
      <c r="P772" s="4">
        <v>0</v>
      </c>
      <c r="Q772" s="5">
        <v>0</v>
      </c>
      <c r="R772" s="6">
        <v>0</v>
      </c>
      <c r="S772" s="3">
        <v>0</v>
      </c>
      <c r="T772" s="4">
        <v>0</v>
      </c>
      <c r="U772" s="5">
        <v>3</v>
      </c>
      <c r="V772" s="6">
        <v>0</v>
      </c>
    </row>
    <row r="773" spans="1:25" x14ac:dyDescent="0.3">
      <c r="A773" t="s">
        <v>25</v>
      </c>
      <c r="B773" s="7">
        <v>45219</v>
      </c>
      <c r="C773" t="s">
        <v>26</v>
      </c>
      <c r="D773">
        <v>12</v>
      </c>
      <c r="E773">
        <v>3</v>
      </c>
      <c r="F773">
        <v>8</v>
      </c>
      <c r="G773" t="s">
        <v>27</v>
      </c>
      <c r="H773">
        <v>1</v>
      </c>
      <c r="I773" s="8">
        <v>0.3125</v>
      </c>
      <c r="J773" s="8">
        <v>0.47916666666666669</v>
      </c>
      <c r="L773" t="s">
        <v>25</v>
      </c>
      <c r="M773" t="s">
        <v>51</v>
      </c>
      <c r="N773" t="s">
        <v>215</v>
      </c>
      <c r="O773" s="3">
        <v>0</v>
      </c>
      <c r="P773" s="4">
        <v>0</v>
      </c>
      <c r="Q773" s="5">
        <v>0</v>
      </c>
      <c r="R773" s="6">
        <v>0</v>
      </c>
      <c r="S773" s="3">
        <v>0</v>
      </c>
      <c r="T773" s="4">
        <v>0</v>
      </c>
      <c r="U773" s="5">
        <v>6</v>
      </c>
      <c r="V773" s="6">
        <v>0</v>
      </c>
    </row>
    <row r="774" spans="1:25" x14ac:dyDescent="0.3">
      <c r="A774" t="s">
        <v>25</v>
      </c>
      <c r="B774" s="7">
        <v>45219</v>
      </c>
      <c r="C774" t="s">
        <v>26</v>
      </c>
      <c r="D774">
        <v>13</v>
      </c>
      <c r="E774">
        <v>3</v>
      </c>
      <c r="F774">
        <v>8</v>
      </c>
      <c r="G774" t="s">
        <v>27</v>
      </c>
      <c r="H774">
        <v>1</v>
      </c>
      <c r="I774" s="8">
        <v>0.33333333333333331</v>
      </c>
      <c r="J774" s="8">
        <v>0.47916666666666669</v>
      </c>
      <c r="L774" t="s">
        <v>25</v>
      </c>
      <c r="M774" t="s">
        <v>51</v>
      </c>
      <c r="N774" t="s">
        <v>27</v>
      </c>
      <c r="O774" s="3">
        <v>0</v>
      </c>
      <c r="P774" s="4">
        <v>0</v>
      </c>
      <c r="Q774" s="5">
        <v>0</v>
      </c>
      <c r="R774" s="6">
        <v>0</v>
      </c>
      <c r="S774" s="3">
        <v>0</v>
      </c>
      <c r="T774" s="4">
        <v>0</v>
      </c>
      <c r="U774" s="5">
        <v>20</v>
      </c>
      <c r="V774" s="6">
        <v>0</v>
      </c>
    </row>
    <row r="775" spans="1:25" x14ac:dyDescent="0.3">
      <c r="A775" t="s">
        <v>25</v>
      </c>
      <c r="B775" s="7">
        <v>45219</v>
      </c>
      <c r="C775" t="s">
        <v>26</v>
      </c>
      <c r="D775">
        <v>14</v>
      </c>
      <c r="E775">
        <v>3</v>
      </c>
      <c r="F775">
        <v>8</v>
      </c>
      <c r="G775" t="s">
        <v>27</v>
      </c>
      <c r="H775">
        <v>1</v>
      </c>
      <c r="I775" s="8">
        <v>0.3263888888888889</v>
      </c>
      <c r="J775" s="8">
        <v>0.48333333333333334</v>
      </c>
      <c r="L775" t="s">
        <v>28</v>
      </c>
      <c r="M775" t="s">
        <v>51</v>
      </c>
      <c r="N775" t="s">
        <v>38</v>
      </c>
      <c r="O775" s="3">
        <v>0</v>
      </c>
      <c r="P775" s="4">
        <v>0</v>
      </c>
      <c r="Q775" s="5">
        <v>0</v>
      </c>
      <c r="R775" s="6">
        <v>0</v>
      </c>
      <c r="S775" s="3">
        <v>0</v>
      </c>
      <c r="T775" s="4">
        <v>0</v>
      </c>
      <c r="U775" s="5">
        <v>3</v>
      </c>
      <c r="V775" s="6">
        <v>0</v>
      </c>
    </row>
    <row r="776" spans="1:25" x14ac:dyDescent="0.3">
      <c r="A776" t="s">
        <v>25</v>
      </c>
      <c r="B776" s="7">
        <v>45219</v>
      </c>
      <c r="C776" t="s">
        <v>26</v>
      </c>
      <c r="D776">
        <v>15</v>
      </c>
      <c r="E776">
        <v>3</v>
      </c>
      <c r="F776">
        <v>8</v>
      </c>
      <c r="G776" t="s">
        <v>27</v>
      </c>
      <c r="H776">
        <v>3</v>
      </c>
      <c r="I776" s="8">
        <v>0.29166666666666669</v>
      </c>
      <c r="J776" s="8">
        <v>0.48888888888888887</v>
      </c>
      <c r="L776" t="s">
        <v>25</v>
      </c>
      <c r="M776" t="s">
        <v>145</v>
      </c>
      <c r="N776" t="s">
        <v>38</v>
      </c>
      <c r="O776" s="3">
        <v>0</v>
      </c>
      <c r="P776" s="4">
        <v>0</v>
      </c>
      <c r="Q776" s="5">
        <v>0</v>
      </c>
      <c r="R776" s="6">
        <v>0</v>
      </c>
      <c r="S776" s="3">
        <v>0</v>
      </c>
      <c r="T776" s="4">
        <v>0</v>
      </c>
      <c r="U776" s="5">
        <v>5</v>
      </c>
      <c r="V776" s="6">
        <v>0</v>
      </c>
      <c r="Y776" t="s">
        <v>220</v>
      </c>
    </row>
    <row r="777" spans="1:25" x14ac:dyDescent="0.3">
      <c r="A777" t="s">
        <v>25</v>
      </c>
      <c r="B777" s="7">
        <v>45219</v>
      </c>
      <c r="C777" t="s">
        <v>26</v>
      </c>
      <c r="D777">
        <v>16</v>
      </c>
      <c r="E777">
        <v>3</v>
      </c>
      <c r="F777">
        <v>8</v>
      </c>
      <c r="G777" t="s">
        <v>27</v>
      </c>
      <c r="H777">
        <v>2</v>
      </c>
      <c r="I777" s="8">
        <v>0.33333333333333331</v>
      </c>
      <c r="J777" s="8">
        <v>0.5</v>
      </c>
      <c r="L777" t="s">
        <v>25</v>
      </c>
      <c r="M777" t="s">
        <v>51</v>
      </c>
      <c r="N777" t="s">
        <v>38</v>
      </c>
      <c r="O777" s="3">
        <v>0</v>
      </c>
      <c r="P777" s="4">
        <v>0</v>
      </c>
      <c r="Q777" s="5">
        <v>2</v>
      </c>
      <c r="R777" s="6">
        <v>0</v>
      </c>
      <c r="S777" s="3">
        <v>0</v>
      </c>
      <c r="T777" s="4">
        <v>0</v>
      </c>
      <c r="U777" s="5">
        <v>10</v>
      </c>
      <c r="V777" s="6">
        <v>0</v>
      </c>
    </row>
    <row r="778" spans="1:25" x14ac:dyDescent="0.3">
      <c r="A778" t="s">
        <v>25</v>
      </c>
      <c r="B778" s="7">
        <v>45220</v>
      </c>
      <c r="C778" t="s">
        <v>26</v>
      </c>
      <c r="D778">
        <v>1</v>
      </c>
      <c r="E778">
        <v>3</v>
      </c>
      <c r="F778">
        <v>8</v>
      </c>
      <c r="G778" t="s">
        <v>27</v>
      </c>
      <c r="H778">
        <v>2</v>
      </c>
      <c r="I778" s="8">
        <v>0.27083333333333331</v>
      </c>
      <c r="J778" s="8">
        <v>0.32777777777777778</v>
      </c>
      <c r="L778" t="s">
        <v>25</v>
      </c>
      <c r="M778" t="s">
        <v>51</v>
      </c>
      <c r="N778" t="s">
        <v>27</v>
      </c>
      <c r="O778" s="3">
        <v>0</v>
      </c>
      <c r="P778" s="4">
        <v>0</v>
      </c>
      <c r="Q778" s="5">
        <v>1</v>
      </c>
      <c r="R778" s="6">
        <v>0</v>
      </c>
      <c r="S778" s="3">
        <v>0</v>
      </c>
      <c r="T778" s="4">
        <v>0</v>
      </c>
      <c r="U778" s="5">
        <v>3</v>
      </c>
      <c r="V778" s="6">
        <v>0</v>
      </c>
    </row>
    <row r="779" spans="1:25" x14ac:dyDescent="0.3">
      <c r="A779" t="s">
        <v>25</v>
      </c>
      <c r="B779" s="7">
        <v>45220</v>
      </c>
      <c r="C779" t="s">
        <v>26</v>
      </c>
      <c r="D779">
        <v>2</v>
      </c>
      <c r="E779">
        <v>3</v>
      </c>
      <c r="F779">
        <v>6</v>
      </c>
      <c r="G779" t="s">
        <v>27</v>
      </c>
      <c r="H779">
        <v>1</v>
      </c>
      <c r="I779" s="8">
        <v>0.3263888888888889</v>
      </c>
      <c r="J779" s="8">
        <v>0.35833333333333334</v>
      </c>
      <c r="L779" t="s">
        <v>28</v>
      </c>
      <c r="M779" t="s">
        <v>51</v>
      </c>
      <c r="N779" t="s">
        <v>38</v>
      </c>
      <c r="O779" s="3">
        <v>0</v>
      </c>
      <c r="P779" s="4">
        <v>0</v>
      </c>
      <c r="Q779" s="5">
        <v>0</v>
      </c>
      <c r="R779" s="6">
        <v>0</v>
      </c>
      <c r="S779" s="3">
        <v>0</v>
      </c>
      <c r="T779" s="4">
        <v>0</v>
      </c>
      <c r="U779" s="5">
        <v>0</v>
      </c>
      <c r="V779" s="6">
        <v>0</v>
      </c>
    </row>
    <row r="780" spans="1:25" x14ac:dyDescent="0.3">
      <c r="A780" t="s">
        <v>25</v>
      </c>
      <c r="B780" s="7">
        <v>45220</v>
      </c>
      <c r="C780" t="s">
        <v>26</v>
      </c>
      <c r="D780">
        <v>3</v>
      </c>
      <c r="E780">
        <v>3</v>
      </c>
      <c r="F780">
        <v>2</v>
      </c>
      <c r="G780" t="s">
        <v>27</v>
      </c>
      <c r="H780">
        <v>1</v>
      </c>
      <c r="I780" s="8">
        <v>0.35416666666666669</v>
      </c>
      <c r="J780" s="8">
        <v>0.3888888888888889</v>
      </c>
      <c r="L780" t="s">
        <v>28</v>
      </c>
      <c r="M780" t="s">
        <v>51</v>
      </c>
      <c r="N780" t="s">
        <v>38</v>
      </c>
      <c r="O780" s="3">
        <v>0</v>
      </c>
      <c r="P780" s="4">
        <v>0</v>
      </c>
      <c r="Q780" s="5">
        <v>0</v>
      </c>
      <c r="R780" s="6">
        <v>0</v>
      </c>
      <c r="S780" s="3">
        <v>0</v>
      </c>
      <c r="T780" s="4">
        <v>0</v>
      </c>
      <c r="U780" s="5">
        <v>6</v>
      </c>
      <c r="V780" s="6">
        <v>0</v>
      </c>
    </row>
    <row r="781" spans="1:25" x14ac:dyDescent="0.3">
      <c r="A781" t="s">
        <v>25</v>
      </c>
      <c r="B781" s="7">
        <v>45220</v>
      </c>
      <c r="C781" t="s">
        <v>26</v>
      </c>
      <c r="D781">
        <v>4</v>
      </c>
      <c r="E781">
        <v>3</v>
      </c>
      <c r="F781">
        <v>2</v>
      </c>
      <c r="G781" t="s">
        <v>27</v>
      </c>
      <c r="H781">
        <v>1</v>
      </c>
      <c r="I781" s="8">
        <v>0.375</v>
      </c>
      <c r="J781" s="8">
        <v>0.39583333333333331</v>
      </c>
      <c r="L781" t="s">
        <v>28</v>
      </c>
      <c r="M781" t="s">
        <v>56</v>
      </c>
      <c r="N781" t="s">
        <v>27</v>
      </c>
      <c r="O781" s="3">
        <v>0</v>
      </c>
      <c r="P781" s="4">
        <v>0</v>
      </c>
      <c r="Q781" s="5">
        <v>0</v>
      </c>
      <c r="R781" s="6">
        <v>0</v>
      </c>
      <c r="S781" s="3">
        <v>0</v>
      </c>
      <c r="T781" s="4">
        <v>0</v>
      </c>
      <c r="U781" s="5">
        <v>0</v>
      </c>
      <c r="V781" s="6">
        <v>0</v>
      </c>
    </row>
    <row r="782" spans="1:25" x14ac:dyDescent="0.3">
      <c r="A782" t="s">
        <v>25</v>
      </c>
      <c r="B782" s="7">
        <v>45220</v>
      </c>
      <c r="C782" t="s">
        <v>26</v>
      </c>
      <c r="D782">
        <v>5</v>
      </c>
      <c r="E782">
        <v>2</v>
      </c>
      <c r="F782">
        <v>2</v>
      </c>
      <c r="G782" t="s">
        <v>27</v>
      </c>
      <c r="H782">
        <v>1</v>
      </c>
      <c r="I782" s="8">
        <v>0.3125</v>
      </c>
      <c r="J782" s="8">
        <v>0.46319444444444446</v>
      </c>
      <c r="L782" t="s">
        <v>25</v>
      </c>
      <c r="M782" t="s">
        <v>56</v>
      </c>
      <c r="N782" t="s">
        <v>38</v>
      </c>
      <c r="O782" s="3">
        <v>0</v>
      </c>
      <c r="P782" s="4">
        <v>0</v>
      </c>
      <c r="Q782" s="5">
        <v>0</v>
      </c>
      <c r="R782" s="6">
        <v>0</v>
      </c>
      <c r="S782" s="3">
        <v>0</v>
      </c>
      <c r="T782" s="4">
        <v>2</v>
      </c>
      <c r="U782" s="5">
        <v>0</v>
      </c>
      <c r="V782" s="6">
        <v>0</v>
      </c>
      <c r="W782" t="s">
        <v>221</v>
      </c>
    </row>
    <row r="783" spans="1:25" x14ac:dyDescent="0.3">
      <c r="A783" t="s">
        <v>25</v>
      </c>
      <c r="B783" s="7">
        <v>45220</v>
      </c>
      <c r="C783" t="s">
        <v>26</v>
      </c>
      <c r="D783">
        <v>6</v>
      </c>
      <c r="E783">
        <v>2</v>
      </c>
      <c r="F783">
        <v>2</v>
      </c>
      <c r="G783" t="s">
        <v>27</v>
      </c>
      <c r="H783">
        <v>1</v>
      </c>
      <c r="I783" s="8">
        <v>0.3125</v>
      </c>
      <c r="J783" s="8">
        <v>0.46319444444444446</v>
      </c>
      <c r="L783" t="s">
        <v>25</v>
      </c>
      <c r="M783" t="s">
        <v>56</v>
      </c>
      <c r="N783" t="s">
        <v>38</v>
      </c>
      <c r="O783" s="3">
        <v>0</v>
      </c>
      <c r="P783" s="4">
        <v>0</v>
      </c>
      <c r="Q783" s="5">
        <v>0</v>
      </c>
      <c r="R783" s="6">
        <v>0</v>
      </c>
      <c r="S783" s="3">
        <v>0</v>
      </c>
      <c r="T783" s="4">
        <v>1</v>
      </c>
      <c r="U783" s="5">
        <v>0</v>
      </c>
      <c r="V783" s="6">
        <v>0</v>
      </c>
    </row>
    <row r="784" spans="1:25" x14ac:dyDescent="0.3">
      <c r="A784" t="s">
        <v>25</v>
      </c>
      <c r="B784" s="7">
        <v>45220</v>
      </c>
      <c r="C784" t="s">
        <v>26</v>
      </c>
      <c r="D784">
        <v>7</v>
      </c>
      <c r="E784">
        <v>1</v>
      </c>
      <c r="F784">
        <v>4</v>
      </c>
      <c r="G784" t="s">
        <v>27</v>
      </c>
      <c r="H784">
        <v>1</v>
      </c>
      <c r="I784" s="8">
        <v>0.44444444444444442</v>
      </c>
      <c r="J784" s="8">
        <v>0.4861111111111111</v>
      </c>
      <c r="L784" t="s">
        <v>28</v>
      </c>
      <c r="M784" t="s">
        <v>56</v>
      </c>
      <c r="N784" t="s">
        <v>38</v>
      </c>
      <c r="O784" s="3">
        <v>0</v>
      </c>
      <c r="P784" s="4">
        <v>0</v>
      </c>
      <c r="Q784" s="5">
        <v>0</v>
      </c>
      <c r="R784" s="6">
        <v>0</v>
      </c>
      <c r="S784" s="3">
        <v>0</v>
      </c>
      <c r="T784" s="4">
        <v>0</v>
      </c>
      <c r="U784" s="5">
        <v>0</v>
      </c>
      <c r="V784" s="6">
        <v>0</v>
      </c>
      <c r="W784" t="s">
        <v>222</v>
      </c>
    </row>
    <row r="785" spans="1:22" x14ac:dyDescent="0.3">
      <c r="A785" t="s">
        <v>25</v>
      </c>
      <c r="B785" s="7">
        <v>45220</v>
      </c>
      <c r="C785" t="s">
        <v>26</v>
      </c>
      <c r="D785">
        <v>8</v>
      </c>
      <c r="E785">
        <v>1</v>
      </c>
      <c r="F785">
        <v>2</v>
      </c>
      <c r="G785" t="s">
        <v>27</v>
      </c>
      <c r="H785">
        <v>1</v>
      </c>
      <c r="I785" s="8">
        <v>0.47916666666666669</v>
      </c>
      <c r="J785" s="8">
        <v>0.49305555555555558</v>
      </c>
      <c r="L785" t="s">
        <v>28</v>
      </c>
      <c r="M785" t="s">
        <v>223</v>
      </c>
      <c r="N785" t="s">
        <v>110</v>
      </c>
      <c r="O785" s="3">
        <v>0</v>
      </c>
      <c r="P785" s="4">
        <v>0</v>
      </c>
      <c r="Q785" s="5">
        <v>0</v>
      </c>
      <c r="R785" s="6">
        <v>0</v>
      </c>
      <c r="S785" s="3">
        <v>0</v>
      </c>
      <c r="T785" s="4">
        <v>0</v>
      </c>
      <c r="U785" s="5">
        <v>0</v>
      </c>
      <c r="V785" s="6">
        <v>0</v>
      </c>
    </row>
    <row r="786" spans="1:22" x14ac:dyDescent="0.3">
      <c r="A786" t="s">
        <v>25</v>
      </c>
      <c r="B786" s="7">
        <v>45220</v>
      </c>
      <c r="C786" t="s">
        <v>42</v>
      </c>
      <c r="D786">
        <v>9</v>
      </c>
      <c r="E786">
        <v>2</v>
      </c>
      <c r="F786">
        <v>4</v>
      </c>
      <c r="G786" t="s">
        <v>27</v>
      </c>
      <c r="H786">
        <v>1</v>
      </c>
      <c r="I786" s="8">
        <v>0.625</v>
      </c>
      <c r="J786" s="8">
        <v>0.70833333333333337</v>
      </c>
      <c r="L786" t="s">
        <v>25</v>
      </c>
      <c r="M786" t="s">
        <v>186</v>
      </c>
      <c r="N786" t="s">
        <v>218</v>
      </c>
      <c r="O786" s="3">
        <v>0</v>
      </c>
      <c r="P786" s="4">
        <v>0</v>
      </c>
      <c r="Q786" s="5">
        <v>0</v>
      </c>
      <c r="R786" s="6">
        <v>0</v>
      </c>
      <c r="S786" s="3">
        <v>0</v>
      </c>
      <c r="T786" s="4">
        <v>0</v>
      </c>
      <c r="U786" s="5">
        <v>0</v>
      </c>
      <c r="V786" s="6">
        <v>0</v>
      </c>
    </row>
    <row r="787" spans="1:22" x14ac:dyDescent="0.3">
      <c r="A787" t="s">
        <v>25</v>
      </c>
      <c r="B787" s="7">
        <v>45220</v>
      </c>
      <c r="C787" t="s">
        <v>42</v>
      </c>
      <c r="D787">
        <v>10</v>
      </c>
      <c r="E787">
        <v>2</v>
      </c>
      <c r="F787">
        <v>4</v>
      </c>
      <c r="G787" t="s">
        <v>27</v>
      </c>
      <c r="H787">
        <v>2</v>
      </c>
      <c r="I787" s="8">
        <v>0.625</v>
      </c>
      <c r="J787" s="8">
        <v>0.70833333333333337</v>
      </c>
      <c r="L787" t="s">
        <v>25</v>
      </c>
      <c r="M787" t="s">
        <v>29</v>
      </c>
      <c r="N787" t="s">
        <v>218</v>
      </c>
      <c r="O787" s="3">
        <v>0</v>
      </c>
      <c r="P787" s="4">
        <v>0</v>
      </c>
      <c r="Q787" s="5">
        <v>0</v>
      </c>
      <c r="R787" s="6">
        <v>0</v>
      </c>
      <c r="S787" s="3">
        <v>0</v>
      </c>
      <c r="T787" s="4">
        <v>0</v>
      </c>
      <c r="U787" s="5">
        <v>0</v>
      </c>
      <c r="V787" s="6">
        <v>0</v>
      </c>
    </row>
    <row r="788" spans="1:22" x14ac:dyDescent="0.3">
      <c r="A788" t="s">
        <v>25</v>
      </c>
      <c r="B788" s="7">
        <v>45220</v>
      </c>
      <c r="C788" t="s">
        <v>42</v>
      </c>
      <c r="D788">
        <v>11</v>
      </c>
      <c r="E788">
        <v>2</v>
      </c>
      <c r="F788">
        <v>4</v>
      </c>
      <c r="G788" t="s">
        <v>27</v>
      </c>
      <c r="H788">
        <v>1</v>
      </c>
      <c r="I788" s="8">
        <v>0.64583333333333337</v>
      </c>
      <c r="J788" s="8">
        <v>0.72222222222222221</v>
      </c>
      <c r="L788" t="s">
        <v>28</v>
      </c>
      <c r="M788" t="s">
        <v>29</v>
      </c>
      <c r="N788" t="s">
        <v>215</v>
      </c>
      <c r="O788" s="3">
        <v>0</v>
      </c>
      <c r="P788" s="4">
        <v>0</v>
      </c>
      <c r="Q788" s="5">
        <v>0</v>
      </c>
      <c r="R788" s="6">
        <v>0</v>
      </c>
      <c r="S788" s="3">
        <v>0</v>
      </c>
      <c r="T788" s="4">
        <v>0</v>
      </c>
      <c r="U788" s="5">
        <v>0</v>
      </c>
      <c r="V788" s="6">
        <v>0</v>
      </c>
    </row>
    <row r="789" spans="1:22" x14ac:dyDescent="0.3">
      <c r="A789" t="s">
        <v>25</v>
      </c>
      <c r="B789" s="7">
        <v>45220</v>
      </c>
      <c r="C789" t="s">
        <v>42</v>
      </c>
      <c r="D789">
        <v>12</v>
      </c>
      <c r="E789">
        <v>2</v>
      </c>
      <c r="F789">
        <v>3</v>
      </c>
      <c r="G789" t="s">
        <v>27</v>
      </c>
      <c r="H789">
        <v>1</v>
      </c>
      <c r="I789" s="8">
        <v>0.625</v>
      </c>
      <c r="J789" s="8">
        <v>0.75</v>
      </c>
      <c r="L789" t="s">
        <v>25</v>
      </c>
      <c r="M789" t="s">
        <v>186</v>
      </c>
      <c r="N789" t="s">
        <v>110</v>
      </c>
      <c r="O789" s="3">
        <v>0</v>
      </c>
      <c r="P789" s="4">
        <v>0</v>
      </c>
      <c r="Q789" s="5">
        <v>0</v>
      </c>
      <c r="R789" s="6">
        <v>0</v>
      </c>
      <c r="S789" s="3">
        <v>0</v>
      </c>
      <c r="T789" s="4">
        <v>1</v>
      </c>
      <c r="U789" s="5">
        <v>0</v>
      </c>
      <c r="V789" s="6">
        <v>1</v>
      </c>
    </row>
    <row r="790" spans="1:22" x14ac:dyDescent="0.3">
      <c r="A790" t="s">
        <v>25</v>
      </c>
      <c r="B790" s="7">
        <v>45220</v>
      </c>
      <c r="C790" t="s">
        <v>42</v>
      </c>
      <c r="D790">
        <v>13</v>
      </c>
      <c r="E790">
        <v>2</v>
      </c>
      <c r="F790">
        <v>3</v>
      </c>
      <c r="G790" t="s">
        <v>27</v>
      </c>
      <c r="H790">
        <v>1</v>
      </c>
      <c r="I790" s="8">
        <v>0.625</v>
      </c>
      <c r="J790" s="8">
        <v>0.75</v>
      </c>
      <c r="L790" t="s">
        <v>25</v>
      </c>
      <c r="M790" t="s">
        <v>186</v>
      </c>
      <c r="N790" t="s">
        <v>218</v>
      </c>
      <c r="O790" s="3">
        <v>0</v>
      </c>
      <c r="P790" s="4">
        <v>0</v>
      </c>
      <c r="Q790" s="5">
        <v>0</v>
      </c>
      <c r="R790" s="6">
        <v>0</v>
      </c>
      <c r="S790" s="3">
        <v>0</v>
      </c>
      <c r="T790" s="4">
        <v>0</v>
      </c>
      <c r="U790" s="5">
        <v>0</v>
      </c>
      <c r="V790" s="6">
        <v>0</v>
      </c>
    </row>
    <row r="791" spans="1:22" x14ac:dyDescent="0.3">
      <c r="A791" t="s">
        <v>25</v>
      </c>
      <c r="B791" s="7">
        <v>45224</v>
      </c>
      <c r="C791" t="s">
        <v>26</v>
      </c>
      <c r="D791">
        <v>1</v>
      </c>
      <c r="E791">
        <v>2</v>
      </c>
      <c r="F791">
        <v>1</v>
      </c>
      <c r="G791" t="s">
        <v>27</v>
      </c>
      <c r="H791">
        <v>2</v>
      </c>
      <c r="I791" s="8">
        <v>0.3125</v>
      </c>
      <c r="J791" s="8">
        <v>0.33333333333333331</v>
      </c>
      <c r="L791" t="s">
        <v>28</v>
      </c>
      <c r="M791" t="s">
        <v>29</v>
      </c>
      <c r="N791" t="s">
        <v>215</v>
      </c>
      <c r="O791" s="3">
        <v>0</v>
      </c>
      <c r="P791" s="4">
        <v>0</v>
      </c>
      <c r="Q791" s="5">
        <v>0</v>
      </c>
      <c r="R791" s="6">
        <v>0</v>
      </c>
      <c r="S791" s="3">
        <v>0</v>
      </c>
      <c r="T791" s="4">
        <v>0</v>
      </c>
      <c r="U791" s="5">
        <v>0</v>
      </c>
      <c r="V791" s="6">
        <v>0</v>
      </c>
    </row>
    <row r="792" spans="1:22" x14ac:dyDescent="0.3">
      <c r="A792" t="s">
        <v>25</v>
      </c>
      <c r="B792" s="7">
        <v>45224</v>
      </c>
      <c r="C792" t="s">
        <v>26</v>
      </c>
      <c r="D792">
        <v>2</v>
      </c>
      <c r="E792">
        <v>2</v>
      </c>
      <c r="F792">
        <v>2</v>
      </c>
      <c r="G792" t="s">
        <v>27</v>
      </c>
      <c r="H792">
        <v>2</v>
      </c>
      <c r="I792" s="8">
        <v>0.33333333333333331</v>
      </c>
      <c r="J792" s="8">
        <v>0.35416666666666669</v>
      </c>
      <c r="L792" t="s">
        <v>28</v>
      </c>
      <c r="M792" t="s">
        <v>56</v>
      </c>
      <c r="N792" t="s">
        <v>215</v>
      </c>
      <c r="O792" s="3">
        <v>0</v>
      </c>
      <c r="P792" s="4">
        <v>0</v>
      </c>
      <c r="Q792" s="5">
        <v>0</v>
      </c>
      <c r="R792" s="6">
        <v>0</v>
      </c>
      <c r="S792" s="3">
        <v>0</v>
      </c>
      <c r="T792" s="4">
        <v>0</v>
      </c>
      <c r="U792" s="5">
        <v>0</v>
      </c>
      <c r="V792" s="6">
        <v>0</v>
      </c>
    </row>
    <row r="793" spans="1:22" x14ac:dyDescent="0.3">
      <c r="A793" t="s">
        <v>25</v>
      </c>
      <c r="B793" s="7">
        <v>45224</v>
      </c>
      <c r="C793" t="s">
        <v>26</v>
      </c>
      <c r="D793">
        <v>3</v>
      </c>
      <c r="E793">
        <v>2</v>
      </c>
      <c r="F793">
        <v>2</v>
      </c>
      <c r="G793" t="s">
        <v>27</v>
      </c>
      <c r="H793">
        <v>2</v>
      </c>
      <c r="I793" s="8">
        <v>0.29166666666666669</v>
      </c>
      <c r="J793" s="8">
        <v>0.36458333333333331</v>
      </c>
      <c r="L793" t="s">
        <v>28</v>
      </c>
      <c r="M793" t="s">
        <v>56</v>
      </c>
      <c r="N793" t="s">
        <v>38</v>
      </c>
      <c r="O793" s="3">
        <v>0</v>
      </c>
      <c r="P793" s="4">
        <v>0</v>
      </c>
      <c r="Q793" s="5">
        <v>0</v>
      </c>
      <c r="R793" s="6">
        <v>0</v>
      </c>
      <c r="S793" s="3">
        <v>0</v>
      </c>
      <c r="T793" s="4">
        <v>0</v>
      </c>
      <c r="U793" s="5">
        <v>0</v>
      </c>
      <c r="V793" s="6">
        <v>0</v>
      </c>
    </row>
    <row r="794" spans="1:22" x14ac:dyDescent="0.3">
      <c r="A794" t="s">
        <v>25</v>
      </c>
      <c r="B794" s="7">
        <v>45224</v>
      </c>
      <c r="C794" t="s">
        <v>26</v>
      </c>
      <c r="D794">
        <v>4</v>
      </c>
      <c r="E794">
        <v>3</v>
      </c>
      <c r="F794">
        <v>5</v>
      </c>
      <c r="G794" t="s">
        <v>27</v>
      </c>
      <c r="H794">
        <v>2</v>
      </c>
      <c r="I794" s="8">
        <v>0.41666666666666669</v>
      </c>
      <c r="J794" s="8">
        <v>0.44444444444444442</v>
      </c>
      <c r="L794" t="s">
        <v>28</v>
      </c>
      <c r="M794" t="s">
        <v>51</v>
      </c>
      <c r="N794" t="s">
        <v>218</v>
      </c>
      <c r="O794" s="3">
        <v>0</v>
      </c>
      <c r="P794" s="4">
        <v>0</v>
      </c>
      <c r="Q794" s="5">
        <v>0</v>
      </c>
      <c r="R794" s="6">
        <v>0</v>
      </c>
      <c r="S794" s="3">
        <v>0</v>
      </c>
      <c r="T794" s="4">
        <v>0</v>
      </c>
      <c r="U794" s="5">
        <v>1</v>
      </c>
      <c r="V794" s="6">
        <v>0</v>
      </c>
    </row>
    <row r="795" spans="1:22" x14ac:dyDescent="0.3">
      <c r="A795" t="s">
        <v>25</v>
      </c>
      <c r="B795" s="7">
        <v>45224</v>
      </c>
      <c r="C795" t="s">
        <v>26</v>
      </c>
      <c r="D795">
        <v>5</v>
      </c>
      <c r="E795">
        <v>3</v>
      </c>
      <c r="F795">
        <v>6</v>
      </c>
      <c r="G795" t="s">
        <v>27</v>
      </c>
      <c r="H795">
        <v>1</v>
      </c>
      <c r="I795" s="8">
        <v>0.27083333333333331</v>
      </c>
      <c r="J795" s="8">
        <v>0.45624999999999999</v>
      </c>
      <c r="L795" t="s">
        <v>28</v>
      </c>
      <c r="M795" t="s">
        <v>51</v>
      </c>
      <c r="N795" t="s">
        <v>215</v>
      </c>
      <c r="O795" s="3">
        <v>0</v>
      </c>
      <c r="P795" s="4">
        <v>0</v>
      </c>
      <c r="Q795" s="5">
        <v>0</v>
      </c>
      <c r="R795" s="6">
        <v>0</v>
      </c>
      <c r="S795" s="3">
        <v>0</v>
      </c>
      <c r="T795" s="4">
        <v>0</v>
      </c>
      <c r="U795" s="5">
        <v>3</v>
      </c>
      <c r="V795" s="6">
        <v>0</v>
      </c>
    </row>
    <row r="796" spans="1:22" x14ac:dyDescent="0.3">
      <c r="A796" t="s">
        <v>25</v>
      </c>
      <c r="B796" s="7">
        <v>45224</v>
      </c>
      <c r="C796" t="s">
        <v>26</v>
      </c>
      <c r="D796">
        <v>6</v>
      </c>
      <c r="E796">
        <v>3</v>
      </c>
      <c r="F796">
        <v>6</v>
      </c>
      <c r="G796" t="s">
        <v>27</v>
      </c>
      <c r="H796">
        <v>1</v>
      </c>
      <c r="I796" s="8">
        <v>0.3125</v>
      </c>
      <c r="J796" s="8">
        <v>0.45624999999999999</v>
      </c>
      <c r="L796" t="s">
        <v>28</v>
      </c>
      <c r="M796" t="s">
        <v>51</v>
      </c>
      <c r="N796" t="s">
        <v>27</v>
      </c>
      <c r="O796" s="3">
        <v>0</v>
      </c>
      <c r="P796" s="4">
        <v>0</v>
      </c>
      <c r="Q796" s="5">
        <v>0</v>
      </c>
      <c r="R796" s="6">
        <v>0</v>
      </c>
      <c r="S796" s="3">
        <v>0</v>
      </c>
      <c r="T796" s="4">
        <v>0</v>
      </c>
      <c r="U796" s="5">
        <v>1</v>
      </c>
      <c r="V796" s="6">
        <v>1</v>
      </c>
    </row>
    <row r="797" spans="1:22" x14ac:dyDescent="0.3">
      <c r="A797" t="s">
        <v>25</v>
      </c>
      <c r="B797" s="7">
        <v>45224</v>
      </c>
      <c r="C797" t="s">
        <v>26</v>
      </c>
      <c r="D797">
        <v>7</v>
      </c>
      <c r="E797">
        <v>3</v>
      </c>
      <c r="F797">
        <v>8</v>
      </c>
      <c r="G797" t="s">
        <v>27</v>
      </c>
      <c r="H797">
        <v>1</v>
      </c>
      <c r="I797" s="8">
        <v>0.29166666666666669</v>
      </c>
      <c r="J797" s="8">
        <v>0.4861111111111111</v>
      </c>
      <c r="L797" t="s">
        <v>25</v>
      </c>
      <c r="M797" t="s">
        <v>51</v>
      </c>
      <c r="N797" t="s">
        <v>38</v>
      </c>
      <c r="O797" s="3">
        <v>0</v>
      </c>
      <c r="P797" s="4">
        <v>1</v>
      </c>
      <c r="Q797" s="5">
        <v>0</v>
      </c>
      <c r="R797" s="6">
        <v>2</v>
      </c>
      <c r="S797" s="3">
        <v>0</v>
      </c>
      <c r="T797" s="4">
        <v>0</v>
      </c>
      <c r="U797" s="5">
        <v>2</v>
      </c>
      <c r="V797" s="6">
        <v>0</v>
      </c>
    </row>
    <row r="798" spans="1:22" x14ac:dyDescent="0.3">
      <c r="A798" t="s">
        <v>25</v>
      </c>
      <c r="B798" s="7">
        <v>45224</v>
      </c>
      <c r="C798" t="s">
        <v>26</v>
      </c>
      <c r="D798">
        <v>8</v>
      </c>
      <c r="E798">
        <v>3</v>
      </c>
      <c r="F798">
        <v>8</v>
      </c>
      <c r="G798" t="s">
        <v>27</v>
      </c>
      <c r="H798">
        <v>1</v>
      </c>
      <c r="I798" s="8">
        <v>0.4375</v>
      </c>
      <c r="J798" s="8">
        <v>0.48958333333333331</v>
      </c>
      <c r="L798" t="s">
        <v>28</v>
      </c>
      <c r="M798" t="s">
        <v>51</v>
      </c>
      <c r="N798" t="s">
        <v>218</v>
      </c>
      <c r="O798" s="3">
        <v>0</v>
      </c>
      <c r="P798" s="4">
        <v>0</v>
      </c>
      <c r="Q798" s="5">
        <v>0</v>
      </c>
      <c r="R798" s="6">
        <v>1</v>
      </c>
      <c r="S798" s="3">
        <v>0</v>
      </c>
      <c r="T798" s="4">
        <v>0</v>
      </c>
      <c r="U798" s="5">
        <v>3</v>
      </c>
      <c r="V798" s="6">
        <v>0</v>
      </c>
    </row>
    <row r="799" spans="1:22" x14ac:dyDescent="0.3">
      <c r="A799" t="s">
        <v>25</v>
      </c>
      <c r="B799" s="7">
        <v>45224</v>
      </c>
      <c r="C799" t="s">
        <v>42</v>
      </c>
      <c r="D799">
        <v>9</v>
      </c>
      <c r="E799">
        <v>2</v>
      </c>
      <c r="F799">
        <v>2</v>
      </c>
      <c r="G799" t="s">
        <v>27</v>
      </c>
      <c r="H799">
        <v>1</v>
      </c>
      <c r="I799" s="8">
        <v>0.70833333333333337</v>
      </c>
      <c r="J799" s="8">
        <v>0.74444444444444446</v>
      </c>
      <c r="L799" t="s">
        <v>25</v>
      </c>
      <c r="M799" t="s">
        <v>29</v>
      </c>
      <c r="N799" t="s">
        <v>224</v>
      </c>
      <c r="O799" s="3">
        <v>0</v>
      </c>
      <c r="P799" s="4">
        <v>0</v>
      </c>
      <c r="Q799" s="5">
        <v>0</v>
      </c>
      <c r="R799" s="6">
        <v>0</v>
      </c>
      <c r="S799" s="3">
        <v>0</v>
      </c>
      <c r="T799" s="4">
        <v>0</v>
      </c>
      <c r="U799" s="5">
        <v>0</v>
      </c>
      <c r="V799" s="6">
        <v>0</v>
      </c>
    </row>
    <row r="800" spans="1:22" x14ac:dyDescent="0.3">
      <c r="A800" t="s">
        <v>25</v>
      </c>
      <c r="B800" s="7">
        <v>45224</v>
      </c>
      <c r="C800" t="s">
        <v>42</v>
      </c>
      <c r="D800">
        <v>10</v>
      </c>
      <c r="E800">
        <v>2</v>
      </c>
      <c r="F800">
        <v>2</v>
      </c>
      <c r="G800" t="s">
        <v>27</v>
      </c>
      <c r="H800">
        <v>4</v>
      </c>
      <c r="I800" s="8">
        <v>0.70833333333333337</v>
      </c>
      <c r="J800" s="8">
        <v>0.76041666666666663</v>
      </c>
      <c r="L800" t="s">
        <v>25</v>
      </c>
      <c r="M800" t="s">
        <v>29</v>
      </c>
      <c r="N800" t="s">
        <v>224</v>
      </c>
      <c r="O800" s="3">
        <v>0</v>
      </c>
      <c r="P800" s="4">
        <v>0</v>
      </c>
      <c r="Q800" s="5">
        <v>0</v>
      </c>
      <c r="R800" s="6">
        <v>0</v>
      </c>
      <c r="S800" s="3">
        <v>0</v>
      </c>
      <c r="T800" s="4">
        <v>0</v>
      </c>
      <c r="U800" s="5">
        <v>0</v>
      </c>
      <c r="V800" s="6">
        <v>0</v>
      </c>
    </row>
    <row r="801" spans="1:25" x14ac:dyDescent="0.3">
      <c r="A801" t="s">
        <v>25</v>
      </c>
      <c r="B801" s="7">
        <v>45225</v>
      </c>
      <c r="C801" t="s">
        <v>26</v>
      </c>
      <c r="D801">
        <v>1</v>
      </c>
      <c r="E801">
        <v>2</v>
      </c>
      <c r="F801">
        <v>2</v>
      </c>
      <c r="G801" t="s">
        <v>27</v>
      </c>
      <c r="H801">
        <v>3</v>
      </c>
      <c r="I801" s="8">
        <v>0.27083333333333331</v>
      </c>
      <c r="J801" s="8">
        <v>0.35416666666666669</v>
      </c>
      <c r="L801" t="s">
        <v>28</v>
      </c>
      <c r="M801" t="s">
        <v>56</v>
      </c>
      <c r="N801" t="s">
        <v>215</v>
      </c>
      <c r="O801" s="3">
        <v>0</v>
      </c>
      <c r="P801" s="4">
        <v>0</v>
      </c>
      <c r="Q801" s="5">
        <v>0</v>
      </c>
      <c r="R801" s="6">
        <v>0</v>
      </c>
      <c r="S801" s="3">
        <v>0</v>
      </c>
      <c r="T801" s="4">
        <v>0</v>
      </c>
      <c r="U801" s="5">
        <v>0</v>
      </c>
      <c r="V801" s="6">
        <v>0</v>
      </c>
    </row>
    <row r="802" spans="1:25" x14ac:dyDescent="0.3">
      <c r="A802" t="s">
        <v>25</v>
      </c>
      <c r="B802" s="7">
        <v>45225</v>
      </c>
      <c r="C802" t="s">
        <v>26</v>
      </c>
      <c r="D802">
        <v>2</v>
      </c>
      <c r="E802">
        <v>2</v>
      </c>
      <c r="F802">
        <v>2</v>
      </c>
      <c r="G802" t="s">
        <v>27</v>
      </c>
      <c r="H802">
        <v>1</v>
      </c>
      <c r="I802" s="8">
        <v>0.3125</v>
      </c>
      <c r="J802" s="8">
        <v>0.375</v>
      </c>
      <c r="L802" t="s">
        <v>28</v>
      </c>
      <c r="M802" t="s">
        <v>29</v>
      </c>
      <c r="N802" t="s">
        <v>218</v>
      </c>
      <c r="O802" s="3">
        <v>0</v>
      </c>
      <c r="P802" s="4">
        <v>0</v>
      </c>
      <c r="Q802" s="5">
        <v>0</v>
      </c>
      <c r="R802" s="6">
        <v>0</v>
      </c>
      <c r="S802" s="3">
        <v>0</v>
      </c>
      <c r="T802" s="4">
        <v>1</v>
      </c>
      <c r="U802" s="5">
        <v>0</v>
      </c>
      <c r="V802" s="6">
        <v>0</v>
      </c>
      <c r="Y802" t="s">
        <v>175</v>
      </c>
    </row>
    <row r="803" spans="1:25" x14ac:dyDescent="0.3">
      <c r="A803" t="s">
        <v>25</v>
      </c>
      <c r="B803" s="7">
        <v>45225</v>
      </c>
      <c r="C803" t="s">
        <v>26</v>
      </c>
      <c r="D803">
        <v>3</v>
      </c>
      <c r="E803">
        <v>2</v>
      </c>
      <c r="F803">
        <v>2</v>
      </c>
      <c r="G803" t="s">
        <v>27</v>
      </c>
      <c r="H803">
        <v>2</v>
      </c>
      <c r="I803" s="8">
        <v>0.33333333333333331</v>
      </c>
      <c r="J803" s="8">
        <v>0.375</v>
      </c>
      <c r="L803" t="s">
        <v>28</v>
      </c>
      <c r="M803" t="s">
        <v>29</v>
      </c>
      <c r="N803" t="s">
        <v>218</v>
      </c>
      <c r="O803" s="3">
        <v>0</v>
      </c>
      <c r="P803" s="4">
        <v>1</v>
      </c>
      <c r="Q803" s="5">
        <v>0</v>
      </c>
      <c r="R803" s="6">
        <v>0</v>
      </c>
      <c r="S803" s="3">
        <v>0</v>
      </c>
      <c r="T803" s="4">
        <v>0</v>
      </c>
      <c r="U803" s="5">
        <v>0</v>
      </c>
      <c r="V803" s="6">
        <v>0</v>
      </c>
      <c r="Y803" t="s">
        <v>175</v>
      </c>
    </row>
    <row r="804" spans="1:25" x14ac:dyDescent="0.3">
      <c r="A804" t="s">
        <v>25</v>
      </c>
      <c r="B804" s="7">
        <v>45225</v>
      </c>
      <c r="C804" t="s">
        <v>26</v>
      </c>
      <c r="D804">
        <v>4</v>
      </c>
      <c r="E804">
        <v>2</v>
      </c>
      <c r="F804">
        <v>4</v>
      </c>
      <c r="G804" t="s">
        <v>27</v>
      </c>
      <c r="H804">
        <v>2</v>
      </c>
      <c r="I804" s="8">
        <v>0.3125</v>
      </c>
      <c r="J804" s="8">
        <v>0.42708333333333331</v>
      </c>
      <c r="L804" t="s">
        <v>25</v>
      </c>
      <c r="M804" t="s">
        <v>29</v>
      </c>
      <c r="N804" t="s">
        <v>218</v>
      </c>
      <c r="O804" s="3">
        <v>0</v>
      </c>
      <c r="P804" s="4">
        <v>0</v>
      </c>
      <c r="Q804" s="5">
        <v>0</v>
      </c>
      <c r="R804" s="6">
        <v>1</v>
      </c>
      <c r="S804" s="3">
        <v>0</v>
      </c>
      <c r="T804" s="4">
        <v>0</v>
      </c>
      <c r="U804" s="5">
        <v>0</v>
      </c>
      <c r="V804" s="6">
        <v>0</v>
      </c>
    </row>
    <row r="805" spans="1:25" x14ac:dyDescent="0.3">
      <c r="A805" t="s">
        <v>25</v>
      </c>
      <c r="B805" s="7">
        <v>45225</v>
      </c>
      <c r="C805" t="s">
        <v>26</v>
      </c>
      <c r="D805">
        <v>5</v>
      </c>
      <c r="E805">
        <v>2</v>
      </c>
      <c r="F805">
        <v>4</v>
      </c>
      <c r="G805" t="s">
        <v>27</v>
      </c>
      <c r="H805">
        <v>1</v>
      </c>
      <c r="I805" s="8">
        <v>0.3125</v>
      </c>
      <c r="J805" s="8">
        <v>0.4375</v>
      </c>
      <c r="L805" t="s">
        <v>25</v>
      </c>
      <c r="M805" t="s">
        <v>29</v>
      </c>
      <c r="N805" t="s">
        <v>218</v>
      </c>
      <c r="O805" s="3">
        <v>0</v>
      </c>
      <c r="P805" s="4">
        <v>0</v>
      </c>
      <c r="Q805" s="5">
        <v>0</v>
      </c>
      <c r="R805" s="6">
        <v>1</v>
      </c>
      <c r="S805" s="3">
        <v>0</v>
      </c>
      <c r="T805" s="4">
        <v>0</v>
      </c>
      <c r="U805" s="5">
        <v>0</v>
      </c>
      <c r="V805" s="6">
        <v>0</v>
      </c>
    </row>
    <row r="806" spans="1:25" x14ac:dyDescent="0.3">
      <c r="A806" t="s">
        <v>25</v>
      </c>
      <c r="B806" s="7">
        <v>45225</v>
      </c>
      <c r="C806" t="s">
        <v>26</v>
      </c>
      <c r="D806">
        <v>6</v>
      </c>
      <c r="E806">
        <v>2</v>
      </c>
      <c r="F806">
        <v>4</v>
      </c>
      <c r="G806" t="s">
        <v>27</v>
      </c>
      <c r="H806">
        <v>3</v>
      </c>
      <c r="I806" s="8">
        <v>0.3125</v>
      </c>
      <c r="J806" s="8">
        <v>0.4375</v>
      </c>
      <c r="L806" t="s">
        <v>25</v>
      </c>
      <c r="M806" t="s">
        <v>29</v>
      </c>
      <c r="N806" t="s">
        <v>218</v>
      </c>
      <c r="O806" s="3">
        <v>0</v>
      </c>
      <c r="P806" s="4">
        <v>0</v>
      </c>
      <c r="Q806" s="5">
        <v>0</v>
      </c>
      <c r="R806" s="6">
        <v>4</v>
      </c>
      <c r="S806" s="3">
        <v>0</v>
      </c>
      <c r="T806" s="4">
        <v>0</v>
      </c>
      <c r="U806" s="5">
        <v>0</v>
      </c>
      <c r="V806" s="6">
        <v>1</v>
      </c>
    </row>
    <row r="807" spans="1:25" x14ac:dyDescent="0.3">
      <c r="A807" t="s">
        <v>25</v>
      </c>
      <c r="B807" s="7">
        <v>45225</v>
      </c>
      <c r="C807" t="s">
        <v>26</v>
      </c>
      <c r="D807">
        <v>7</v>
      </c>
      <c r="E807">
        <v>2</v>
      </c>
      <c r="F807">
        <v>4</v>
      </c>
      <c r="G807" t="s">
        <v>27</v>
      </c>
      <c r="H807">
        <v>2</v>
      </c>
      <c r="I807" s="8">
        <v>0.29166666666666669</v>
      </c>
      <c r="J807" s="8">
        <v>0.44305555555555554</v>
      </c>
      <c r="L807" t="s">
        <v>25</v>
      </c>
      <c r="M807" t="s">
        <v>29</v>
      </c>
      <c r="N807" t="s">
        <v>218</v>
      </c>
      <c r="O807" s="3">
        <v>0</v>
      </c>
      <c r="P807" s="4">
        <v>0</v>
      </c>
      <c r="Q807" s="5">
        <v>0</v>
      </c>
      <c r="R807" s="6">
        <v>0</v>
      </c>
      <c r="S807" s="3">
        <v>0</v>
      </c>
      <c r="T807" s="4">
        <v>0</v>
      </c>
      <c r="U807" s="5">
        <v>0</v>
      </c>
      <c r="V807" s="6">
        <v>0</v>
      </c>
    </row>
    <row r="808" spans="1:25" x14ac:dyDescent="0.3">
      <c r="A808" t="s">
        <v>25</v>
      </c>
      <c r="B808" s="7">
        <v>45225</v>
      </c>
      <c r="C808" t="s">
        <v>26</v>
      </c>
      <c r="D808">
        <v>8</v>
      </c>
      <c r="E808">
        <v>2</v>
      </c>
      <c r="F808">
        <v>4</v>
      </c>
      <c r="G808" t="s">
        <v>27</v>
      </c>
      <c r="H808">
        <v>1</v>
      </c>
      <c r="I808" s="8">
        <v>0.35416666666666669</v>
      </c>
      <c r="J808" s="8">
        <v>0.4458333333333333</v>
      </c>
      <c r="L808" t="s">
        <v>25</v>
      </c>
      <c r="M808" t="s">
        <v>29</v>
      </c>
      <c r="N808" t="s">
        <v>218</v>
      </c>
      <c r="O808" s="3">
        <v>0</v>
      </c>
      <c r="P808" s="4">
        <v>0</v>
      </c>
      <c r="Q808" s="5">
        <v>0</v>
      </c>
      <c r="R808" s="6">
        <v>0</v>
      </c>
      <c r="S808" s="3">
        <v>0</v>
      </c>
      <c r="T808" s="4">
        <v>0</v>
      </c>
      <c r="U808" s="5">
        <v>0</v>
      </c>
      <c r="V808" s="6">
        <v>0</v>
      </c>
    </row>
    <row r="809" spans="1:25" x14ac:dyDescent="0.3">
      <c r="A809" t="s">
        <v>25</v>
      </c>
      <c r="B809" s="7">
        <v>45225</v>
      </c>
      <c r="C809" t="s">
        <v>26</v>
      </c>
      <c r="D809">
        <v>9</v>
      </c>
      <c r="E809">
        <v>2</v>
      </c>
      <c r="F809">
        <v>4</v>
      </c>
      <c r="G809" t="s">
        <v>27</v>
      </c>
      <c r="H809">
        <v>1</v>
      </c>
      <c r="I809" s="8">
        <v>0.33333333333333331</v>
      </c>
      <c r="J809" s="8">
        <v>0.4548611111111111</v>
      </c>
      <c r="L809" t="s">
        <v>25</v>
      </c>
      <c r="M809" t="s">
        <v>29</v>
      </c>
      <c r="N809" t="s">
        <v>218</v>
      </c>
      <c r="O809" s="3">
        <v>0</v>
      </c>
      <c r="P809" s="4">
        <v>0</v>
      </c>
      <c r="Q809" s="5">
        <v>0</v>
      </c>
      <c r="R809" s="6">
        <v>0</v>
      </c>
      <c r="S809" s="3">
        <v>0</v>
      </c>
      <c r="T809" s="4">
        <v>0</v>
      </c>
      <c r="U809" s="5">
        <v>0</v>
      </c>
      <c r="V809" s="6">
        <v>0</v>
      </c>
    </row>
    <row r="810" spans="1:25" x14ac:dyDescent="0.3">
      <c r="A810" t="s">
        <v>25</v>
      </c>
      <c r="B810" s="7">
        <v>45225</v>
      </c>
      <c r="C810" t="s">
        <v>26</v>
      </c>
      <c r="D810">
        <v>10</v>
      </c>
      <c r="E810">
        <v>2</v>
      </c>
      <c r="F810">
        <v>4</v>
      </c>
      <c r="G810" t="s">
        <v>27</v>
      </c>
      <c r="H810">
        <v>1</v>
      </c>
      <c r="I810" s="8">
        <v>0.35416666666666669</v>
      </c>
      <c r="J810" s="8">
        <v>0.46527777777777773</v>
      </c>
      <c r="L810" t="s">
        <v>25</v>
      </c>
      <c r="M810" t="s">
        <v>29</v>
      </c>
      <c r="N810" t="s">
        <v>218</v>
      </c>
      <c r="O810" s="3">
        <v>0</v>
      </c>
      <c r="P810" s="4">
        <v>0</v>
      </c>
      <c r="Q810" s="5">
        <v>0</v>
      </c>
      <c r="R810" s="6">
        <v>0</v>
      </c>
      <c r="S810" s="3">
        <v>0</v>
      </c>
      <c r="T810" s="4">
        <v>0</v>
      </c>
      <c r="U810" s="5">
        <v>0</v>
      </c>
      <c r="V810" s="6">
        <v>0</v>
      </c>
    </row>
    <row r="811" spans="1:25" x14ac:dyDescent="0.3">
      <c r="A811" t="s">
        <v>25</v>
      </c>
      <c r="B811" s="7">
        <v>45225</v>
      </c>
      <c r="C811" t="s">
        <v>26</v>
      </c>
      <c r="D811">
        <v>11</v>
      </c>
      <c r="E811">
        <v>2</v>
      </c>
      <c r="F811">
        <v>4</v>
      </c>
      <c r="G811" t="s">
        <v>27</v>
      </c>
      <c r="H811">
        <v>3</v>
      </c>
      <c r="I811" s="8">
        <v>0.33333333333333331</v>
      </c>
      <c r="J811" s="8">
        <v>0.4680555555555555</v>
      </c>
      <c r="L811" t="s">
        <v>25</v>
      </c>
      <c r="M811" t="s">
        <v>29</v>
      </c>
      <c r="N811" t="s">
        <v>218</v>
      </c>
      <c r="O811" s="3">
        <v>0</v>
      </c>
      <c r="P811" s="4">
        <v>0</v>
      </c>
      <c r="Q811" s="5">
        <v>0</v>
      </c>
      <c r="R811" s="6">
        <v>1</v>
      </c>
      <c r="S811" s="3">
        <v>0</v>
      </c>
      <c r="T811" s="4">
        <v>0</v>
      </c>
      <c r="U811" s="5">
        <v>0</v>
      </c>
      <c r="V811" s="6">
        <v>0</v>
      </c>
    </row>
    <row r="812" spans="1:25" x14ac:dyDescent="0.3">
      <c r="A812" t="s">
        <v>25</v>
      </c>
      <c r="B812" s="7">
        <v>45225</v>
      </c>
      <c r="C812" t="s">
        <v>26</v>
      </c>
      <c r="D812">
        <v>12</v>
      </c>
      <c r="E812">
        <v>2</v>
      </c>
      <c r="F812">
        <v>4</v>
      </c>
      <c r="G812" t="s">
        <v>27</v>
      </c>
      <c r="H812">
        <v>1</v>
      </c>
      <c r="I812" s="8">
        <v>0.39583333333333331</v>
      </c>
      <c r="J812" s="8">
        <v>0.47222222222222227</v>
      </c>
      <c r="L812" t="s">
        <v>25</v>
      </c>
      <c r="M812" t="s">
        <v>56</v>
      </c>
      <c r="N812" t="s">
        <v>38</v>
      </c>
      <c r="O812" s="3">
        <v>0</v>
      </c>
      <c r="P812" s="4">
        <v>0</v>
      </c>
      <c r="Q812" s="5">
        <v>0</v>
      </c>
      <c r="R812" s="6">
        <v>0</v>
      </c>
      <c r="S812" s="3">
        <v>0</v>
      </c>
      <c r="T812" s="4">
        <v>0</v>
      </c>
      <c r="U812" s="5">
        <v>0</v>
      </c>
      <c r="V812" s="6">
        <v>0</v>
      </c>
    </row>
    <row r="813" spans="1:25" x14ac:dyDescent="0.3">
      <c r="A813" t="s">
        <v>25</v>
      </c>
      <c r="B813" s="7">
        <v>45225</v>
      </c>
      <c r="C813" t="s">
        <v>42</v>
      </c>
      <c r="D813">
        <v>13</v>
      </c>
      <c r="E813">
        <v>2</v>
      </c>
      <c r="F813">
        <v>4</v>
      </c>
      <c r="G813" t="s">
        <v>27</v>
      </c>
      <c r="H813">
        <v>1</v>
      </c>
      <c r="I813" s="8">
        <v>0.625</v>
      </c>
      <c r="J813" s="8">
        <v>0.72916666666666663</v>
      </c>
      <c r="L813" t="s">
        <v>25</v>
      </c>
      <c r="M813" t="s">
        <v>29</v>
      </c>
      <c r="N813" t="s">
        <v>218</v>
      </c>
      <c r="O813" s="3">
        <v>0</v>
      </c>
      <c r="P813" s="4">
        <v>0</v>
      </c>
      <c r="Q813" s="5">
        <v>0</v>
      </c>
      <c r="R813" s="6">
        <v>0</v>
      </c>
      <c r="S813" s="3">
        <v>0</v>
      </c>
      <c r="T813" s="4">
        <v>0</v>
      </c>
      <c r="U813" s="5">
        <v>0</v>
      </c>
      <c r="V813" s="6">
        <v>0</v>
      </c>
    </row>
    <row r="814" spans="1:25" x14ac:dyDescent="0.3">
      <c r="A814" t="s">
        <v>25</v>
      </c>
      <c r="B814" s="7">
        <v>45225</v>
      </c>
      <c r="C814" t="s">
        <v>42</v>
      </c>
      <c r="D814">
        <v>14</v>
      </c>
      <c r="E814">
        <v>2</v>
      </c>
      <c r="F814">
        <v>4</v>
      </c>
      <c r="G814" t="s">
        <v>27</v>
      </c>
      <c r="H814">
        <v>1</v>
      </c>
      <c r="I814" s="8">
        <v>0.66666666666666663</v>
      </c>
      <c r="J814" s="8">
        <v>0.72916666666666663</v>
      </c>
      <c r="L814" t="s">
        <v>25</v>
      </c>
      <c r="M814" t="s">
        <v>29</v>
      </c>
      <c r="N814" t="s">
        <v>218</v>
      </c>
      <c r="O814" s="3">
        <v>0</v>
      </c>
      <c r="P814" s="4">
        <v>0</v>
      </c>
      <c r="Q814" s="5">
        <v>0</v>
      </c>
      <c r="R814" s="6">
        <v>0</v>
      </c>
      <c r="S814" s="3">
        <v>0</v>
      </c>
      <c r="T814" s="4">
        <v>0</v>
      </c>
      <c r="U814" s="5">
        <v>0</v>
      </c>
      <c r="V814" s="6">
        <v>0</v>
      </c>
    </row>
    <row r="815" spans="1:25" x14ac:dyDescent="0.3">
      <c r="A815" t="s">
        <v>25</v>
      </c>
      <c r="B815" s="7">
        <v>45225</v>
      </c>
      <c r="C815" t="s">
        <v>42</v>
      </c>
      <c r="D815">
        <v>15</v>
      </c>
      <c r="E815">
        <v>2</v>
      </c>
      <c r="F815">
        <v>1</v>
      </c>
      <c r="G815" t="s">
        <v>27</v>
      </c>
      <c r="H815">
        <v>2</v>
      </c>
      <c r="I815" s="8">
        <v>0.66666666666666663</v>
      </c>
      <c r="J815" s="8">
        <v>0.76597222222222217</v>
      </c>
      <c r="L815" t="s">
        <v>28</v>
      </c>
      <c r="M815" t="s">
        <v>56</v>
      </c>
      <c r="N815" t="s">
        <v>215</v>
      </c>
      <c r="O815" s="3">
        <v>0</v>
      </c>
      <c r="P815" s="4">
        <v>0</v>
      </c>
      <c r="Q815" s="5">
        <v>0</v>
      </c>
      <c r="R815" s="6">
        <v>0</v>
      </c>
      <c r="S815" s="3">
        <v>0</v>
      </c>
      <c r="T815" s="4">
        <v>0</v>
      </c>
      <c r="U815" s="5">
        <v>0</v>
      </c>
      <c r="V815" s="6">
        <v>0</v>
      </c>
    </row>
    <row r="816" spans="1:25" x14ac:dyDescent="0.3">
      <c r="A816" t="s">
        <v>25</v>
      </c>
      <c r="B816" s="7">
        <v>45226</v>
      </c>
      <c r="C816" t="s">
        <v>26</v>
      </c>
      <c r="D816">
        <v>1</v>
      </c>
      <c r="E816">
        <v>2</v>
      </c>
      <c r="F816">
        <v>2</v>
      </c>
      <c r="G816" t="s">
        <v>27</v>
      </c>
      <c r="H816">
        <v>1</v>
      </c>
      <c r="I816" s="8">
        <v>0.30555555555555552</v>
      </c>
      <c r="J816" s="8">
        <v>0.3347222222222222</v>
      </c>
      <c r="L816" t="s">
        <v>28</v>
      </c>
      <c r="M816" t="s">
        <v>56</v>
      </c>
      <c r="N816" t="s">
        <v>218</v>
      </c>
      <c r="O816" s="3">
        <v>0</v>
      </c>
      <c r="P816" s="4">
        <v>0</v>
      </c>
      <c r="Q816" s="5">
        <v>0</v>
      </c>
      <c r="R816" s="6">
        <v>0</v>
      </c>
      <c r="S816" s="3">
        <v>0</v>
      </c>
      <c r="T816" s="4">
        <v>0</v>
      </c>
      <c r="U816" s="5">
        <v>0</v>
      </c>
      <c r="V816" s="6">
        <v>0</v>
      </c>
    </row>
    <row r="817" spans="1:22" x14ac:dyDescent="0.3">
      <c r="A817" t="s">
        <v>25</v>
      </c>
      <c r="B817" s="7">
        <v>45226</v>
      </c>
      <c r="C817" t="s">
        <v>26</v>
      </c>
      <c r="D817">
        <v>2</v>
      </c>
      <c r="E817">
        <v>2</v>
      </c>
      <c r="F817">
        <v>2</v>
      </c>
      <c r="G817" t="s">
        <v>27</v>
      </c>
      <c r="H817">
        <v>1</v>
      </c>
      <c r="I817" s="8">
        <v>0.33333333333333331</v>
      </c>
      <c r="J817" s="8">
        <v>0.35416666666666669</v>
      </c>
      <c r="L817" t="s">
        <v>28</v>
      </c>
      <c r="M817" t="s">
        <v>56</v>
      </c>
      <c r="N817" t="s">
        <v>215</v>
      </c>
      <c r="O817" s="3">
        <v>0</v>
      </c>
      <c r="P817" s="4">
        <v>0</v>
      </c>
      <c r="Q817" s="5">
        <v>0</v>
      </c>
      <c r="R817" s="6">
        <v>0</v>
      </c>
      <c r="S817" s="3">
        <v>0</v>
      </c>
      <c r="T817" s="4">
        <v>0</v>
      </c>
      <c r="U817" s="5">
        <v>0</v>
      </c>
      <c r="V817" s="6">
        <v>0</v>
      </c>
    </row>
    <row r="818" spans="1:22" x14ac:dyDescent="0.3">
      <c r="A818" t="s">
        <v>25</v>
      </c>
      <c r="B818" s="7">
        <v>45226</v>
      </c>
      <c r="C818" t="s">
        <v>26</v>
      </c>
      <c r="D818">
        <v>3</v>
      </c>
      <c r="E818">
        <v>2</v>
      </c>
      <c r="F818">
        <v>2</v>
      </c>
      <c r="G818" t="s">
        <v>27</v>
      </c>
      <c r="H818">
        <v>1</v>
      </c>
      <c r="I818" s="8">
        <v>0.3263888888888889</v>
      </c>
      <c r="J818" s="8">
        <v>0.35416666666666669</v>
      </c>
      <c r="L818" t="s">
        <v>28</v>
      </c>
      <c r="M818" t="s">
        <v>29</v>
      </c>
      <c r="N818" t="s">
        <v>215</v>
      </c>
      <c r="O818" s="3">
        <v>0</v>
      </c>
      <c r="P818" s="4">
        <v>0</v>
      </c>
      <c r="Q818" s="5">
        <v>0</v>
      </c>
      <c r="R818" s="6">
        <v>0</v>
      </c>
      <c r="S818" s="3">
        <v>0</v>
      </c>
      <c r="T818" s="4">
        <v>0</v>
      </c>
      <c r="U818" s="5">
        <v>0</v>
      </c>
      <c r="V818" s="6">
        <v>0</v>
      </c>
    </row>
    <row r="819" spans="1:22" x14ac:dyDescent="0.3">
      <c r="A819" t="s">
        <v>25</v>
      </c>
      <c r="B819" s="7">
        <v>45226</v>
      </c>
      <c r="C819" t="s">
        <v>26</v>
      </c>
      <c r="D819">
        <v>4</v>
      </c>
      <c r="E819">
        <v>2</v>
      </c>
      <c r="F819">
        <v>3</v>
      </c>
      <c r="G819" t="s">
        <v>27</v>
      </c>
      <c r="H819">
        <v>1</v>
      </c>
      <c r="I819" s="8">
        <v>0.29166666666666669</v>
      </c>
      <c r="J819" s="8">
        <v>0.37777777777777777</v>
      </c>
      <c r="L819" t="s">
        <v>28</v>
      </c>
      <c r="M819" t="s">
        <v>56</v>
      </c>
      <c r="N819" t="s">
        <v>38</v>
      </c>
      <c r="O819" s="3">
        <v>0</v>
      </c>
      <c r="P819" s="4">
        <v>0</v>
      </c>
      <c r="Q819" s="5">
        <v>0</v>
      </c>
      <c r="R819" s="6">
        <v>0</v>
      </c>
      <c r="S819" s="3">
        <v>0</v>
      </c>
      <c r="T819" s="4">
        <v>0</v>
      </c>
      <c r="U819" s="5">
        <v>0</v>
      </c>
      <c r="V819" s="6">
        <v>0</v>
      </c>
    </row>
    <row r="820" spans="1:22" x14ac:dyDescent="0.3">
      <c r="A820" t="s">
        <v>25</v>
      </c>
      <c r="B820" s="7">
        <v>45226</v>
      </c>
      <c r="C820" t="s">
        <v>26</v>
      </c>
      <c r="D820">
        <v>5</v>
      </c>
      <c r="E820">
        <v>2</v>
      </c>
      <c r="F820">
        <v>4</v>
      </c>
      <c r="G820" t="s">
        <v>27</v>
      </c>
      <c r="H820">
        <v>1</v>
      </c>
      <c r="I820" s="8">
        <v>0.3611111111111111</v>
      </c>
      <c r="J820" s="8">
        <v>0.3888888888888889</v>
      </c>
      <c r="L820" t="s">
        <v>28</v>
      </c>
      <c r="M820" t="s">
        <v>29</v>
      </c>
      <c r="N820" t="s">
        <v>218</v>
      </c>
      <c r="O820" s="3">
        <v>0</v>
      </c>
      <c r="P820" s="4">
        <v>0</v>
      </c>
      <c r="Q820" s="5">
        <v>0</v>
      </c>
      <c r="R820" s="6">
        <v>0</v>
      </c>
      <c r="S820" s="3">
        <v>0</v>
      </c>
      <c r="T820" s="4">
        <v>0</v>
      </c>
      <c r="U820" s="5">
        <v>0</v>
      </c>
      <c r="V820" s="6">
        <v>0</v>
      </c>
    </row>
    <row r="821" spans="1:22" x14ac:dyDescent="0.3">
      <c r="A821" t="s">
        <v>25</v>
      </c>
      <c r="B821" s="7">
        <v>45226</v>
      </c>
      <c r="C821" t="s">
        <v>26</v>
      </c>
      <c r="D821">
        <v>6</v>
      </c>
      <c r="E821">
        <v>2</v>
      </c>
      <c r="F821">
        <v>5</v>
      </c>
      <c r="G821" t="s">
        <v>27</v>
      </c>
      <c r="H821">
        <v>2</v>
      </c>
      <c r="I821" s="8">
        <v>0.33333333333333331</v>
      </c>
      <c r="J821" s="8">
        <v>0.42708333333333331</v>
      </c>
      <c r="L821" t="s">
        <v>25</v>
      </c>
      <c r="M821" t="s">
        <v>29</v>
      </c>
      <c r="N821" t="s">
        <v>27</v>
      </c>
      <c r="O821" s="3">
        <v>0</v>
      </c>
      <c r="P821" s="4">
        <v>0</v>
      </c>
      <c r="Q821" s="5">
        <v>0</v>
      </c>
      <c r="R821" s="6">
        <v>0</v>
      </c>
      <c r="S821" s="3">
        <v>0</v>
      </c>
      <c r="T821" s="4">
        <v>0</v>
      </c>
      <c r="U821" s="5">
        <v>0</v>
      </c>
      <c r="V821" s="6">
        <v>0</v>
      </c>
    </row>
    <row r="822" spans="1:22" x14ac:dyDescent="0.3">
      <c r="A822" t="s">
        <v>25</v>
      </c>
      <c r="B822" s="7">
        <v>45226</v>
      </c>
      <c r="C822" t="s">
        <v>26</v>
      </c>
      <c r="D822">
        <v>7</v>
      </c>
      <c r="E822">
        <v>2</v>
      </c>
      <c r="F822">
        <v>4</v>
      </c>
      <c r="G822" t="s">
        <v>27</v>
      </c>
      <c r="H822">
        <v>1</v>
      </c>
      <c r="I822" s="8">
        <v>0.33333333333333331</v>
      </c>
      <c r="J822" s="8">
        <v>0.44166666666666665</v>
      </c>
      <c r="L822" t="s">
        <v>25</v>
      </c>
      <c r="M822" t="s">
        <v>56</v>
      </c>
      <c r="N822" t="s">
        <v>38</v>
      </c>
      <c r="O822" s="3">
        <v>0</v>
      </c>
      <c r="P822" s="4">
        <v>0</v>
      </c>
      <c r="Q822" s="5">
        <v>0</v>
      </c>
      <c r="R822" s="6">
        <v>0</v>
      </c>
      <c r="S822" s="3">
        <v>0</v>
      </c>
      <c r="T822" s="4">
        <v>0</v>
      </c>
      <c r="U822" s="5">
        <v>0</v>
      </c>
      <c r="V822" s="6">
        <v>0</v>
      </c>
    </row>
    <row r="823" spans="1:22" x14ac:dyDescent="0.3">
      <c r="A823" t="s">
        <v>25</v>
      </c>
      <c r="B823" s="7">
        <v>45226</v>
      </c>
      <c r="C823" t="s">
        <v>26</v>
      </c>
      <c r="D823">
        <v>8</v>
      </c>
      <c r="E823">
        <v>2</v>
      </c>
      <c r="F823">
        <v>4</v>
      </c>
      <c r="G823" t="s">
        <v>27</v>
      </c>
      <c r="H823">
        <v>1</v>
      </c>
      <c r="I823" s="8">
        <v>0.41666666666666669</v>
      </c>
      <c r="J823" s="8">
        <v>0.44791666666666669</v>
      </c>
      <c r="L823" t="s">
        <v>28</v>
      </c>
      <c r="M823" t="s">
        <v>29</v>
      </c>
      <c r="N823" t="s">
        <v>218</v>
      </c>
      <c r="O823" s="3">
        <v>0</v>
      </c>
      <c r="P823" s="4">
        <v>0</v>
      </c>
      <c r="Q823" s="5">
        <v>0</v>
      </c>
      <c r="R823" s="6">
        <v>0</v>
      </c>
      <c r="S823" s="3">
        <v>0</v>
      </c>
      <c r="T823" s="4">
        <v>0</v>
      </c>
      <c r="U823" s="5">
        <v>0</v>
      </c>
      <c r="V823" s="6">
        <v>0</v>
      </c>
    </row>
    <row r="824" spans="1:22" x14ac:dyDescent="0.3">
      <c r="A824" t="s">
        <v>25</v>
      </c>
      <c r="B824" s="7">
        <v>45226</v>
      </c>
      <c r="C824" t="s">
        <v>26</v>
      </c>
      <c r="D824">
        <v>9</v>
      </c>
      <c r="E824">
        <v>2</v>
      </c>
      <c r="F824">
        <v>4</v>
      </c>
      <c r="G824" t="s">
        <v>27</v>
      </c>
      <c r="H824">
        <v>1</v>
      </c>
      <c r="I824" s="8">
        <v>0.33333333333333331</v>
      </c>
      <c r="J824" s="8">
        <v>0.4604166666666667</v>
      </c>
      <c r="L824" t="s">
        <v>25</v>
      </c>
      <c r="M824" t="s">
        <v>29</v>
      </c>
      <c r="N824" t="s">
        <v>218</v>
      </c>
      <c r="O824" s="3">
        <v>0</v>
      </c>
      <c r="P824" s="4">
        <v>0</v>
      </c>
      <c r="Q824" s="5">
        <v>0</v>
      </c>
      <c r="R824" s="6">
        <v>1</v>
      </c>
      <c r="S824" s="3">
        <v>0</v>
      </c>
      <c r="T824" s="4">
        <v>0</v>
      </c>
      <c r="U824" s="5">
        <v>0</v>
      </c>
      <c r="V824" s="6">
        <v>0</v>
      </c>
    </row>
    <row r="825" spans="1:22" x14ac:dyDescent="0.3">
      <c r="A825" t="s">
        <v>25</v>
      </c>
      <c r="B825" s="7">
        <v>45226</v>
      </c>
      <c r="C825" t="s">
        <v>26</v>
      </c>
      <c r="D825">
        <v>10</v>
      </c>
      <c r="E825">
        <v>2</v>
      </c>
      <c r="F825">
        <v>4</v>
      </c>
      <c r="G825" t="s">
        <v>27</v>
      </c>
      <c r="H825">
        <v>1</v>
      </c>
      <c r="I825" s="8">
        <v>0.41666666666666669</v>
      </c>
      <c r="J825" s="8">
        <v>0.45833333333333331</v>
      </c>
      <c r="L825" t="s">
        <v>25</v>
      </c>
      <c r="M825" t="s">
        <v>29</v>
      </c>
      <c r="N825" t="s">
        <v>218</v>
      </c>
      <c r="O825" s="3">
        <v>0</v>
      </c>
      <c r="P825" s="4">
        <v>0</v>
      </c>
      <c r="Q825" s="5">
        <v>0</v>
      </c>
      <c r="R825" s="6">
        <v>0</v>
      </c>
      <c r="S825" s="3">
        <v>0</v>
      </c>
      <c r="T825" s="4">
        <v>0</v>
      </c>
      <c r="U825" s="5">
        <v>0</v>
      </c>
      <c r="V825" s="6">
        <v>0</v>
      </c>
    </row>
    <row r="826" spans="1:22" x14ac:dyDescent="0.3">
      <c r="A826" t="s">
        <v>25</v>
      </c>
      <c r="B826" s="7">
        <v>45226</v>
      </c>
      <c r="C826" t="s">
        <v>42</v>
      </c>
      <c r="D826">
        <v>11</v>
      </c>
      <c r="E826">
        <v>2</v>
      </c>
      <c r="F826">
        <v>4</v>
      </c>
      <c r="G826" t="s">
        <v>27</v>
      </c>
      <c r="H826">
        <v>1</v>
      </c>
      <c r="I826" s="8">
        <v>0.58333333333333337</v>
      </c>
      <c r="J826" s="8">
        <v>0.64583333333333337</v>
      </c>
      <c r="L826" t="s">
        <v>28</v>
      </c>
      <c r="M826" t="s">
        <v>29</v>
      </c>
      <c r="N826" t="s">
        <v>218</v>
      </c>
      <c r="O826" s="3">
        <v>0</v>
      </c>
      <c r="P826" s="4">
        <v>0</v>
      </c>
      <c r="Q826" s="5">
        <v>0</v>
      </c>
      <c r="R826" s="6">
        <v>0</v>
      </c>
      <c r="S826" s="3">
        <v>0</v>
      </c>
      <c r="T826" s="4">
        <v>0</v>
      </c>
      <c r="U826" s="5">
        <v>0</v>
      </c>
      <c r="V826" s="6">
        <v>0</v>
      </c>
    </row>
    <row r="827" spans="1:22" x14ac:dyDescent="0.3">
      <c r="A827" t="s">
        <v>25</v>
      </c>
      <c r="B827" s="7">
        <v>45227</v>
      </c>
      <c r="C827" t="s">
        <v>26</v>
      </c>
      <c r="D827">
        <v>1</v>
      </c>
      <c r="E827">
        <v>2</v>
      </c>
      <c r="F827">
        <v>1</v>
      </c>
      <c r="G827" t="s">
        <v>27</v>
      </c>
      <c r="H827">
        <v>2</v>
      </c>
      <c r="I827" s="8">
        <v>0.29166666666666669</v>
      </c>
      <c r="J827" s="8">
        <v>0.38263888888888892</v>
      </c>
      <c r="L827" t="s">
        <v>28</v>
      </c>
      <c r="M827" t="s">
        <v>29</v>
      </c>
      <c r="N827" t="s">
        <v>215</v>
      </c>
      <c r="O827" s="3">
        <v>0</v>
      </c>
      <c r="P827" s="4">
        <v>0</v>
      </c>
      <c r="Q827" s="5">
        <v>0</v>
      </c>
      <c r="R827" s="6">
        <v>0</v>
      </c>
      <c r="S827" s="3">
        <v>0</v>
      </c>
      <c r="T827" s="4">
        <v>0</v>
      </c>
      <c r="U827" s="5">
        <v>0</v>
      </c>
      <c r="V827" s="6">
        <v>0</v>
      </c>
    </row>
    <row r="828" spans="1:22" x14ac:dyDescent="0.3">
      <c r="A828" t="s">
        <v>25</v>
      </c>
      <c r="B828" s="7">
        <v>45227</v>
      </c>
      <c r="C828" t="s">
        <v>26</v>
      </c>
      <c r="D828">
        <v>2</v>
      </c>
      <c r="E828">
        <v>2</v>
      </c>
      <c r="F828">
        <v>2</v>
      </c>
      <c r="G828" t="s">
        <v>27</v>
      </c>
      <c r="H828">
        <v>1</v>
      </c>
      <c r="I828" s="8">
        <v>0.33333333333333331</v>
      </c>
      <c r="J828" s="8">
        <v>0.40277777777777773</v>
      </c>
      <c r="L828" t="s">
        <v>28</v>
      </c>
      <c r="M828" t="s">
        <v>29</v>
      </c>
      <c r="N828" t="s">
        <v>218</v>
      </c>
      <c r="O828" s="3">
        <v>0</v>
      </c>
      <c r="P828" s="4">
        <v>0</v>
      </c>
      <c r="Q828" s="5">
        <v>0</v>
      </c>
      <c r="R828" s="6">
        <v>0</v>
      </c>
      <c r="S828" s="3">
        <v>0</v>
      </c>
      <c r="T828" s="4">
        <v>0</v>
      </c>
      <c r="U828" s="5">
        <v>0</v>
      </c>
      <c r="V828" s="6">
        <v>2</v>
      </c>
    </row>
    <row r="829" spans="1:22" x14ac:dyDescent="0.3">
      <c r="A829" t="s">
        <v>25</v>
      </c>
      <c r="B829" s="7">
        <v>45227</v>
      </c>
      <c r="C829" t="s">
        <v>26</v>
      </c>
      <c r="D829">
        <v>3</v>
      </c>
      <c r="E829">
        <v>2</v>
      </c>
      <c r="F829">
        <v>2</v>
      </c>
      <c r="G829" t="s">
        <v>27</v>
      </c>
      <c r="H829">
        <v>1</v>
      </c>
      <c r="I829" s="8">
        <v>0.38194444444444442</v>
      </c>
      <c r="J829" s="8">
        <v>0.40277777777777773</v>
      </c>
      <c r="L829" t="s">
        <v>28</v>
      </c>
      <c r="M829" t="s">
        <v>29</v>
      </c>
      <c r="N829" t="s">
        <v>218</v>
      </c>
      <c r="O829" s="3">
        <v>0</v>
      </c>
      <c r="P829" s="4">
        <v>0</v>
      </c>
      <c r="Q829" s="5">
        <v>0</v>
      </c>
      <c r="R829" s="6">
        <v>0</v>
      </c>
      <c r="S829" s="3">
        <v>0</v>
      </c>
      <c r="T829" s="4">
        <v>0</v>
      </c>
      <c r="U829" s="5">
        <v>0</v>
      </c>
      <c r="V829" s="6">
        <v>0</v>
      </c>
    </row>
    <row r="830" spans="1:22" x14ac:dyDescent="0.3">
      <c r="A830" t="s">
        <v>25</v>
      </c>
      <c r="B830" s="7">
        <v>45227</v>
      </c>
      <c r="C830" t="s">
        <v>26</v>
      </c>
      <c r="D830">
        <v>4</v>
      </c>
      <c r="E830">
        <v>2</v>
      </c>
      <c r="F830">
        <v>4</v>
      </c>
      <c r="G830" t="s">
        <v>27</v>
      </c>
      <c r="H830">
        <v>1</v>
      </c>
      <c r="I830" s="8">
        <v>0.39583333333333331</v>
      </c>
      <c r="J830" s="8">
        <v>0.43194444444444446</v>
      </c>
      <c r="L830" t="s">
        <v>25</v>
      </c>
      <c r="M830" t="s">
        <v>29</v>
      </c>
      <c r="N830" t="s">
        <v>218</v>
      </c>
      <c r="O830" s="3">
        <v>0</v>
      </c>
      <c r="P830" s="4">
        <v>0</v>
      </c>
      <c r="Q830" s="5">
        <v>0</v>
      </c>
      <c r="R830" s="6">
        <v>0</v>
      </c>
      <c r="S830" s="3">
        <v>0</v>
      </c>
      <c r="T830" s="4">
        <v>0</v>
      </c>
      <c r="U830" s="5">
        <v>0</v>
      </c>
      <c r="V830" s="6">
        <v>0</v>
      </c>
    </row>
    <row r="831" spans="1:22" x14ac:dyDescent="0.3">
      <c r="A831" t="s">
        <v>25</v>
      </c>
      <c r="B831" s="7">
        <v>45227</v>
      </c>
      <c r="C831" t="s">
        <v>26</v>
      </c>
      <c r="D831">
        <v>5</v>
      </c>
      <c r="E831">
        <v>2</v>
      </c>
      <c r="F831">
        <v>4</v>
      </c>
      <c r="G831" t="s">
        <v>27</v>
      </c>
      <c r="H831">
        <v>1</v>
      </c>
      <c r="I831" s="8">
        <v>0.33333333333333331</v>
      </c>
      <c r="J831" s="8">
        <v>0.4465277777777778</v>
      </c>
      <c r="L831" t="s">
        <v>25</v>
      </c>
      <c r="M831" t="s">
        <v>29</v>
      </c>
      <c r="N831" t="s">
        <v>218</v>
      </c>
      <c r="O831" s="3">
        <v>0</v>
      </c>
      <c r="P831" s="4">
        <v>0</v>
      </c>
      <c r="Q831" s="5">
        <v>0</v>
      </c>
      <c r="R831" s="6">
        <v>0</v>
      </c>
      <c r="S831" s="3">
        <v>0</v>
      </c>
      <c r="T831" s="4">
        <v>0</v>
      </c>
      <c r="U831" s="5">
        <v>0</v>
      </c>
      <c r="V831" s="6">
        <v>3</v>
      </c>
    </row>
    <row r="832" spans="1:22" x14ac:dyDescent="0.3">
      <c r="A832" t="s">
        <v>25</v>
      </c>
      <c r="B832" s="7">
        <v>45227</v>
      </c>
      <c r="C832" t="s">
        <v>26</v>
      </c>
      <c r="D832">
        <v>6</v>
      </c>
      <c r="E832">
        <v>2</v>
      </c>
      <c r="F832">
        <v>4</v>
      </c>
      <c r="G832" t="s">
        <v>27</v>
      </c>
      <c r="H832">
        <v>2</v>
      </c>
      <c r="I832" s="8">
        <v>0.33333333333333331</v>
      </c>
      <c r="J832" s="8">
        <v>0.44791666666666669</v>
      </c>
      <c r="L832" t="s">
        <v>25</v>
      </c>
      <c r="M832" t="s">
        <v>29</v>
      </c>
      <c r="N832" t="s">
        <v>218</v>
      </c>
      <c r="O832" s="3">
        <v>0</v>
      </c>
      <c r="P832" s="4">
        <v>0</v>
      </c>
      <c r="Q832" s="5">
        <v>0</v>
      </c>
      <c r="R832" s="6">
        <v>3</v>
      </c>
      <c r="S832" s="3">
        <v>0</v>
      </c>
      <c r="T832" s="4">
        <v>0</v>
      </c>
      <c r="U832" s="5">
        <v>0</v>
      </c>
      <c r="V832" s="6">
        <v>1</v>
      </c>
    </row>
    <row r="833" spans="1:25" x14ac:dyDescent="0.3">
      <c r="A833" t="s">
        <v>25</v>
      </c>
      <c r="B833" s="7">
        <v>45227</v>
      </c>
      <c r="C833" t="s">
        <v>26</v>
      </c>
      <c r="D833">
        <v>7</v>
      </c>
      <c r="E833">
        <v>2</v>
      </c>
      <c r="F833">
        <v>4</v>
      </c>
      <c r="G833" t="s">
        <v>27</v>
      </c>
      <c r="H833">
        <v>1</v>
      </c>
      <c r="I833" s="8">
        <v>0.33333333333333331</v>
      </c>
      <c r="J833" s="8">
        <v>0.4513888888888889</v>
      </c>
      <c r="L833" t="s">
        <v>28</v>
      </c>
      <c r="M833" t="s">
        <v>29</v>
      </c>
      <c r="N833" t="s">
        <v>218</v>
      </c>
      <c r="O833" s="3">
        <v>0</v>
      </c>
      <c r="P833" s="4">
        <v>1</v>
      </c>
      <c r="Q833" s="5">
        <v>0</v>
      </c>
      <c r="R833" s="6">
        <v>1</v>
      </c>
      <c r="S833" s="3">
        <v>0</v>
      </c>
      <c r="T833" s="4">
        <v>0</v>
      </c>
      <c r="U833" s="5">
        <v>0</v>
      </c>
      <c r="V833" s="6">
        <v>0</v>
      </c>
      <c r="Y833" t="s">
        <v>175</v>
      </c>
    </row>
    <row r="834" spans="1:25" x14ac:dyDescent="0.3">
      <c r="A834" t="s">
        <v>25</v>
      </c>
      <c r="B834" s="7">
        <v>45227</v>
      </c>
      <c r="C834" t="s">
        <v>26</v>
      </c>
      <c r="D834">
        <v>8</v>
      </c>
      <c r="E834">
        <v>2</v>
      </c>
      <c r="F834">
        <v>4</v>
      </c>
      <c r="G834" t="s">
        <v>27</v>
      </c>
      <c r="H834">
        <v>1</v>
      </c>
      <c r="I834" s="8">
        <v>0.39583333333333331</v>
      </c>
      <c r="J834" s="8">
        <v>0.4548611111111111</v>
      </c>
      <c r="L834" t="s">
        <v>25</v>
      </c>
      <c r="M834" t="s">
        <v>29</v>
      </c>
      <c r="N834" t="s">
        <v>218</v>
      </c>
      <c r="O834" s="3">
        <v>0</v>
      </c>
      <c r="P834" s="4">
        <v>0</v>
      </c>
      <c r="Q834" s="5">
        <v>0</v>
      </c>
      <c r="R834" s="6">
        <v>0</v>
      </c>
      <c r="S834" s="3">
        <v>0</v>
      </c>
      <c r="T834" s="4">
        <v>0</v>
      </c>
      <c r="U834" s="5">
        <v>0</v>
      </c>
      <c r="V834" s="6">
        <v>0</v>
      </c>
    </row>
    <row r="835" spans="1:25" x14ac:dyDescent="0.3">
      <c r="A835" t="s">
        <v>25</v>
      </c>
      <c r="B835" s="7">
        <v>45227</v>
      </c>
      <c r="C835" t="s">
        <v>26</v>
      </c>
      <c r="D835">
        <v>9</v>
      </c>
      <c r="E835">
        <v>2</v>
      </c>
      <c r="F835">
        <v>4</v>
      </c>
      <c r="G835" t="s">
        <v>27</v>
      </c>
      <c r="H835">
        <v>1</v>
      </c>
      <c r="I835" s="8">
        <v>0.3125</v>
      </c>
      <c r="J835" s="8">
        <v>0.4548611111111111</v>
      </c>
      <c r="L835" t="s">
        <v>25</v>
      </c>
      <c r="M835" t="s">
        <v>29</v>
      </c>
      <c r="N835" t="s">
        <v>218</v>
      </c>
      <c r="O835" s="3">
        <v>0</v>
      </c>
      <c r="P835" s="4">
        <v>0</v>
      </c>
      <c r="Q835" s="5">
        <v>0</v>
      </c>
      <c r="R835" s="6">
        <v>0</v>
      </c>
      <c r="S835" s="3">
        <v>0</v>
      </c>
      <c r="T835" s="4">
        <v>0</v>
      </c>
      <c r="U835" s="5">
        <v>0</v>
      </c>
      <c r="V835" s="6">
        <v>1</v>
      </c>
    </row>
    <row r="836" spans="1:25" x14ac:dyDescent="0.3">
      <c r="A836" t="s">
        <v>25</v>
      </c>
      <c r="B836" s="7">
        <v>45227</v>
      </c>
      <c r="C836" t="s">
        <v>26</v>
      </c>
      <c r="D836">
        <v>10</v>
      </c>
      <c r="E836">
        <v>2</v>
      </c>
      <c r="F836">
        <v>4</v>
      </c>
      <c r="G836" t="s">
        <v>27</v>
      </c>
      <c r="H836">
        <v>1</v>
      </c>
      <c r="I836" s="8">
        <v>0.3125</v>
      </c>
      <c r="J836" s="8">
        <v>0.45902777777777781</v>
      </c>
      <c r="L836" t="s">
        <v>25</v>
      </c>
      <c r="M836" t="s">
        <v>29</v>
      </c>
      <c r="N836" t="s">
        <v>218</v>
      </c>
      <c r="O836" s="3">
        <v>0</v>
      </c>
      <c r="P836" s="4">
        <v>0</v>
      </c>
      <c r="Q836" s="5">
        <v>0</v>
      </c>
      <c r="R836" s="6">
        <v>0</v>
      </c>
      <c r="S836" s="3">
        <v>0</v>
      </c>
      <c r="T836" s="4">
        <v>0</v>
      </c>
      <c r="U836" s="5">
        <v>0</v>
      </c>
      <c r="V836" s="6">
        <v>0</v>
      </c>
    </row>
    <row r="837" spans="1:25" x14ac:dyDescent="0.3">
      <c r="A837" t="s">
        <v>25</v>
      </c>
      <c r="B837" s="7">
        <v>45227</v>
      </c>
      <c r="C837" t="s">
        <v>26</v>
      </c>
      <c r="D837">
        <v>11</v>
      </c>
      <c r="E837">
        <v>2</v>
      </c>
      <c r="F837">
        <v>4</v>
      </c>
      <c r="G837" t="s">
        <v>27</v>
      </c>
      <c r="H837">
        <v>1</v>
      </c>
      <c r="I837" s="8">
        <v>0.3263888888888889</v>
      </c>
      <c r="J837" s="8">
        <v>0.46875</v>
      </c>
      <c r="L837" t="s">
        <v>28</v>
      </c>
      <c r="M837" t="s">
        <v>29</v>
      </c>
      <c r="N837" t="s">
        <v>218</v>
      </c>
      <c r="O837" s="3">
        <v>0</v>
      </c>
      <c r="P837" s="4">
        <v>0</v>
      </c>
      <c r="Q837" s="5">
        <v>0</v>
      </c>
      <c r="R837" s="6">
        <v>0</v>
      </c>
      <c r="S837" s="3">
        <v>0</v>
      </c>
      <c r="T837" s="4">
        <v>0</v>
      </c>
      <c r="U837" s="5">
        <v>0</v>
      </c>
      <c r="V837" s="6">
        <v>0</v>
      </c>
    </row>
    <row r="838" spans="1:25" x14ac:dyDescent="0.3">
      <c r="A838" t="s">
        <v>25</v>
      </c>
      <c r="B838" s="7">
        <v>45227</v>
      </c>
      <c r="C838" t="s">
        <v>26</v>
      </c>
      <c r="D838">
        <v>12</v>
      </c>
      <c r="E838">
        <v>2</v>
      </c>
      <c r="F838">
        <v>4</v>
      </c>
      <c r="G838" t="s">
        <v>27</v>
      </c>
      <c r="H838">
        <v>1</v>
      </c>
      <c r="I838" s="8">
        <v>0.3125</v>
      </c>
      <c r="J838" s="8">
        <v>0.46875</v>
      </c>
      <c r="L838" t="s">
        <v>25</v>
      </c>
      <c r="M838" t="s">
        <v>29</v>
      </c>
      <c r="N838" t="s">
        <v>218</v>
      </c>
      <c r="O838" s="3">
        <v>0</v>
      </c>
      <c r="P838" s="4">
        <v>0</v>
      </c>
      <c r="Q838" s="5">
        <v>0</v>
      </c>
      <c r="R838" s="6">
        <v>1</v>
      </c>
      <c r="S838" s="3">
        <v>0</v>
      </c>
      <c r="T838" s="4">
        <v>0</v>
      </c>
      <c r="U838" s="5">
        <v>0</v>
      </c>
      <c r="V838" s="6">
        <v>0</v>
      </c>
    </row>
    <row r="839" spans="1:25" x14ac:dyDescent="0.3">
      <c r="A839" t="s">
        <v>25</v>
      </c>
      <c r="B839" s="7">
        <v>45227</v>
      </c>
      <c r="C839" t="s">
        <v>26</v>
      </c>
      <c r="D839">
        <v>13</v>
      </c>
      <c r="E839">
        <v>2</v>
      </c>
      <c r="F839">
        <v>4</v>
      </c>
      <c r="G839" t="s">
        <v>27</v>
      </c>
      <c r="H839">
        <v>1</v>
      </c>
      <c r="I839" s="8">
        <v>0.4375</v>
      </c>
      <c r="J839" s="8">
        <v>0.47916666666666669</v>
      </c>
      <c r="L839" t="s">
        <v>25</v>
      </c>
      <c r="M839" t="s">
        <v>29</v>
      </c>
      <c r="N839" t="s">
        <v>218</v>
      </c>
      <c r="O839" s="3">
        <v>0</v>
      </c>
      <c r="P839" s="4">
        <v>0</v>
      </c>
      <c r="Q839" s="5">
        <v>0</v>
      </c>
      <c r="R839" s="6">
        <v>0</v>
      </c>
      <c r="S839" s="3">
        <v>0</v>
      </c>
      <c r="T839" s="4">
        <v>0</v>
      </c>
      <c r="U839" s="5">
        <v>0</v>
      </c>
      <c r="V839" s="6">
        <v>0</v>
      </c>
    </row>
    <row r="840" spans="1:25" x14ac:dyDescent="0.3">
      <c r="A840" t="s">
        <v>25</v>
      </c>
      <c r="B840" s="7">
        <v>45227</v>
      </c>
      <c r="C840" t="s">
        <v>42</v>
      </c>
      <c r="D840">
        <v>14</v>
      </c>
      <c r="E840">
        <v>3</v>
      </c>
      <c r="F840">
        <v>8</v>
      </c>
      <c r="G840" t="s">
        <v>27</v>
      </c>
      <c r="H840">
        <v>2</v>
      </c>
      <c r="I840" s="8">
        <v>0.67361111111111116</v>
      </c>
      <c r="J840" s="8">
        <v>0.69444444444444453</v>
      </c>
      <c r="L840" t="s">
        <v>25</v>
      </c>
      <c r="M840" t="s">
        <v>153</v>
      </c>
      <c r="N840" t="s">
        <v>27</v>
      </c>
      <c r="O840" s="3">
        <v>0</v>
      </c>
      <c r="P840" s="4">
        <v>0</v>
      </c>
      <c r="Q840" s="5">
        <v>0</v>
      </c>
      <c r="R840" s="6">
        <v>0</v>
      </c>
      <c r="S840" s="3">
        <v>0</v>
      </c>
      <c r="T840" s="4">
        <v>0</v>
      </c>
      <c r="U840" s="5">
        <v>0</v>
      </c>
      <c r="V840" s="6">
        <v>0</v>
      </c>
    </row>
    <row r="841" spans="1:25" x14ac:dyDescent="0.3">
      <c r="H841">
        <f>SUM(H2:H840)</f>
        <v>1325</v>
      </c>
      <c r="I841" s="8"/>
      <c r="J84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3C29-8A02-4B27-BE5F-06F1D2DD3FB7}">
  <dimension ref="A1:AB576"/>
  <sheetViews>
    <sheetView zoomScale="80" zoomScaleNormal="80" workbookViewId="0">
      <pane ySplit="1" topLeftCell="A512" activePane="bottomLeft" state="frozen"/>
      <selection activeCell="L2" sqref="L2"/>
      <selection pane="bottomLeft" activeCell="A534" sqref="A534"/>
    </sheetView>
  </sheetViews>
  <sheetFormatPr defaultRowHeight="14.4" x14ac:dyDescent="0.3"/>
  <cols>
    <col min="1" max="1" width="10.5546875" bestFit="1" customWidth="1"/>
    <col min="2" max="2" width="5.88671875" customWidth="1"/>
    <col min="3" max="3" width="5" customWidth="1"/>
    <col min="4" max="4" width="8" bestFit="1" customWidth="1"/>
    <col min="5" max="5" width="3.77734375" customWidth="1"/>
    <col min="6" max="6" width="11.21875" customWidth="1"/>
  </cols>
  <sheetData>
    <row r="1" spans="1:28" x14ac:dyDescent="0.3">
      <c r="A1" t="s">
        <v>1</v>
      </c>
      <c r="B1" t="s">
        <v>225</v>
      </c>
      <c r="C1" t="s">
        <v>2</v>
      </c>
      <c r="D1" t="s">
        <v>4</v>
      </c>
      <c r="E1" t="s">
        <v>5</v>
      </c>
      <c r="F1" t="s">
        <v>384</v>
      </c>
      <c r="G1" t="s">
        <v>385</v>
      </c>
      <c r="H1" t="s">
        <v>386</v>
      </c>
      <c r="I1" t="s">
        <v>387</v>
      </c>
      <c r="J1" t="s">
        <v>388</v>
      </c>
      <c r="K1" t="s">
        <v>389</v>
      </c>
      <c r="L1" t="s">
        <v>390</v>
      </c>
      <c r="M1" t="s">
        <v>391</v>
      </c>
      <c r="N1" t="s">
        <v>392</v>
      </c>
      <c r="O1" s="18" t="s">
        <v>13</v>
      </c>
      <c r="P1" s="19" t="s">
        <v>393</v>
      </c>
      <c r="Q1" s="20" t="s">
        <v>394</v>
      </c>
      <c r="R1" s="21" t="s">
        <v>395</v>
      </c>
      <c r="S1" s="22" t="s">
        <v>396</v>
      </c>
      <c r="T1" s="23" t="s">
        <v>397</v>
      </c>
      <c r="U1" s="24" t="s">
        <v>398</v>
      </c>
      <c r="V1" t="s">
        <v>399</v>
      </c>
      <c r="W1" t="s">
        <v>400</v>
      </c>
      <c r="X1" t="s">
        <v>401</v>
      </c>
      <c r="Y1" s="18" t="s">
        <v>402</v>
      </c>
      <c r="Z1" t="s">
        <v>22</v>
      </c>
      <c r="AA1" t="s">
        <v>403</v>
      </c>
      <c r="AB1" t="s">
        <v>24</v>
      </c>
    </row>
    <row r="2" spans="1:28" x14ac:dyDescent="0.3">
      <c r="A2" s="7">
        <v>44805</v>
      </c>
      <c r="B2">
        <v>1</v>
      </c>
      <c r="C2" t="s">
        <v>26</v>
      </c>
      <c r="D2">
        <v>2</v>
      </c>
      <c r="E2">
        <v>4</v>
      </c>
      <c r="F2" t="s">
        <v>27</v>
      </c>
      <c r="G2">
        <v>1</v>
      </c>
      <c r="H2" s="8">
        <v>0.27083333333333331</v>
      </c>
      <c r="I2" s="8">
        <v>0.32291666666666669</v>
      </c>
      <c r="J2" s="8">
        <f>I2-H2</f>
        <v>5.208333333333337E-2</v>
      </c>
      <c r="K2" s="12">
        <f>(J2-INT(J2))*24</f>
        <v>1.2500000000000009</v>
      </c>
      <c r="L2" s="12">
        <f>G2*K2</f>
        <v>1.2500000000000009</v>
      </c>
      <c r="M2" t="s">
        <v>25</v>
      </c>
      <c r="N2" t="s">
        <v>404</v>
      </c>
      <c r="O2" s="18" t="s">
        <v>405</v>
      </c>
      <c r="P2">
        <v>0</v>
      </c>
      <c r="Q2" s="18">
        <v>0</v>
      </c>
      <c r="R2">
        <v>0</v>
      </c>
      <c r="S2" s="18">
        <v>0</v>
      </c>
      <c r="T2">
        <v>0</v>
      </c>
      <c r="U2" s="18">
        <v>0</v>
      </c>
      <c r="Y2" s="18"/>
    </row>
    <row r="3" spans="1:28" x14ac:dyDescent="0.3">
      <c r="A3" s="7">
        <v>44805</v>
      </c>
      <c r="B3">
        <v>1</v>
      </c>
      <c r="C3" t="s">
        <v>26</v>
      </c>
      <c r="D3">
        <v>2</v>
      </c>
      <c r="E3">
        <v>4</v>
      </c>
      <c r="F3" t="s">
        <v>27</v>
      </c>
      <c r="G3">
        <v>1</v>
      </c>
      <c r="H3" s="8">
        <v>0.27083333333333331</v>
      </c>
      <c r="I3" s="8">
        <v>0.33333333333333331</v>
      </c>
      <c r="J3" s="8">
        <f t="shared" ref="J3:J66" si="0">I3-H3</f>
        <v>6.25E-2</v>
      </c>
      <c r="K3" s="12">
        <f t="shared" ref="K3:K66" si="1">(J3-INT(J3))*24</f>
        <v>1.5</v>
      </c>
      <c r="L3" s="12">
        <f>G3*K3</f>
        <v>1.5</v>
      </c>
      <c r="M3" t="s">
        <v>28</v>
      </c>
      <c r="N3" t="s">
        <v>406</v>
      </c>
      <c r="O3" s="18" t="s">
        <v>405</v>
      </c>
      <c r="P3">
        <v>0</v>
      </c>
      <c r="Q3" s="18">
        <v>0</v>
      </c>
      <c r="R3">
        <v>0</v>
      </c>
      <c r="S3" s="18">
        <v>0</v>
      </c>
      <c r="T3">
        <v>0</v>
      </c>
      <c r="U3" s="18">
        <v>0</v>
      </c>
      <c r="Y3" s="18"/>
    </row>
    <row r="4" spans="1:28" x14ac:dyDescent="0.3">
      <c r="A4" s="7">
        <v>44805</v>
      </c>
      <c r="B4">
        <v>1</v>
      </c>
      <c r="C4" t="s">
        <v>26</v>
      </c>
      <c r="D4">
        <v>2</v>
      </c>
      <c r="E4">
        <v>4</v>
      </c>
      <c r="F4" t="s">
        <v>27</v>
      </c>
      <c r="G4">
        <v>1</v>
      </c>
      <c r="H4" s="8">
        <v>0.29166666666666669</v>
      </c>
      <c r="I4" s="8">
        <v>0.33333333333333331</v>
      </c>
      <c r="J4" s="8">
        <f t="shared" si="0"/>
        <v>4.166666666666663E-2</v>
      </c>
      <c r="K4" s="12">
        <f t="shared" si="1"/>
        <v>0.99999999999999911</v>
      </c>
      <c r="L4" s="12">
        <f t="shared" ref="L4:L67" si="2">G4*K4</f>
        <v>0.99999999999999911</v>
      </c>
      <c r="M4" t="s">
        <v>28</v>
      </c>
      <c r="N4" t="s">
        <v>406</v>
      </c>
      <c r="O4" s="18" t="s">
        <v>407</v>
      </c>
      <c r="P4">
        <v>0</v>
      </c>
      <c r="Q4" s="18">
        <v>0</v>
      </c>
      <c r="R4">
        <v>0</v>
      </c>
      <c r="S4" s="18">
        <v>0</v>
      </c>
      <c r="T4">
        <v>0</v>
      </c>
      <c r="U4" s="18">
        <v>0</v>
      </c>
      <c r="Y4" s="18"/>
    </row>
    <row r="5" spans="1:28" x14ac:dyDescent="0.3">
      <c r="A5" s="7">
        <v>44805</v>
      </c>
      <c r="B5">
        <v>1</v>
      </c>
      <c r="C5" t="s">
        <v>26</v>
      </c>
      <c r="D5">
        <v>2</v>
      </c>
      <c r="E5">
        <v>2</v>
      </c>
      <c r="F5" t="s">
        <v>35</v>
      </c>
      <c r="G5">
        <v>1</v>
      </c>
      <c r="H5" s="8">
        <v>0.25</v>
      </c>
      <c r="I5" s="8">
        <v>0.39583333333333331</v>
      </c>
      <c r="J5" s="8">
        <f t="shared" si="0"/>
        <v>0.14583333333333331</v>
      </c>
      <c r="K5" s="12">
        <f t="shared" si="1"/>
        <v>3.4999999999999996</v>
      </c>
      <c r="L5" s="12">
        <f t="shared" si="2"/>
        <v>3.4999999999999996</v>
      </c>
      <c r="M5" t="s">
        <v>25</v>
      </c>
      <c r="N5" t="s">
        <v>408</v>
      </c>
      <c r="O5" s="18" t="s">
        <v>92</v>
      </c>
      <c r="P5">
        <v>0</v>
      </c>
      <c r="Q5" s="18">
        <v>0</v>
      </c>
      <c r="R5">
        <v>0</v>
      </c>
      <c r="S5" s="18">
        <v>0</v>
      </c>
      <c r="T5">
        <v>0</v>
      </c>
      <c r="U5" s="18">
        <v>0</v>
      </c>
      <c r="Y5" s="18"/>
    </row>
    <row r="6" spans="1:28" x14ac:dyDescent="0.3">
      <c r="A6" s="7">
        <v>44805</v>
      </c>
      <c r="B6">
        <v>1</v>
      </c>
      <c r="C6" t="s">
        <v>26</v>
      </c>
      <c r="D6">
        <v>2</v>
      </c>
      <c r="E6">
        <v>2</v>
      </c>
      <c r="F6" t="s">
        <v>27</v>
      </c>
      <c r="G6">
        <v>1</v>
      </c>
      <c r="H6" s="8">
        <v>0.27083333333333331</v>
      </c>
      <c r="I6" s="8">
        <v>0.41666666666666669</v>
      </c>
      <c r="J6" s="8">
        <f t="shared" si="0"/>
        <v>0.14583333333333337</v>
      </c>
      <c r="K6" s="12">
        <f t="shared" si="1"/>
        <v>3.5000000000000009</v>
      </c>
      <c r="L6" s="12">
        <f t="shared" si="2"/>
        <v>3.5000000000000009</v>
      </c>
      <c r="M6" t="s">
        <v>25</v>
      </c>
      <c r="N6" t="s">
        <v>409</v>
      </c>
      <c r="O6" s="18" t="s">
        <v>410</v>
      </c>
      <c r="P6">
        <v>0</v>
      </c>
      <c r="Q6" s="18">
        <v>0</v>
      </c>
      <c r="R6">
        <v>0</v>
      </c>
      <c r="S6" s="18">
        <v>0</v>
      </c>
      <c r="T6">
        <v>0</v>
      </c>
      <c r="U6" s="18">
        <v>0</v>
      </c>
      <c r="Y6" s="18"/>
    </row>
    <row r="7" spans="1:28" x14ac:dyDescent="0.3">
      <c r="A7" s="7">
        <v>44805</v>
      </c>
      <c r="B7">
        <v>1</v>
      </c>
      <c r="C7" t="s">
        <v>26</v>
      </c>
      <c r="D7">
        <v>2</v>
      </c>
      <c r="E7">
        <v>2</v>
      </c>
      <c r="F7" t="s">
        <v>27</v>
      </c>
      <c r="G7">
        <v>3</v>
      </c>
      <c r="H7" s="8">
        <v>0.375</v>
      </c>
      <c r="I7" s="8">
        <v>0.4375</v>
      </c>
      <c r="J7" s="8">
        <f t="shared" si="0"/>
        <v>6.25E-2</v>
      </c>
      <c r="K7" s="12">
        <f t="shared" si="1"/>
        <v>1.5</v>
      </c>
      <c r="L7" s="12">
        <f t="shared" si="2"/>
        <v>4.5</v>
      </c>
      <c r="M7" t="s">
        <v>28</v>
      </c>
      <c r="N7" t="s">
        <v>411</v>
      </c>
      <c r="O7" s="18" t="s">
        <v>410</v>
      </c>
      <c r="P7">
        <v>0</v>
      </c>
      <c r="Q7" s="18">
        <v>0</v>
      </c>
      <c r="R7">
        <v>0</v>
      </c>
      <c r="S7" s="18">
        <v>0</v>
      </c>
      <c r="T7">
        <v>0</v>
      </c>
      <c r="U7" s="18">
        <v>0</v>
      </c>
      <c r="Y7" s="18"/>
    </row>
    <row r="8" spans="1:28" x14ac:dyDescent="0.3">
      <c r="A8" s="7">
        <v>44805</v>
      </c>
      <c r="B8">
        <v>1</v>
      </c>
      <c r="C8" t="s">
        <v>26</v>
      </c>
      <c r="D8">
        <v>1</v>
      </c>
      <c r="E8">
        <v>1</v>
      </c>
      <c r="F8" t="s">
        <v>35</v>
      </c>
      <c r="G8">
        <v>1</v>
      </c>
      <c r="H8" s="8">
        <v>0.29166666666666669</v>
      </c>
      <c r="I8" s="8">
        <v>0.49305555555555558</v>
      </c>
      <c r="J8" s="8">
        <f t="shared" si="0"/>
        <v>0.2013888888888889</v>
      </c>
      <c r="K8" s="12">
        <f t="shared" si="1"/>
        <v>4.8333333333333339</v>
      </c>
      <c r="L8" s="12">
        <f t="shared" si="2"/>
        <v>4.8333333333333339</v>
      </c>
      <c r="M8" t="s">
        <v>25</v>
      </c>
      <c r="N8" t="s">
        <v>412</v>
      </c>
      <c r="O8" s="18" t="s">
        <v>92</v>
      </c>
      <c r="P8">
        <v>0</v>
      </c>
      <c r="Q8" s="18">
        <v>0</v>
      </c>
      <c r="R8">
        <v>0</v>
      </c>
      <c r="S8" s="18">
        <v>0</v>
      </c>
      <c r="T8">
        <v>0</v>
      </c>
      <c r="U8" s="18">
        <v>0</v>
      </c>
      <c r="Y8" s="18"/>
    </row>
    <row r="9" spans="1:28" x14ac:dyDescent="0.3">
      <c r="A9" s="7">
        <v>44805</v>
      </c>
      <c r="B9">
        <v>1</v>
      </c>
      <c r="C9" t="s">
        <v>26</v>
      </c>
      <c r="D9">
        <v>1</v>
      </c>
      <c r="E9">
        <v>1</v>
      </c>
      <c r="F9" t="s">
        <v>35</v>
      </c>
      <c r="G9">
        <v>2</v>
      </c>
      <c r="H9" s="8">
        <v>0.25</v>
      </c>
      <c r="I9" s="8">
        <v>0.49305555555555558</v>
      </c>
      <c r="J9" s="8">
        <f t="shared" si="0"/>
        <v>0.24305555555555558</v>
      </c>
      <c r="K9" s="12">
        <f t="shared" si="1"/>
        <v>5.8333333333333339</v>
      </c>
      <c r="L9" s="12">
        <f t="shared" si="2"/>
        <v>11.666666666666668</v>
      </c>
      <c r="M9" t="s">
        <v>25</v>
      </c>
      <c r="N9" t="s">
        <v>412</v>
      </c>
      <c r="O9" s="18" t="s">
        <v>92</v>
      </c>
      <c r="P9">
        <v>0</v>
      </c>
      <c r="Q9" s="18">
        <v>1</v>
      </c>
      <c r="R9">
        <v>4</v>
      </c>
      <c r="S9" s="18">
        <v>0</v>
      </c>
      <c r="T9">
        <v>0</v>
      </c>
      <c r="U9" s="18">
        <v>0</v>
      </c>
      <c r="Y9" s="18"/>
    </row>
    <row r="10" spans="1:28" x14ac:dyDescent="0.3">
      <c r="A10" s="7">
        <v>44805</v>
      </c>
      <c r="B10">
        <v>1</v>
      </c>
      <c r="C10" t="s">
        <v>26</v>
      </c>
      <c r="D10">
        <v>1</v>
      </c>
      <c r="E10">
        <v>1</v>
      </c>
      <c r="F10" t="s">
        <v>35</v>
      </c>
      <c r="G10">
        <v>2</v>
      </c>
      <c r="H10" s="8">
        <v>0.29166666666666669</v>
      </c>
      <c r="I10" s="8">
        <v>0.49305555555555558</v>
      </c>
      <c r="J10" s="8">
        <f t="shared" si="0"/>
        <v>0.2013888888888889</v>
      </c>
      <c r="K10" s="12">
        <f t="shared" si="1"/>
        <v>4.8333333333333339</v>
      </c>
      <c r="L10" s="12">
        <f t="shared" si="2"/>
        <v>9.6666666666666679</v>
      </c>
      <c r="M10" t="s">
        <v>25</v>
      </c>
      <c r="N10" t="s">
        <v>412</v>
      </c>
      <c r="O10" s="18" t="s">
        <v>92</v>
      </c>
      <c r="P10">
        <v>0</v>
      </c>
      <c r="Q10" s="18">
        <v>0</v>
      </c>
      <c r="R10">
        <v>1</v>
      </c>
      <c r="S10" s="18">
        <v>0</v>
      </c>
      <c r="T10">
        <v>0</v>
      </c>
      <c r="U10" s="18">
        <v>0</v>
      </c>
      <c r="Y10" s="18"/>
    </row>
    <row r="11" spans="1:28" x14ac:dyDescent="0.3">
      <c r="A11" s="7">
        <v>44805</v>
      </c>
      <c r="B11">
        <v>1</v>
      </c>
      <c r="C11" t="s">
        <v>26</v>
      </c>
      <c r="D11">
        <v>1</v>
      </c>
      <c r="E11">
        <v>1</v>
      </c>
      <c r="F11" t="s">
        <v>35</v>
      </c>
      <c r="G11">
        <v>1</v>
      </c>
      <c r="H11" s="8">
        <v>0.25</v>
      </c>
      <c r="I11" s="8">
        <v>0.52083333333333337</v>
      </c>
      <c r="J11" s="8">
        <f t="shared" si="0"/>
        <v>0.27083333333333337</v>
      </c>
      <c r="K11" s="12">
        <f t="shared" si="1"/>
        <v>6.5000000000000009</v>
      </c>
      <c r="L11" s="12">
        <f t="shared" si="2"/>
        <v>6.5000000000000009</v>
      </c>
      <c r="M11" t="s">
        <v>25</v>
      </c>
      <c r="N11" t="s">
        <v>413</v>
      </c>
      <c r="O11" s="18" t="s">
        <v>92</v>
      </c>
      <c r="P11">
        <v>0</v>
      </c>
      <c r="Q11" s="18">
        <v>2</v>
      </c>
      <c r="R11">
        <v>0</v>
      </c>
      <c r="S11" s="18">
        <v>0</v>
      </c>
      <c r="T11">
        <v>0</v>
      </c>
      <c r="U11" s="18">
        <v>0</v>
      </c>
      <c r="Y11" s="18"/>
    </row>
    <row r="12" spans="1:28" s="26" customFormat="1" x14ac:dyDescent="0.3">
      <c r="A12" s="25">
        <v>44805</v>
      </c>
      <c r="B12" s="26">
        <v>1</v>
      </c>
      <c r="C12" s="26" t="s">
        <v>26</v>
      </c>
      <c r="D12" s="26">
        <v>2</v>
      </c>
      <c r="E12" s="26">
        <v>4</v>
      </c>
      <c r="F12" s="26" t="s">
        <v>27</v>
      </c>
      <c r="G12" s="26">
        <v>1</v>
      </c>
      <c r="H12" s="27">
        <v>0.3125</v>
      </c>
      <c r="I12" s="27">
        <v>0.33333333333333331</v>
      </c>
      <c r="J12" s="8">
        <f t="shared" si="0"/>
        <v>2.0833333333333315E-2</v>
      </c>
      <c r="K12" s="12">
        <f t="shared" si="1"/>
        <v>0.49999999999999956</v>
      </c>
      <c r="L12" s="12">
        <f t="shared" si="2"/>
        <v>0.49999999999999956</v>
      </c>
      <c r="M12" s="26" t="s">
        <v>25</v>
      </c>
      <c r="N12" s="26" t="s">
        <v>414</v>
      </c>
      <c r="O12" s="28" t="s">
        <v>410</v>
      </c>
      <c r="P12" s="26">
        <v>0</v>
      </c>
      <c r="Q12" s="28">
        <v>0</v>
      </c>
      <c r="R12" s="26">
        <v>0</v>
      </c>
      <c r="S12" s="28">
        <v>0</v>
      </c>
      <c r="T12" s="26">
        <v>0</v>
      </c>
      <c r="U12" s="28">
        <v>0</v>
      </c>
      <c r="Y12" s="28"/>
    </row>
    <row r="13" spans="1:28" x14ac:dyDescent="0.3">
      <c r="A13" s="7">
        <v>44805</v>
      </c>
      <c r="B13">
        <v>1</v>
      </c>
      <c r="C13" t="s">
        <v>42</v>
      </c>
      <c r="D13">
        <v>1</v>
      </c>
      <c r="E13">
        <v>4</v>
      </c>
      <c r="F13" t="s">
        <v>27</v>
      </c>
      <c r="G13">
        <v>2</v>
      </c>
      <c r="H13" s="8">
        <v>0.5625</v>
      </c>
      <c r="I13" s="8">
        <v>0.65972222222222221</v>
      </c>
      <c r="J13" s="8">
        <f t="shared" si="0"/>
        <v>9.722222222222221E-2</v>
      </c>
      <c r="K13" s="12">
        <f t="shared" si="1"/>
        <v>2.333333333333333</v>
      </c>
      <c r="L13" s="12">
        <f t="shared" si="2"/>
        <v>4.6666666666666661</v>
      </c>
      <c r="M13" t="s">
        <v>25</v>
      </c>
      <c r="N13" t="s">
        <v>411</v>
      </c>
      <c r="O13" s="18" t="s">
        <v>405</v>
      </c>
      <c r="P13">
        <v>0</v>
      </c>
      <c r="Q13" s="18">
        <v>0</v>
      </c>
      <c r="R13">
        <v>0</v>
      </c>
      <c r="S13" s="18">
        <v>0</v>
      </c>
      <c r="T13">
        <v>0</v>
      </c>
      <c r="U13" s="18">
        <v>0</v>
      </c>
      <c r="Y13" s="18"/>
    </row>
    <row r="14" spans="1:28" x14ac:dyDescent="0.3">
      <c r="A14" s="7">
        <v>44805</v>
      </c>
      <c r="B14">
        <v>1</v>
      </c>
      <c r="C14" t="s">
        <v>42</v>
      </c>
      <c r="D14">
        <v>1</v>
      </c>
      <c r="E14">
        <v>4</v>
      </c>
      <c r="F14" t="s">
        <v>27</v>
      </c>
      <c r="G14">
        <v>1</v>
      </c>
      <c r="H14" s="8">
        <v>0.64583333333333337</v>
      </c>
      <c r="I14" s="8">
        <v>0.66666666666666663</v>
      </c>
      <c r="J14" s="8">
        <f t="shared" si="0"/>
        <v>2.0833333333333259E-2</v>
      </c>
      <c r="K14" s="12">
        <f t="shared" si="1"/>
        <v>0.49999999999999822</v>
      </c>
      <c r="L14" s="12">
        <f t="shared" si="2"/>
        <v>0.49999999999999822</v>
      </c>
      <c r="M14" t="s">
        <v>28</v>
      </c>
      <c r="N14" t="s">
        <v>415</v>
      </c>
      <c r="O14" s="18" t="s">
        <v>405</v>
      </c>
      <c r="P14">
        <v>0</v>
      </c>
      <c r="Q14" s="18">
        <v>0</v>
      </c>
      <c r="R14">
        <v>0</v>
      </c>
      <c r="S14" s="18">
        <v>0</v>
      </c>
      <c r="T14">
        <v>0</v>
      </c>
      <c r="U14" s="18">
        <v>0</v>
      </c>
      <c r="Y14" s="18"/>
    </row>
    <row r="15" spans="1:28" x14ac:dyDescent="0.3">
      <c r="A15" s="7">
        <v>44805</v>
      </c>
      <c r="B15">
        <v>1</v>
      </c>
      <c r="C15" t="s">
        <v>42</v>
      </c>
      <c r="D15">
        <v>1</v>
      </c>
      <c r="E15">
        <v>4</v>
      </c>
      <c r="F15" t="s">
        <v>27</v>
      </c>
      <c r="G15">
        <v>2</v>
      </c>
      <c r="H15" s="8">
        <v>0.66666666666666663</v>
      </c>
      <c r="I15" s="8">
        <v>0.67013888888888884</v>
      </c>
      <c r="J15" s="8">
        <f t="shared" si="0"/>
        <v>3.4722222222222099E-3</v>
      </c>
      <c r="K15" s="12">
        <f t="shared" si="1"/>
        <v>8.3333333333333037E-2</v>
      </c>
      <c r="L15" s="12">
        <f t="shared" si="2"/>
        <v>0.16666666666666607</v>
      </c>
      <c r="M15" t="s">
        <v>28</v>
      </c>
      <c r="N15" t="s">
        <v>416</v>
      </c>
      <c r="O15" s="18" t="s">
        <v>405</v>
      </c>
      <c r="P15">
        <v>0</v>
      </c>
      <c r="Q15" s="18">
        <v>0</v>
      </c>
      <c r="R15">
        <v>0</v>
      </c>
      <c r="S15" s="18">
        <v>0</v>
      </c>
      <c r="T15">
        <v>0</v>
      </c>
      <c r="U15" s="18">
        <v>0</v>
      </c>
      <c r="Y15" s="18"/>
    </row>
    <row r="16" spans="1:28" x14ac:dyDescent="0.3">
      <c r="A16" s="7">
        <v>44805</v>
      </c>
      <c r="B16">
        <v>1</v>
      </c>
      <c r="C16" t="s">
        <v>42</v>
      </c>
      <c r="D16">
        <v>1</v>
      </c>
      <c r="E16">
        <v>4</v>
      </c>
      <c r="F16" t="s">
        <v>27</v>
      </c>
      <c r="G16">
        <v>1</v>
      </c>
      <c r="H16" s="8">
        <v>0.625</v>
      </c>
      <c r="I16" s="8">
        <v>0.67152777777777783</v>
      </c>
      <c r="J16" s="8">
        <f t="shared" si="0"/>
        <v>4.6527777777777835E-2</v>
      </c>
      <c r="K16" s="12">
        <f t="shared" si="1"/>
        <v>1.116666666666668</v>
      </c>
      <c r="L16" s="12">
        <f t="shared" si="2"/>
        <v>1.116666666666668</v>
      </c>
      <c r="M16" t="s">
        <v>28</v>
      </c>
      <c r="N16" t="s">
        <v>416</v>
      </c>
      <c r="O16" s="18" t="s">
        <v>92</v>
      </c>
      <c r="P16">
        <v>0</v>
      </c>
      <c r="Q16" s="18">
        <v>1</v>
      </c>
      <c r="R16">
        <v>0</v>
      </c>
      <c r="S16" s="18">
        <v>0</v>
      </c>
      <c r="T16">
        <v>0</v>
      </c>
      <c r="U16" s="18">
        <v>0</v>
      </c>
      <c r="Y16" s="18"/>
    </row>
    <row r="17" spans="1:25" x14ac:dyDescent="0.3">
      <c r="A17" s="7">
        <v>44805</v>
      </c>
      <c r="B17">
        <v>1</v>
      </c>
      <c r="C17" t="s">
        <v>42</v>
      </c>
      <c r="D17">
        <v>1</v>
      </c>
      <c r="E17">
        <v>4</v>
      </c>
      <c r="F17" t="s">
        <v>27</v>
      </c>
      <c r="G17">
        <v>1</v>
      </c>
      <c r="H17" s="8">
        <v>0.66666666666666663</v>
      </c>
      <c r="I17" s="8">
        <v>0.67361111111111116</v>
      </c>
      <c r="J17" s="8">
        <f t="shared" si="0"/>
        <v>6.9444444444445308E-3</v>
      </c>
      <c r="K17" s="12">
        <f t="shared" si="1"/>
        <v>0.16666666666666874</v>
      </c>
      <c r="L17" s="12">
        <f t="shared" si="2"/>
        <v>0.16666666666666874</v>
      </c>
      <c r="M17" t="s">
        <v>28</v>
      </c>
      <c r="N17" t="s">
        <v>408</v>
      </c>
      <c r="O17" s="18" t="s">
        <v>92</v>
      </c>
      <c r="P17">
        <v>0</v>
      </c>
      <c r="Q17" s="18">
        <v>0</v>
      </c>
      <c r="R17">
        <v>0</v>
      </c>
      <c r="S17" s="18">
        <v>0</v>
      </c>
      <c r="T17">
        <v>0</v>
      </c>
      <c r="U17" s="18">
        <v>0</v>
      </c>
      <c r="Y17" s="18"/>
    </row>
    <row r="18" spans="1:25" x14ac:dyDescent="0.3">
      <c r="A18" s="7">
        <v>44805</v>
      </c>
      <c r="B18">
        <v>1</v>
      </c>
      <c r="C18" t="s">
        <v>42</v>
      </c>
      <c r="D18">
        <v>1</v>
      </c>
      <c r="E18">
        <v>4</v>
      </c>
      <c r="F18" t="s">
        <v>27</v>
      </c>
      <c r="G18">
        <v>1</v>
      </c>
      <c r="H18" s="8">
        <v>0.58333333333333337</v>
      </c>
      <c r="I18" s="8">
        <v>0.68055555555555547</v>
      </c>
      <c r="J18" s="8">
        <f t="shared" si="0"/>
        <v>9.7222222222222099E-2</v>
      </c>
      <c r="K18" s="12">
        <f t="shared" si="1"/>
        <v>2.3333333333333304</v>
      </c>
      <c r="L18" s="12">
        <f t="shared" si="2"/>
        <v>2.3333333333333304</v>
      </c>
      <c r="M18" t="s">
        <v>28</v>
      </c>
      <c r="N18" t="s">
        <v>411</v>
      </c>
      <c r="O18" s="18" t="s">
        <v>92</v>
      </c>
      <c r="P18">
        <v>0</v>
      </c>
      <c r="Q18" s="18">
        <v>0</v>
      </c>
      <c r="R18">
        <v>0</v>
      </c>
      <c r="S18" s="18">
        <v>0</v>
      </c>
      <c r="T18">
        <v>0</v>
      </c>
      <c r="U18" s="18">
        <v>0</v>
      </c>
      <c r="Y18" s="18"/>
    </row>
    <row r="19" spans="1:25" x14ac:dyDescent="0.3">
      <c r="A19" s="7">
        <v>44805</v>
      </c>
      <c r="B19">
        <v>1</v>
      </c>
      <c r="C19" t="s">
        <v>42</v>
      </c>
      <c r="D19">
        <v>1</v>
      </c>
      <c r="E19">
        <v>4</v>
      </c>
      <c r="F19" t="s">
        <v>27</v>
      </c>
      <c r="G19">
        <v>1</v>
      </c>
      <c r="H19" s="8">
        <v>0.67361111111111116</v>
      </c>
      <c r="I19" s="8">
        <v>0.68055555555555547</v>
      </c>
      <c r="J19" s="8">
        <f t="shared" si="0"/>
        <v>6.9444444444443088E-3</v>
      </c>
      <c r="K19" s="12">
        <f t="shared" si="1"/>
        <v>0.16666666666666341</v>
      </c>
      <c r="L19" s="12">
        <f t="shared" si="2"/>
        <v>0.16666666666666341</v>
      </c>
      <c r="M19" t="s">
        <v>28</v>
      </c>
      <c r="N19" t="s">
        <v>408</v>
      </c>
      <c r="O19" s="18" t="s">
        <v>92</v>
      </c>
      <c r="P19">
        <v>0</v>
      </c>
      <c r="Q19" s="18">
        <v>0</v>
      </c>
      <c r="R19">
        <v>0</v>
      </c>
      <c r="S19" s="18">
        <v>0</v>
      </c>
      <c r="T19">
        <v>0</v>
      </c>
      <c r="U19" s="18">
        <v>0</v>
      </c>
      <c r="Y19" s="18"/>
    </row>
    <row r="20" spans="1:25" x14ac:dyDescent="0.3">
      <c r="A20" s="7">
        <v>44805</v>
      </c>
      <c r="B20">
        <v>1</v>
      </c>
      <c r="C20" t="s">
        <v>42</v>
      </c>
      <c r="D20">
        <v>1</v>
      </c>
      <c r="E20">
        <v>4</v>
      </c>
      <c r="F20" t="s">
        <v>27</v>
      </c>
      <c r="G20">
        <v>1</v>
      </c>
      <c r="H20" s="8">
        <v>0.67708333333333337</v>
      </c>
      <c r="I20" s="8">
        <v>0.68055555555555547</v>
      </c>
      <c r="J20" s="8">
        <f t="shared" si="0"/>
        <v>3.4722222222220989E-3</v>
      </c>
      <c r="K20" s="12">
        <f t="shared" si="1"/>
        <v>8.3333333333330373E-2</v>
      </c>
      <c r="L20" s="12">
        <f t="shared" si="2"/>
        <v>8.3333333333330373E-2</v>
      </c>
      <c r="M20" t="s">
        <v>28</v>
      </c>
      <c r="N20" t="s">
        <v>415</v>
      </c>
      <c r="O20" s="18" t="s">
        <v>92</v>
      </c>
      <c r="P20">
        <v>0</v>
      </c>
      <c r="Q20" s="18">
        <v>0</v>
      </c>
      <c r="R20">
        <v>0</v>
      </c>
      <c r="S20" s="18">
        <v>0</v>
      </c>
      <c r="T20">
        <v>0</v>
      </c>
      <c r="U20" s="18">
        <v>0</v>
      </c>
      <c r="Y20" s="18"/>
    </row>
    <row r="21" spans="1:25" x14ac:dyDescent="0.3">
      <c r="A21" s="7">
        <v>44805</v>
      </c>
      <c r="B21">
        <v>1</v>
      </c>
      <c r="C21" t="s">
        <v>42</v>
      </c>
      <c r="D21">
        <v>1</v>
      </c>
      <c r="E21">
        <v>4</v>
      </c>
      <c r="F21" t="s">
        <v>27</v>
      </c>
      <c r="G21">
        <v>2</v>
      </c>
      <c r="H21" s="8">
        <v>0.65972222222222221</v>
      </c>
      <c r="I21" s="8">
        <v>0.68055555555555547</v>
      </c>
      <c r="J21" s="8">
        <f t="shared" si="0"/>
        <v>2.0833333333333259E-2</v>
      </c>
      <c r="K21" s="12">
        <f t="shared" si="1"/>
        <v>0.49999999999999822</v>
      </c>
      <c r="L21" s="12">
        <f t="shared" si="2"/>
        <v>0.99999999999999645</v>
      </c>
      <c r="M21" t="s">
        <v>28</v>
      </c>
      <c r="N21" t="s">
        <v>408</v>
      </c>
      <c r="O21" s="18" t="s">
        <v>92</v>
      </c>
      <c r="P21">
        <v>0</v>
      </c>
      <c r="Q21" s="18">
        <v>0</v>
      </c>
      <c r="R21">
        <v>0</v>
      </c>
      <c r="S21" s="18">
        <v>0</v>
      </c>
      <c r="T21">
        <v>0</v>
      </c>
      <c r="U21" s="18">
        <v>0</v>
      </c>
      <c r="Y21" s="18"/>
    </row>
    <row r="22" spans="1:25" x14ac:dyDescent="0.3">
      <c r="A22" s="7">
        <v>44805</v>
      </c>
      <c r="B22">
        <v>1</v>
      </c>
      <c r="C22" t="s">
        <v>42</v>
      </c>
      <c r="D22">
        <v>2</v>
      </c>
      <c r="E22">
        <v>1</v>
      </c>
      <c r="F22" t="s">
        <v>27</v>
      </c>
      <c r="G22">
        <v>1</v>
      </c>
      <c r="H22" s="8">
        <v>0.27083333333333331</v>
      </c>
      <c r="I22" s="8">
        <v>0.69444444444444453</v>
      </c>
      <c r="J22" s="8">
        <f t="shared" si="0"/>
        <v>0.42361111111111122</v>
      </c>
      <c r="K22" s="12">
        <f t="shared" si="1"/>
        <v>10.16666666666667</v>
      </c>
      <c r="L22" s="12">
        <f t="shared" si="2"/>
        <v>10.16666666666667</v>
      </c>
      <c r="M22" t="s">
        <v>28</v>
      </c>
      <c r="N22" t="s">
        <v>414</v>
      </c>
      <c r="O22" s="18" t="s">
        <v>410</v>
      </c>
      <c r="P22">
        <v>0</v>
      </c>
      <c r="Q22" s="18">
        <v>0</v>
      </c>
      <c r="R22">
        <v>0</v>
      </c>
      <c r="S22" s="18">
        <v>0</v>
      </c>
      <c r="T22">
        <v>0</v>
      </c>
      <c r="U22" s="18">
        <v>0</v>
      </c>
      <c r="Y22" s="18"/>
    </row>
    <row r="23" spans="1:25" x14ac:dyDescent="0.3">
      <c r="A23" s="7">
        <v>44805</v>
      </c>
      <c r="B23">
        <v>1</v>
      </c>
      <c r="C23" t="s">
        <v>42</v>
      </c>
      <c r="D23">
        <v>2</v>
      </c>
      <c r="E23">
        <v>1</v>
      </c>
      <c r="F23" t="s">
        <v>27</v>
      </c>
      <c r="G23">
        <v>2</v>
      </c>
      <c r="H23" s="8">
        <v>0.45833333333333331</v>
      </c>
      <c r="I23" s="8">
        <v>0.69791666666666663</v>
      </c>
      <c r="J23" s="8">
        <f t="shared" si="0"/>
        <v>0.23958333333333331</v>
      </c>
      <c r="K23" s="12">
        <f t="shared" si="1"/>
        <v>5.75</v>
      </c>
      <c r="L23" s="12">
        <f t="shared" si="2"/>
        <v>11.5</v>
      </c>
      <c r="M23" t="s">
        <v>28</v>
      </c>
      <c r="N23" t="s">
        <v>411</v>
      </c>
      <c r="O23" s="18" t="s">
        <v>405</v>
      </c>
      <c r="P23">
        <v>0</v>
      </c>
      <c r="Q23" s="18">
        <v>0</v>
      </c>
      <c r="R23">
        <v>0</v>
      </c>
      <c r="S23" s="18">
        <v>0</v>
      </c>
      <c r="T23">
        <v>0</v>
      </c>
      <c r="U23" s="18">
        <v>0</v>
      </c>
      <c r="Y23" s="18"/>
    </row>
    <row r="24" spans="1:25" x14ac:dyDescent="0.3">
      <c r="A24" s="7">
        <v>44805</v>
      </c>
      <c r="B24">
        <v>1</v>
      </c>
      <c r="C24" t="s">
        <v>42</v>
      </c>
      <c r="D24">
        <v>2</v>
      </c>
      <c r="E24">
        <v>2</v>
      </c>
      <c r="F24" t="s">
        <v>35</v>
      </c>
      <c r="G24">
        <v>1</v>
      </c>
      <c r="H24" s="8">
        <v>0.70138888888888884</v>
      </c>
      <c r="I24" s="8">
        <v>0.70833333333333337</v>
      </c>
      <c r="J24" s="8">
        <f t="shared" si="0"/>
        <v>6.9444444444445308E-3</v>
      </c>
      <c r="K24" s="12">
        <f t="shared" si="1"/>
        <v>0.16666666666666874</v>
      </c>
      <c r="L24" s="12">
        <f t="shared" si="2"/>
        <v>0.16666666666666874</v>
      </c>
      <c r="M24" t="s">
        <v>28</v>
      </c>
      <c r="N24" t="s">
        <v>415</v>
      </c>
      <c r="O24" s="18" t="s">
        <v>405</v>
      </c>
      <c r="P24">
        <v>0</v>
      </c>
      <c r="Q24" s="18">
        <v>0</v>
      </c>
      <c r="R24">
        <v>0</v>
      </c>
      <c r="S24" s="18">
        <v>0</v>
      </c>
      <c r="T24">
        <v>0</v>
      </c>
      <c r="U24" s="18">
        <v>0</v>
      </c>
      <c r="Y24" s="18"/>
    </row>
    <row r="25" spans="1:25" x14ac:dyDescent="0.3">
      <c r="A25" s="7">
        <v>44805</v>
      </c>
      <c r="B25">
        <v>1</v>
      </c>
      <c r="C25" t="s">
        <v>42</v>
      </c>
      <c r="D25">
        <v>2</v>
      </c>
      <c r="E25">
        <v>2</v>
      </c>
      <c r="F25" t="s">
        <v>27</v>
      </c>
      <c r="G25">
        <v>2</v>
      </c>
      <c r="H25" s="8">
        <v>0.6875</v>
      </c>
      <c r="I25" s="8">
        <v>0.71319444444444446</v>
      </c>
      <c r="J25" s="8">
        <f t="shared" si="0"/>
        <v>2.5694444444444464E-2</v>
      </c>
      <c r="K25" s="12">
        <f t="shared" si="1"/>
        <v>0.61666666666666714</v>
      </c>
      <c r="L25" s="12">
        <f t="shared" si="2"/>
        <v>1.2333333333333343</v>
      </c>
      <c r="M25" t="s">
        <v>28</v>
      </c>
      <c r="N25" t="s">
        <v>415</v>
      </c>
      <c r="O25" s="18" t="s">
        <v>405</v>
      </c>
      <c r="P25">
        <v>0</v>
      </c>
      <c r="Q25" s="18">
        <v>0</v>
      </c>
      <c r="R25">
        <v>0</v>
      </c>
      <c r="S25" s="18">
        <v>0</v>
      </c>
      <c r="T25">
        <v>0</v>
      </c>
      <c r="U25" s="18">
        <v>0</v>
      </c>
      <c r="Y25" s="18"/>
    </row>
    <row r="26" spans="1:25" x14ac:dyDescent="0.3">
      <c r="A26" s="7">
        <v>44805</v>
      </c>
      <c r="B26">
        <v>1</v>
      </c>
      <c r="C26" t="s">
        <v>42</v>
      </c>
      <c r="D26">
        <v>2</v>
      </c>
      <c r="E26">
        <v>2</v>
      </c>
      <c r="F26" t="s">
        <v>27</v>
      </c>
      <c r="G26">
        <v>1</v>
      </c>
      <c r="H26" s="8">
        <v>0.69791666666666663</v>
      </c>
      <c r="I26" s="8">
        <v>0.71875</v>
      </c>
      <c r="J26" s="8">
        <f t="shared" si="0"/>
        <v>2.083333333333337E-2</v>
      </c>
      <c r="K26" s="12">
        <f t="shared" si="1"/>
        <v>0.50000000000000089</v>
      </c>
      <c r="L26" s="12">
        <f t="shared" si="2"/>
        <v>0.50000000000000089</v>
      </c>
      <c r="M26" t="s">
        <v>28</v>
      </c>
      <c r="N26" t="s">
        <v>408</v>
      </c>
      <c r="O26" s="18" t="s">
        <v>410</v>
      </c>
      <c r="P26">
        <v>0</v>
      </c>
      <c r="Q26" s="18">
        <v>0</v>
      </c>
      <c r="R26">
        <v>0</v>
      </c>
      <c r="S26" s="18">
        <v>0</v>
      </c>
      <c r="T26">
        <v>0</v>
      </c>
      <c r="U26" s="18">
        <v>0</v>
      </c>
      <c r="Y26" s="18"/>
    </row>
    <row r="27" spans="1:25" x14ac:dyDescent="0.3">
      <c r="A27" s="7">
        <v>44805</v>
      </c>
      <c r="B27">
        <v>1</v>
      </c>
      <c r="C27" t="s">
        <v>42</v>
      </c>
      <c r="D27">
        <v>2</v>
      </c>
      <c r="E27">
        <v>2</v>
      </c>
      <c r="F27" t="s">
        <v>27</v>
      </c>
      <c r="G27">
        <v>1</v>
      </c>
      <c r="H27" s="8">
        <v>0.70833333333333337</v>
      </c>
      <c r="I27" s="8">
        <v>0.72916666666666663</v>
      </c>
      <c r="J27" s="8">
        <f t="shared" si="0"/>
        <v>2.0833333333333259E-2</v>
      </c>
      <c r="K27" s="12">
        <f t="shared" si="1"/>
        <v>0.49999999999999822</v>
      </c>
      <c r="L27" s="12">
        <f t="shared" si="2"/>
        <v>0.49999999999999822</v>
      </c>
      <c r="M27" t="s">
        <v>28</v>
      </c>
      <c r="N27" t="s">
        <v>408</v>
      </c>
      <c r="O27" s="18" t="s">
        <v>405</v>
      </c>
      <c r="P27">
        <v>0</v>
      </c>
      <c r="Q27" s="18">
        <v>0</v>
      </c>
      <c r="R27">
        <v>0</v>
      </c>
      <c r="S27" s="18">
        <v>0</v>
      </c>
      <c r="T27">
        <v>0</v>
      </c>
      <c r="U27" s="18">
        <v>0</v>
      </c>
      <c r="Y27" s="18"/>
    </row>
    <row r="28" spans="1:25" x14ac:dyDescent="0.3">
      <c r="A28" s="7">
        <v>44805</v>
      </c>
      <c r="B28">
        <v>1</v>
      </c>
      <c r="C28" t="s">
        <v>42</v>
      </c>
      <c r="D28">
        <v>2</v>
      </c>
      <c r="E28">
        <v>2</v>
      </c>
      <c r="F28" t="s">
        <v>27</v>
      </c>
      <c r="G28">
        <v>1</v>
      </c>
      <c r="H28" s="8">
        <v>0.70833333333333337</v>
      </c>
      <c r="I28" s="8">
        <v>0.72916666666666663</v>
      </c>
      <c r="J28" s="8">
        <f t="shared" si="0"/>
        <v>2.0833333333333259E-2</v>
      </c>
      <c r="K28" s="12">
        <f t="shared" si="1"/>
        <v>0.49999999999999822</v>
      </c>
      <c r="L28" s="12">
        <f t="shared" si="2"/>
        <v>0.49999999999999822</v>
      </c>
      <c r="M28" t="s">
        <v>28</v>
      </c>
      <c r="N28" t="s">
        <v>411</v>
      </c>
      <c r="O28" s="18" t="s">
        <v>410</v>
      </c>
      <c r="P28">
        <v>0</v>
      </c>
      <c r="Q28" s="18">
        <v>0</v>
      </c>
      <c r="R28">
        <v>0</v>
      </c>
      <c r="S28" s="18">
        <v>0</v>
      </c>
      <c r="T28">
        <v>0</v>
      </c>
      <c r="U28" s="18">
        <v>0</v>
      </c>
      <c r="Y28" s="18"/>
    </row>
    <row r="29" spans="1:25" x14ac:dyDescent="0.3">
      <c r="A29" s="7">
        <v>44805</v>
      </c>
      <c r="B29">
        <v>1</v>
      </c>
      <c r="C29" t="s">
        <v>42</v>
      </c>
      <c r="D29">
        <v>2</v>
      </c>
      <c r="E29">
        <v>2</v>
      </c>
      <c r="F29" t="s">
        <v>27</v>
      </c>
      <c r="G29">
        <v>1</v>
      </c>
      <c r="H29" s="8">
        <v>0.70833333333333337</v>
      </c>
      <c r="I29" s="8">
        <v>0.72916666666666663</v>
      </c>
      <c r="J29" s="8">
        <f t="shared" si="0"/>
        <v>2.0833333333333259E-2</v>
      </c>
      <c r="K29" s="12">
        <f t="shared" si="1"/>
        <v>0.49999999999999822</v>
      </c>
      <c r="L29" s="12">
        <f t="shared" si="2"/>
        <v>0.49999999999999822</v>
      </c>
      <c r="M29" t="s">
        <v>28</v>
      </c>
      <c r="N29" t="s">
        <v>414</v>
      </c>
      <c r="O29" s="18" t="s">
        <v>410</v>
      </c>
      <c r="P29">
        <v>0</v>
      </c>
      <c r="Q29" s="18">
        <v>0</v>
      </c>
      <c r="R29">
        <v>0</v>
      </c>
      <c r="S29" s="18">
        <v>0</v>
      </c>
      <c r="T29">
        <v>0</v>
      </c>
      <c r="U29" s="18">
        <v>0</v>
      </c>
      <c r="Y29" s="18"/>
    </row>
    <row r="30" spans="1:25" x14ac:dyDescent="0.3">
      <c r="A30" s="7">
        <v>44805</v>
      </c>
      <c r="B30">
        <v>1</v>
      </c>
      <c r="C30" t="s">
        <v>42</v>
      </c>
      <c r="D30">
        <v>2</v>
      </c>
      <c r="E30">
        <v>2</v>
      </c>
      <c r="F30" t="s">
        <v>27</v>
      </c>
      <c r="G30">
        <v>1</v>
      </c>
      <c r="H30" s="8">
        <v>0.73263888888888884</v>
      </c>
      <c r="I30" s="8">
        <v>0.73472222222222217</v>
      </c>
      <c r="J30" s="8">
        <f t="shared" si="0"/>
        <v>2.0833333333333259E-3</v>
      </c>
      <c r="K30" s="12">
        <f t="shared" si="1"/>
        <v>4.9999999999999822E-2</v>
      </c>
      <c r="L30" s="12">
        <f t="shared" si="2"/>
        <v>4.9999999999999822E-2</v>
      </c>
      <c r="M30" t="s">
        <v>28</v>
      </c>
      <c r="N30" t="s">
        <v>408</v>
      </c>
      <c r="O30" s="18" t="s">
        <v>407</v>
      </c>
      <c r="P30">
        <v>0</v>
      </c>
      <c r="Q30" s="18">
        <v>0</v>
      </c>
      <c r="R30">
        <v>0</v>
      </c>
      <c r="S30" s="18">
        <v>0</v>
      </c>
      <c r="T30">
        <v>0</v>
      </c>
      <c r="U30" s="18">
        <v>0</v>
      </c>
      <c r="Y30" s="18"/>
    </row>
    <row r="31" spans="1:25" x14ac:dyDescent="0.3">
      <c r="A31" s="7">
        <v>44805</v>
      </c>
      <c r="B31">
        <v>1</v>
      </c>
      <c r="C31" t="s">
        <v>42</v>
      </c>
      <c r="D31">
        <v>2</v>
      </c>
      <c r="E31">
        <v>3</v>
      </c>
      <c r="F31" t="s">
        <v>27</v>
      </c>
      <c r="G31">
        <v>1</v>
      </c>
      <c r="H31" s="8">
        <v>0.72916666666666663</v>
      </c>
      <c r="I31" s="8">
        <v>0.74652777777777779</v>
      </c>
      <c r="J31" s="8">
        <f t="shared" si="0"/>
        <v>1.736111111111116E-2</v>
      </c>
      <c r="K31" s="12">
        <f t="shared" si="1"/>
        <v>0.41666666666666785</v>
      </c>
      <c r="L31" s="12">
        <f t="shared" si="2"/>
        <v>0.41666666666666785</v>
      </c>
      <c r="M31" t="s">
        <v>28</v>
      </c>
      <c r="N31" t="s">
        <v>415</v>
      </c>
      <c r="O31" s="18" t="s">
        <v>405</v>
      </c>
      <c r="P31">
        <v>0</v>
      </c>
      <c r="Q31" s="18">
        <v>0</v>
      </c>
      <c r="R31">
        <v>0</v>
      </c>
      <c r="S31" s="18">
        <v>0</v>
      </c>
      <c r="T31">
        <v>0</v>
      </c>
      <c r="U31" s="18">
        <v>0</v>
      </c>
      <c r="Y31" s="18"/>
    </row>
    <row r="32" spans="1:25" x14ac:dyDescent="0.3">
      <c r="A32" s="7">
        <v>44805</v>
      </c>
      <c r="B32">
        <v>1</v>
      </c>
      <c r="C32" t="s">
        <v>42</v>
      </c>
      <c r="D32">
        <v>2</v>
      </c>
      <c r="E32">
        <v>3</v>
      </c>
      <c r="F32" t="s">
        <v>27</v>
      </c>
      <c r="G32">
        <v>1</v>
      </c>
      <c r="H32" s="8">
        <v>0.72222222222222221</v>
      </c>
      <c r="I32" s="8">
        <v>0.74652777777777779</v>
      </c>
      <c r="J32" s="8">
        <f t="shared" si="0"/>
        <v>2.430555555555558E-2</v>
      </c>
      <c r="K32" s="12">
        <f t="shared" si="1"/>
        <v>0.58333333333333393</v>
      </c>
      <c r="L32" s="12">
        <f t="shared" si="2"/>
        <v>0.58333333333333393</v>
      </c>
      <c r="M32" t="s">
        <v>28</v>
      </c>
      <c r="N32" t="s">
        <v>415</v>
      </c>
      <c r="O32" s="18" t="s">
        <v>92</v>
      </c>
      <c r="P32">
        <v>0</v>
      </c>
      <c r="Q32" s="18">
        <v>0</v>
      </c>
      <c r="R32">
        <v>0</v>
      </c>
      <c r="S32" s="18">
        <v>0</v>
      </c>
      <c r="T32">
        <v>0</v>
      </c>
      <c r="U32" s="18">
        <v>0</v>
      </c>
      <c r="Y32" s="18"/>
    </row>
    <row r="33" spans="1:28" x14ac:dyDescent="0.3">
      <c r="A33" s="7">
        <v>44805</v>
      </c>
      <c r="B33">
        <v>1</v>
      </c>
      <c r="C33" t="s">
        <v>42</v>
      </c>
      <c r="D33">
        <v>2</v>
      </c>
      <c r="E33">
        <v>4</v>
      </c>
      <c r="F33" t="s">
        <v>27</v>
      </c>
      <c r="G33">
        <v>1</v>
      </c>
      <c r="H33" s="8">
        <v>0.66666666666666663</v>
      </c>
      <c r="I33" s="8">
        <v>0.77777777777777779</v>
      </c>
      <c r="J33" s="8">
        <f t="shared" si="0"/>
        <v>0.11111111111111116</v>
      </c>
      <c r="K33" s="12">
        <f t="shared" si="1"/>
        <v>2.6666666666666679</v>
      </c>
      <c r="L33" s="12">
        <f t="shared" si="2"/>
        <v>2.6666666666666679</v>
      </c>
      <c r="M33" t="s">
        <v>25</v>
      </c>
      <c r="N33" t="s">
        <v>414</v>
      </c>
      <c r="O33" s="18" t="s">
        <v>410</v>
      </c>
      <c r="P33">
        <v>0</v>
      </c>
      <c r="Q33" s="18">
        <v>0</v>
      </c>
      <c r="R33">
        <v>0</v>
      </c>
      <c r="S33" s="18">
        <v>0</v>
      </c>
      <c r="T33">
        <v>0</v>
      </c>
      <c r="U33" s="18">
        <v>0</v>
      </c>
      <c r="Y33" s="18"/>
    </row>
    <row r="34" spans="1:28" x14ac:dyDescent="0.3">
      <c r="A34" s="7">
        <v>44805</v>
      </c>
      <c r="B34">
        <v>1</v>
      </c>
      <c r="C34" t="s">
        <v>42</v>
      </c>
      <c r="D34">
        <v>2</v>
      </c>
      <c r="E34">
        <v>4</v>
      </c>
      <c r="F34" t="s">
        <v>27</v>
      </c>
      <c r="G34">
        <v>1</v>
      </c>
      <c r="H34" s="8">
        <v>0.75</v>
      </c>
      <c r="I34" s="8">
        <v>0.77777777777777779</v>
      </c>
      <c r="J34" s="8">
        <f t="shared" si="0"/>
        <v>2.777777777777779E-2</v>
      </c>
      <c r="K34" s="12">
        <f t="shared" si="1"/>
        <v>0.66666666666666696</v>
      </c>
      <c r="L34" s="12">
        <f t="shared" si="2"/>
        <v>0.66666666666666696</v>
      </c>
      <c r="M34" t="s">
        <v>25</v>
      </c>
      <c r="N34" t="s">
        <v>408</v>
      </c>
      <c r="O34" s="18" t="s">
        <v>405</v>
      </c>
      <c r="P34">
        <v>0</v>
      </c>
      <c r="Q34" s="18">
        <v>0</v>
      </c>
      <c r="R34">
        <v>0</v>
      </c>
      <c r="S34" s="18">
        <v>0</v>
      </c>
      <c r="T34">
        <v>0</v>
      </c>
      <c r="U34" s="18">
        <v>0</v>
      </c>
      <c r="Y34" s="18"/>
    </row>
    <row r="35" spans="1:28" x14ac:dyDescent="0.3">
      <c r="A35" s="7">
        <v>44805</v>
      </c>
      <c r="B35">
        <v>1</v>
      </c>
      <c r="C35" t="s">
        <v>42</v>
      </c>
      <c r="D35">
        <v>2</v>
      </c>
      <c r="E35">
        <v>4</v>
      </c>
      <c r="F35" t="s">
        <v>27</v>
      </c>
      <c r="G35">
        <v>1</v>
      </c>
      <c r="H35" s="8">
        <v>0.70833333333333337</v>
      </c>
      <c r="I35" s="8">
        <v>0.77777777777777779</v>
      </c>
      <c r="J35" s="8">
        <f t="shared" si="0"/>
        <v>6.944444444444442E-2</v>
      </c>
      <c r="K35" s="12">
        <f t="shared" si="1"/>
        <v>1.6666666666666661</v>
      </c>
      <c r="L35" s="12">
        <f t="shared" si="2"/>
        <v>1.6666666666666661</v>
      </c>
      <c r="M35" t="s">
        <v>25</v>
      </c>
      <c r="N35" t="s">
        <v>406</v>
      </c>
      <c r="O35" s="18" t="s">
        <v>410</v>
      </c>
      <c r="P35">
        <v>0</v>
      </c>
      <c r="Q35" s="18">
        <v>0</v>
      </c>
      <c r="R35">
        <v>0</v>
      </c>
      <c r="S35" s="18">
        <v>0</v>
      </c>
      <c r="T35">
        <v>0</v>
      </c>
      <c r="U35" s="18">
        <v>0</v>
      </c>
      <c r="Y35" s="18"/>
    </row>
    <row r="36" spans="1:28" x14ac:dyDescent="0.3">
      <c r="A36" s="7">
        <v>44805</v>
      </c>
      <c r="B36">
        <v>1</v>
      </c>
      <c r="C36" t="s">
        <v>42</v>
      </c>
      <c r="D36">
        <v>2</v>
      </c>
      <c r="E36">
        <v>4</v>
      </c>
      <c r="F36" t="s">
        <v>27</v>
      </c>
      <c r="G36">
        <v>1</v>
      </c>
      <c r="H36" s="8">
        <v>0.71875</v>
      </c>
      <c r="I36" s="8">
        <v>0.78472222222222221</v>
      </c>
      <c r="J36" s="8">
        <f t="shared" si="0"/>
        <v>6.597222222222221E-2</v>
      </c>
      <c r="K36" s="12">
        <f t="shared" si="1"/>
        <v>1.583333333333333</v>
      </c>
      <c r="L36" s="12">
        <f t="shared" si="2"/>
        <v>1.583333333333333</v>
      </c>
      <c r="M36" t="s">
        <v>28</v>
      </c>
      <c r="N36" t="s">
        <v>404</v>
      </c>
      <c r="O36" s="18" t="s">
        <v>405</v>
      </c>
      <c r="P36">
        <v>0</v>
      </c>
      <c r="Q36" s="18">
        <v>0</v>
      </c>
      <c r="R36">
        <v>0</v>
      </c>
      <c r="S36" s="18">
        <v>0</v>
      </c>
      <c r="T36">
        <v>0</v>
      </c>
      <c r="U36" s="18">
        <v>0</v>
      </c>
      <c r="Y36" s="18"/>
      <c r="Z36" t="s">
        <v>417</v>
      </c>
      <c r="AA36" t="s">
        <v>418</v>
      </c>
      <c r="AB36" t="s">
        <v>419</v>
      </c>
    </row>
    <row r="37" spans="1:28" x14ac:dyDescent="0.3">
      <c r="A37" s="7">
        <v>44805</v>
      </c>
      <c r="B37">
        <v>1</v>
      </c>
      <c r="C37" t="s">
        <v>42</v>
      </c>
      <c r="D37">
        <v>2</v>
      </c>
      <c r="E37">
        <v>4</v>
      </c>
      <c r="F37" t="s">
        <v>27</v>
      </c>
      <c r="G37">
        <v>1</v>
      </c>
      <c r="H37" s="8">
        <v>0.77083333333333337</v>
      </c>
      <c r="I37" s="8">
        <v>0.79166666666666663</v>
      </c>
      <c r="J37" s="8">
        <f t="shared" si="0"/>
        <v>2.0833333333333259E-2</v>
      </c>
      <c r="K37" s="12">
        <f t="shared" si="1"/>
        <v>0.49999999999999822</v>
      </c>
      <c r="L37" s="12">
        <f t="shared" si="2"/>
        <v>0.49999999999999822</v>
      </c>
      <c r="M37" t="s">
        <v>25</v>
      </c>
      <c r="N37" t="s">
        <v>415</v>
      </c>
      <c r="O37" s="18" t="s">
        <v>407</v>
      </c>
      <c r="P37">
        <v>0</v>
      </c>
      <c r="Q37" s="18">
        <v>0</v>
      </c>
      <c r="R37">
        <v>0</v>
      </c>
      <c r="S37" s="18">
        <v>0</v>
      </c>
      <c r="T37">
        <v>0</v>
      </c>
      <c r="U37" s="18">
        <v>0</v>
      </c>
      <c r="Y37" s="18"/>
    </row>
    <row r="38" spans="1:28" x14ac:dyDescent="0.3">
      <c r="A38" s="7">
        <v>44805</v>
      </c>
      <c r="B38">
        <v>1</v>
      </c>
      <c r="C38" t="s">
        <v>42</v>
      </c>
      <c r="D38">
        <v>2</v>
      </c>
      <c r="E38">
        <v>5</v>
      </c>
      <c r="F38" t="s">
        <v>27</v>
      </c>
      <c r="G38">
        <v>1</v>
      </c>
      <c r="H38" s="8">
        <v>0.77083333333333337</v>
      </c>
      <c r="I38" s="8">
        <v>0.8125</v>
      </c>
      <c r="J38" s="8">
        <f t="shared" si="0"/>
        <v>4.166666666666663E-2</v>
      </c>
      <c r="K38" s="12">
        <f t="shared" si="1"/>
        <v>0.99999999999999911</v>
      </c>
      <c r="L38" s="12">
        <f t="shared" si="2"/>
        <v>0.99999999999999911</v>
      </c>
      <c r="M38" t="s">
        <v>28</v>
      </c>
      <c r="N38" t="s">
        <v>411</v>
      </c>
      <c r="O38" s="18" t="s">
        <v>405</v>
      </c>
      <c r="P38">
        <v>0</v>
      </c>
      <c r="Q38" s="18">
        <v>0</v>
      </c>
      <c r="R38">
        <v>0</v>
      </c>
      <c r="S38" s="18">
        <v>0</v>
      </c>
      <c r="T38">
        <v>0</v>
      </c>
      <c r="U38" s="18">
        <v>0</v>
      </c>
      <c r="Y38" s="18"/>
    </row>
    <row r="39" spans="1:28" x14ac:dyDescent="0.3">
      <c r="A39" s="7">
        <v>44805</v>
      </c>
      <c r="B39">
        <v>1</v>
      </c>
      <c r="C39" t="s">
        <v>42</v>
      </c>
      <c r="D39">
        <v>2</v>
      </c>
      <c r="E39">
        <v>5</v>
      </c>
      <c r="F39" t="s">
        <v>27</v>
      </c>
      <c r="G39">
        <v>1</v>
      </c>
      <c r="H39" s="8">
        <v>0.64583333333333337</v>
      </c>
      <c r="I39" s="8">
        <v>0.8125</v>
      </c>
      <c r="J39" s="8">
        <f t="shared" si="0"/>
        <v>0.16666666666666663</v>
      </c>
      <c r="K39" s="12">
        <f t="shared" si="1"/>
        <v>3.9999999999999991</v>
      </c>
      <c r="L39" s="12">
        <f t="shared" si="2"/>
        <v>3.9999999999999991</v>
      </c>
      <c r="M39" t="s">
        <v>28</v>
      </c>
      <c r="N39" t="s">
        <v>411</v>
      </c>
      <c r="O39" s="18" t="s">
        <v>410</v>
      </c>
      <c r="P39">
        <v>0</v>
      </c>
      <c r="Q39" s="18">
        <v>0</v>
      </c>
      <c r="R39">
        <v>0</v>
      </c>
      <c r="S39" s="18">
        <v>0</v>
      </c>
      <c r="T39">
        <v>0</v>
      </c>
      <c r="U39" s="18">
        <v>0</v>
      </c>
      <c r="Y39" s="18"/>
    </row>
    <row r="40" spans="1:28" s="26" customFormat="1" x14ac:dyDescent="0.3">
      <c r="A40" s="25">
        <v>44805</v>
      </c>
      <c r="B40" s="26">
        <v>1</v>
      </c>
      <c r="C40" s="26" t="s">
        <v>42</v>
      </c>
      <c r="D40" s="26">
        <v>2</v>
      </c>
      <c r="E40" s="26">
        <v>5</v>
      </c>
      <c r="F40" s="26" t="s">
        <v>27</v>
      </c>
      <c r="G40" s="26">
        <v>2</v>
      </c>
      <c r="H40" s="27">
        <v>0.6875</v>
      </c>
      <c r="I40" s="27">
        <v>0.8125</v>
      </c>
      <c r="J40" s="8">
        <f t="shared" si="0"/>
        <v>0.125</v>
      </c>
      <c r="K40" s="12">
        <f t="shared" si="1"/>
        <v>3</v>
      </c>
      <c r="L40" s="12">
        <f t="shared" si="2"/>
        <v>6</v>
      </c>
      <c r="M40" s="26" t="s">
        <v>28</v>
      </c>
      <c r="N40" s="26" t="s">
        <v>411</v>
      </c>
      <c r="O40" s="28" t="s">
        <v>410</v>
      </c>
      <c r="P40" s="26">
        <v>0</v>
      </c>
      <c r="Q40" s="28">
        <v>0</v>
      </c>
      <c r="R40" s="26">
        <v>0</v>
      </c>
      <c r="S40" s="28">
        <v>0</v>
      </c>
      <c r="T40" s="26">
        <v>0</v>
      </c>
      <c r="U40" s="28">
        <v>0</v>
      </c>
      <c r="Y40" s="28"/>
    </row>
    <row r="41" spans="1:28" x14ac:dyDescent="0.3">
      <c r="A41" s="7">
        <v>44806</v>
      </c>
      <c r="B41">
        <v>1</v>
      </c>
      <c r="C41" t="s">
        <v>26</v>
      </c>
      <c r="D41">
        <v>1</v>
      </c>
      <c r="E41">
        <v>1</v>
      </c>
      <c r="F41" t="s">
        <v>35</v>
      </c>
      <c r="G41">
        <v>2</v>
      </c>
      <c r="H41" s="8">
        <v>0.32291666666666669</v>
      </c>
      <c r="I41" s="8">
        <v>0.375</v>
      </c>
      <c r="J41" s="8">
        <f t="shared" si="0"/>
        <v>5.2083333333333315E-2</v>
      </c>
      <c r="K41" s="12">
        <f t="shared" si="1"/>
        <v>1.2499999999999996</v>
      </c>
      <c r="L41" s="12">
        <f t="shared" si="2"/>
        <v>2.4999999999999991</v>
      </c>
      <c r="M41" t="s">
        <v>25</v>
      </c>
      <c r="N41" t="s">
        <v>412</v>
      </c>
      <c r="O41" s="18" t="s">
        <v>405</v>
      </c>
      <c r="P41">
        <v>0</v>
      </c>
      <c r="Q41" s="18">
        <v>0</v>
      </c>
      <c r="R41">
        <v>1</v>
      </c>
      <c r="S41" s="18">
        <v>0</v>
      </c>
      <c r="T41">
        <v>0</v>
      </c>
      <c r="U41" s="18">
        <v>0</v>
      </c>
      <c r="Y41" s="18"/>
      <c r="AB41" t="s">
        <v>420</v>
      </c>
    </row>
    <row r="42" spans="1:28" x14ac:dyDescent="0.3">
      <c r="A42" s="7">
        <v>44806</v>
      </c>
      <c r="B42">
        <v>1</v>
      </c>
      <c r="C42" t="s">
        <v>26</v>
      </c>
      <c r="D42">
        <v>1</v>
      </c>
      <c r="E42">
        <v>1</v>
      </c>
      <c r="F42" t="s">
        <v>35</v>
      </c>
      <c r="G42">
        <v>3</v>
      </c>
      <c r="H42" s="8">
        <v>0.25</v>
      </c>
      <c r="I42" s="8">
        <v>0.40972222222222227</v>
      </c>
      <c r="J42" s="8">
        <f t="shared" si="0"/>
        <v>0.15972222222222227</v>
      </c>
      <c r="K42" s="12">
        <f t="shared" si="1"/>
        <v>3.8333333333333344</v>
      </c>
      <c r="L42" s="12">
        <f t="shared" si="2"/>
        <v>11.500000000000004</v>
      </c>
      <c r="M42" t="s">
        <v>25</v>
      </c>
      <c r="N42" t="s">
        <v>412</v>
      </c>
      <c r="O42" s="18" t="s">
        <v>92</v>
      </c>
      <c r="P42">
        <v>0</v>
      </c>
      <c r="Q42" s="18">
        <v>0</v>
      </c>
      <c r="R42">
        <v>6</v>
      </c>
      <c r="S42" s="18">
        <v>0</v>
      </c>
      <c r="T42">
        <v>0</v>
      </c>
      <c r="U42" s="18">
        <v>0</v>
      </c>
      <c r="Y42" s="18"/>
      <c r="AB42" t="s">
        <v>421</v>
      </c>
    </row>
    <row r="43" spans="1:28" x14ac:dyDescent="0.3">
      <c r="A43" s="7">
        <v>44806</v>
      </c>
      <c r="B43">
        <v>1</v>
      </c>
      <c r="C43" t="s">
        <v>26</v>
      </c>
      <c r="D43">
        <v>1</v>
      </c>
      <c r="E43">
        <v>1</v>
      </c>
      <c r="F43" t="s">
        <v>35</v>
      </c>
      <c r="G43">
        <v>2</v>
      </c>
      <c r="H43" s="8">
        <v>0.25</v>
      </c>
      <c r="I43" s="8">
        <v>0.40625</v>
      </c>
      <c r="J43" s="8">
        <f t="shared" si="0"/>
        <v>0.15625</v>
      </c>
      <c r="K43" s="12">
        <f t="shared" si="1"/>
        <v>3.75</v>
      </c>
      <c r="L43" s="12">
        <f t="shared" si="2"/>
        <v>7.5</v>
      </c>
      <c r="M43" t="s">
        <v>25</v>
      </c>
      <c r="N43" t="s">
        <v>412</v>
      </c>
      <c r="O43" s="18" t="s">
        <v>92</v>
      </c>
      <c r="P43">
        <v>0</v>
      </c>
      <c r="Q43" s="18">
        <v>0</v>
      </c>
      <c r="R43">
        <v>1</v>
      </c>
      <c r="S43" s="18">
        <v>0</v>
      </c>
      <c r="T43">
        <v>0</v>
      </c>
      <c r="U43" s="18">
        <v>0</v>
      </c>
      <c r="Y43" s="18"/>
    </row>
    <row r="44" spans="1:28" x14ac:dyDescent="0.3">
      <c r="A44" s="7">
        <v>44806</v>
      </c>
      <c r="B44">
        <v>1</v>
      </c>
      <c r="C44" t="s">
        <v>26</v>
      </c>
      <c r="D44">
        <v>1</v>
      </c>
      <c r="E44">
        <v>1</v>
      </c>
      <c r="F44" t="s">
        <v>35</v>
      </c>
      <c r="G44">
        <v>2</v>
      </c>
      <c r="H44" s="8">
        <v>0.20833333333333334</v>
      </c>
      <c r="I44" s="8">
        <v>0.40972222222222227</v>
      </c>
      <c r="J44" s="8">
        <f t="shared" si="0"/>
        <v>0.20138888888888892</v>
      </c>
      <c r="K44" s="12">
        <f t="shared" si="1"/>
        <v>4.8333333333333339</v>
      </c>
      <c r="L44" s="12">
        <f t="shared" si="2"/>
        <v>9.6666666666666679</v>
      </c>
      <c r="M44" t="s">
        <v>25</v>
      </c>
      <c r="N44" t="s">
        <v>412</v>
      </c>
      <c r="O44" s="18" t="s">
        <v>92</v>
      </c>
      <c r="P44">
        <v>0</v>
      </c>
      <c r="Q44" s="18">
        <v>0</v>
      </c>
      <c r="R44">
        <v>1</v>
      </c>
      <c r="S44" s="18">
        <v>0</v>
      </c>
      <c r="T44">
        <v>0</v>
      </c>
      <c r="U44" s="18">
        <v>0</v>
      </c>
      <c r="Y44" s="18"/>
    </row>
    <row r="45" spans="1:28" x14ac:dyDescent="0.3">
      <c r="A45" s="7">
        <v>44806</v>
      </c>
      <c r="B45">
        <v>1</v>
      </c>
      <c r="C45" t="s">
        <v>26</v>
      </c>
      <c r="D45">
        <v>1</v>
      </c>
      <c r="E45">
        <v>1</v>
      </c>
      <c r="F45" t="s">
        <v>35</v>
      </c>
      <c r="G45">
        <v>2</v>
      </c>
      <c r="H45" s="8">
        <v>0.29166666666666669</v>
      </c>
      <c r="I45" s="8">
        <v>0.43402777777777773</v>
      </c>
      <c r="J45" s="8">
        <f t="shared" si="0"/>
        <v>0.14236111111111105</v>
      </c>
      <c r="K45" s="12">
        <f t="shared" si="1"/>
        <v>3.4166666666666652</v>
      </c>
      <c r="L45" s="12">
        <f t="shared" si="2"/>
        <v>6.8333333333333304</v>
      </c>
      <c r="M45" t="s">
        <v>28</v>
      </c>
      <c r="N45" t="s">
        <v>412</v>
      </c>
      <c r="O45" s="18" t="s">
        <v>422</v>
      </c>
      <c r="P45">
        <v>0</v>
      </c>
      <c r="Q45" s="18">
        <v>0</v>
      </c>
      <c r="R45">
        <v>0</v>
      </c>
      <c r="S45" s="18">
        <v>0</v>
      </c>
      <c r="T45">
        <v>0</v>
      </c>
      <c r="U45" s="18">
        <v>0</v>
      </c>
      <c r="Y45" s="18"/>
    </row>
    <row r="46" spans="1:28" x14ac:dyDescent="0.3">
      <c r="A46" s="7">
        <v>44806</v>
      </c>
      <c r="B46">
        <v>1</v>
      </c>
      <c r="C46" t="s">
        <v>26</v>
      </c>
      <c r="D46">
        <v>1</v>
      </c>
      <c r="E46">
        <v>1</v>
      </c>
      <c r="F46" t="s">
        <v>35</v>
      </c>
      <c r="G46">
        <v>1</v>
      </c>
      <c r="H46" s="8">
        <v>0.27083333333333331</v>
      </c>
      <c r="I46" s="8">
        <v>0.43402777777777773</v>
      </c>
      <c r="J46" s="8">
        <f t="shared" si="0"/>
        <v>0.16319444444444442</v>
      </c>
      <c r="K46" s="12">
        <f t="shared" si="1"/>
        <v>3.9166666666666661</v>
      </c>
      <c r="L46" s="12">
        <f t="shared" si="2"/>
        <v>3.9166666666666661</v>
      </c>
      <c r="M46" t="s">
        <v>25</v>
      </c>
      <c r="N46" t="s">
        <v>413</v>
      </c>
      <c r="O46" s="18" t="s">
        <v>92</v>
      </c>
      <c r="P46">
        <v>0</v>
      </c>
      <c r="Q46" s="18">
        <v>1</v>
      </c>
      <c r="R46">
        <v>2</v>
      </c>
      <c r="S46" s="18">
        <v>2</v>
      </c>
      <c r="T46">
        <v>0</v>
      </c>
      <c r="U46" s="18">
        <v>0</v>
      </c>
      <c r="Y46" s="18"/>
    </row>
    <row r="47" spans="1:28" x14ac:dyDescent="0.3">
      <c r="A47" s="7">
        <v>44806</v>
      </c>
      <c r="B47">
        <v>1</v>
      </c>
      <c r="C47" t="s">
        <v>26</v>
      </c>
      <c r="D47">
        <v>1</v>
      </c>
      <c r="E47">
        <v>1</v>
      </c>
      <c r="F47" t="s">
        <v>35</v>
      </c>
      <c r="G47">
        <v>3</v>
      </c>
      <c r="H47" s="8">
        <v>0.29166666666666669</v>
      </c>
      <c r="I47" s="8">
        <v>0.45833333333333331</v>
      </c>
      <c r="J47" s="8">
        <f t="shared" si="0"/>
        <v>0.16666666666666663</v>
      </c>
      <c r="K47" s="12">
        <f t="shared" si="1"/>
        <v>3.9999999999999991</v>
      </c>
      <c r="L47" s="12">
        <f t="shared" si="2"/>
        <v>11.999999999999996</v>
      </c>
      <c r="M47" t="s">
        <v>25</v>
      </c>
      <c r="N47" t="s">
        <v>423</v>
      </c>
      <c r="O47" s="18" t="s">
        <v>92</v>
      </c>
      <c r="P47">
        <v>1</v>
      </c>
      <c r="Q47" s="18">
        <v>0</v>
      </c>
      <c r="R47">
        <v>1</v>
      </c>
      <c r="S47" s="18">
        <v>0</v>
      </c>
      <c r="T47">
        <v>0</v>
      </c>
      <c r="U47" s="18">
        <v>0</v>
      </c>
      <c r="Y47" s="18"/>
      <c r="AB47" t="s">
        <v>424</v>
      </c>
    </row>
    <row r="48" spans="1:28" x14ac:dyDescent="0.3">
      <c r="A48" s="7">
        <v>44806</v>
      </c>
      <c r="B48">
        <v>1</v>
      </c>
      <c r="C48" t="s">
        <v>26</v>
      </c>
      <c r="D48">
        <v>1</v>
      </c>
      <c r="E48">
        <v>1</v>
      </c>
      <c r="F48" t="s">
        <v>35</v>
      </c>
      <c r="G48">
        <v>1</v>
      </c>
      <c r="H48" s="8">
        <v>0.26041666666666669</v>
      </c>
      <c r="I48" s="8">
        <v>0.45833333333333331</v>
      </c>
      <c r="J48" s="8">
        <f t="shared" si="0"/>
        <v>0.19791666666666663</v>
      </c>
      <c r="K48" s="12">
        <f t="shared" si="1"/>
        <v>4.7499999999999991</v>
      </c>
      <c r="L48" s="12">
        <f t="shared" si="2"/>
        <v>4.7499999999999991</v>
      </c>
      <c r="M48" t="s">
        <v>25</v>
      </c>
      <c r="N48" t="s">
        <v>425</v>
      </c>
      <c r="O48" s="18" t="s">
        <v>92</v>
      </c>
      <c r="P48">
        <v>0</v>
      </c>
      <c r="Q48" s="18">
        <v>0</v>
      </c>
      <c r="R48">
        <v>3</v>
      </c>
      <c r="S48" s="18">
        <v>0</v>
      </c>
      <c r="T48">
        <v>0</v>
      </c>
      <c r="U48" s="18">
        <v>0</v>
      </c>
      <c r="Y48" s="18"/>
    </row>
    <row r="49" spans="1:28" x14ac:dyDescent="0.3">
      <c r="A49" s="7">
        <v>44806</v>
      </c>
      <c r="B49">
        <v>1</v>
      </c>
      <c r="C49" t="s">
        <v>26</v>
      </c>
      <c r="D49">
        <v>1</v>
      </c>
      <c r="E49">
        <v>1</v>
      </c>
      <c r="F49" t="s">
        <v>35</v>
      </c>
      <c r="G49">
        <v>2</v>
      </c>
      <c r="H49" s="8">
        <v>0.25</v>
      </c>
      <c r="I49" s="8">
        <v>0.47916666666666669</v>
      </c>
      <c r="J49" s="8">
        <f t="shared" si="0"/>
        <v>0.22916666666666669</v>
      </c>
      <c r="K49" s="12">
        <f t="shared" si="1"/>
        <v>5.5</v>
      </c>
      <c r="L49" s="12">
        <f t="shared" si="2"/>
        <v>11</v>
      </c>
      <c r="M49" t="s">
        <v>25</v>
      </c>
      <c r="N49" t="s">
        <v>412</v>
      </c>
      <c r="O49" s="18" t="s">
        <v>92</v>
      </c>
      <c r="P49">
        <v>0</v>
      </c>
      <c r="Q49" s="18">
        <v>0</v>
      </c>
      <c r="R49">
        <v>1</v>
      </c>
      <c r="S49" s="18">
        <v>0</v>
      </c>
      <c r="T49">
        <v>0</v>
      </c>
      <c r="U49" s="18">
        <v>0</v>
      </c>
      <c r="Y49" s="18"/>
    </row>
    <row r="50" spans="1:28" x14ac:dyDescent="0.3">
      <c r="A50" s="7">
        <v>44806</v>
      </c>
      <c r="B50">
        <v>1</v>
      </c>
      <c r="C50" t="s">
        <v>26</v>
      </c>
      <c r="D50">
        <v>1</v>
      </c>
      <c r="E50">
        <v>1</v>
      </c>
      <c r="F50" t="s">
        <v>35</v>
      </c>
      <c r="G50">
        <v>1</v>
      </c>
      <c r="H50" s="8">
        <v>0.25</v>
      </c>
      <c r="I50" s="8">
        <v>0.47916666666666669</v>
      </c>
      <c r="J50" s="8">
        <f t="shared" si="0"/>
        <v>0.22916666666666669</v>
      </c>
      <c r="K50" s="12">
        <f t="shared" si="1"/>
        <v>5.5</v>
      </c>
      <c r="L50" s="12">
        <f t="shared" si="2"/>
        <v>5.5</v>
      </c>
      <c r="M50" t="s">
        <v>25</v>
      </c>
      <c r="N50" t="s">
        <v>412</v>
      </c>
      <c r="O50" s="18" t="s">
        <v>92</v>
      </c>
      <c r="P50">
        <v>0</v>
      </c>
      <c r="Q50" s="18">
        <v>0</v>
      </c>
      <c r="R50">
        <v>1</v>
      </c>
      <c r="S50" s="18">
        <v>0</v>
      </c>
      <c r="T50">
        <v>0</v>
      </c>
      <c r="U50" s="18">
        <v>0</v>
      </c>
      <c r="Y50" s="18"/>
    </row>
    <row r="51" spans="1:28" x14ac:dyDescent="0.3">
      <c r="A51" s="7">
        <v>44806</v>
      </c>
      <c r="B51">
        <v>1</v>
      </c>
      <c r="C51" t="s">
        <v>26</v>
      </c>
      <c r="D51">
        <v>1</v>
      </c>
      <c r="E51">
        <v>1</v>
      </c>
      <c r="F51" t="s">
        <v>35</v>
      </c>
      <c r="G51">
        <v>2</v>
      </c>
      <c r="H51" s="8">
        <v>0.25</v>
      </c>
      <c r="I51" s="8">
        <v>0.47916666666666669</v>
      </c>
      <c r="J51" s="8">
        <f t="shared" si="0"/>
        <v>0.22916666666666669</v>
      </c>
      <c r="K51" s="12">
        <f t="shared" si="1"/>
        <v>5.5</v>
      </c>
      <c r="L51" s="12">
        <f t="shared" si="2"/>
        <v>11</v>
      </c>
      <c r="M51" t="s">
        <v>25</v>
      </c>
      <c r="N51" t="s">
        <v>412</v>
      </c>
      <c r="O51" s="18" t="s">
        <v>92</v>
      </c>
      <c r="P51">
        <v>0</v>
      </c>
      <c r="Q51" s="18">
        <v>0</v>
      </c>
      <c r="R51">
        <v>0</v>
      </c>
      <c r="S51" s="18">
        <v>0</v>
      </c>
      <c r="T51">
        <v>0</v>
      </c>
      <c r="U51" s="18">
        <v>0</v>
      </c>
      <c r="Y51" s="18"/>
    </row>
    <row r="52" spans="1:28" s="26" customFormat="1" x14ac:dyDescent="0.3">
      <c r="A52" s="25">
        <v>44806</v>
      </c>
      <c r="B52" s="26">
        <v>1</v>
      </c>
      <c r="C52" s="26" t="s">
        <v>26</v>
      </c>
      <c r="D52" s="26">
        <v>1</v>
      </c>
      <c r="E52" s="26">
        <v>1</v>
      </c>
      <c r="F52" s="26" t="s">
        <v>35</v>
      </c>
      <c r="G52" s="26">
        <v>2</v>
      </c>
      <c r="H52" s="27">
        <v>0.25</v>
      </c>
      <c r="I52" s="27">
        <v>0.49305555555555558</v>
      </c>
      <c r="J52" s="8">
        <f t="shared" si="0"/>
        <v>0.24305555555555558</v>
      </c>
      <c r="K52" s="12">
        <f t="shared" si="1"/>
        <v>5.8333333333333339</v>
      </c>
      <c r="L52" s="12">
        <f t="shared" si="2"/>
        <v>11.666666666666668</v>
      </c>
      <c r="M52" s="26" t="s">
        <v>25</v>
      </c>
      <c r="N52" s="26" t="s">
        <v>426</v>
      </c>
      <c r="O52" s="28" t="s">
        <v>92</v>
      </c>
      <c r="P52" s="26">
        <v>0</v>
      </c>
      <c r="Q52" s="28">
        <v>0</v>
      </c>
      <c r="R52" s="26">
        <v>0</v>
      </c>
      <c r="S52" s="28">
        <v>0</v>
      </c>
      <c r="T52" s="26">
        <v>0</v>
      </c>
      <c r="U52" s="28">
        <v>0</v>
      </c>
      <c r="Y52" s="28"/>
    </row>
    <row r="53" spans="1:28" x14ac:dyDescent="0.3">
      <c r="A53" s="7">
        <v>44806</v>
      </c>
      <c r="B53">
        <v>1</v>
      </c>
      <c r="C53" t="s">
        <v>42</v>
      </c>
      <c r="D53">
        <v>1</v>
      </c>
      <c r="E53">
        <v>3</v>
      </c>
      <c r="F53" t="s">
        <v>27</v>
      </c>
      <c r="G53">
        <v>1</v>
      </c>
      <c r="H53" s="8">
        <v>0.66666666666666663</v>
      </c>
      <c r="I53" s="8">
        <v>0.70486111111111116</v>
      </c>
      <c r="J53" s="8">
        <f t="shared" si="0"/>
        <v>3.8194444444444531E-2</v>
      </c>
      <c r="K53" s="12">
        <f t="shared" si="1"/>
        <v>0.91666666666666874</v>
      </c>
      <c r="L53" s="12">
        <f t="shared" si="2"/>
        <v>0.91666666666666874</v>
      </c>
      <c r="M53" t="s">
        <v>28</v>
      </c>
      <c r="N53" t="s">
        <v>415</v>
      </c>
      <c r="O53" s="18" t="s">
        <v>405</v>
      </c>
      <c r="P53">
        <v>0</v>
      </c>
      <c r="Q53" s="18">
        <v>0</v>
      </c>
      <c r="R53">
        <v>0</v>
      </c>
      <c r="S53" s="18">
        <v>0</v>
      </c>
      <c r="T53">
        <v>0</v>
      </c>
      <c r="U53" s="18">
        <v>0</v>
      </c>
      <c r="Y53" s="18"/>
    </row>
    <row r="54" spans="1:28" x14ac:dyDescent="0.3">
      <c r="A54" s="7">
        <v>44806</v>
      </c>
      <c r="B54">
        <v>1</v>
      </c>
      <c r="C54" t="s">
        <v>42</v>
      </c>
      <c r="D54">
        <v>2</v>
      </c>
      <c r="E54">
        <v>3</v>
      </c>
      <c r="F54" t="s">
        <v>27</v>
      </c>
      <c r="G54">
        <v>1</v>
      </c>
      <c r="H54" s="8">
        <v>0.625</v>
      </c>
      <c r="I54" s="8">
        <v>0.71180555555555547</v>
      </c>
      <c r="J54" s="8">
        <f t="shared" si="0"/>
        <v>8.6805555555555469E-2</v>
      </c>
      <c r="K54" s="12">
        <f t="shared" si="1"/>
        <v>2.0833333333333313</v>
      </c>
      <c r="L54" s="12">
        <f t="shared" si="2"/>
        <v>2.0833333333333313</v>
      </c>
      <c r="M54" t="s">
        <v>25</v>
      </c>
      <c r="N54" t="s">
        <v>411</v>
      </c>
      <c r="O54" s="18" t="s">
        <v>410</v>
      </c>
      <c r="P54">
        <v>0</v>
      </c>
      <c r="Q54" s="18">
        <v>1</v>
      </c>
      <c r="R54">
        <v>0</v>
      </c>
      <c r="S54" s="18">
        <v>0</v>
      </c>
      <c r="T54">
        <v>0</v>
      </c>
      <c r="U54" s="18">
        <v>0</v>
      </c>
      <c r="W54">
        <v>1</v>
      </c>
      <c r="Y54" s="18"/>
      <c r="AB54" t="s">
        <v>427</v>
      </c>
    </row>
    <row r="55" spans="1:28" s="26" customFormat="1" x14ac:dyDescent="0.3">
      <c r="A55" s="25">
        <v>44806</v>
      </c>
      <c r="B55" s="26">
        <v>1</v>
      </c>
      <c r="C55" s="26" t="s">
        <v>42</v>
      </c>
      <c r="D55" s="26">
        <v>2</v>
      </c>
      <c r="E55" s="26">
        <v>4</v>
      </c>
      <c r="F55" s="26" t="s">
        <v>27</v>
      </c>
      <c r="G55" s="26">
        <v>2</v>
      </c>
      <c r="H55" s="27">
        <v>0.625</v>
      </c>
      <c r="I55" s="27">
        <v>0.78472222222222221</v>
      </c>
      <c r="J55" s="8">
        <f t="shared" si="0"/>
        <v>0.15972222222222221</v>
      </c>
      <c r="K55" s="12">
        <f t="shared" si="1"/>
        <v>3.833333333333333</v>
      </c>
      <c r="L55" s="12">
        <f t="shared" si="2"/>
        <v>7.6666666666666661</v>
      </c>
      <c r="M55" s="26" t="s">
        <v>25</v>
      </c>
      <c r="N55" s="26" t="s">
        <v>411</v>
      </c>
      <c r="O55" s="28" t="s">
        <v>410</v>
      </c>
      <c r="P55" s="26">
        <v>0</v>
      </c>
      <c r="Q55" s="28">
        <v>0</v>
      </c>
      <c r="R55" s="26">
        <v>0</v>
      </c>
      <c r="S55" s="28">
        <v>0</v>
      </c>
      <c r="T55" s="26">
        <v>0</v>
      </c>
      <c r="U55" s="28">
        <v>0</v>
      </c>
      <c r="Y55" s="28"/>
    </row>
    <row r="56" spans="1:28" x14ac:dyDescent="0.3">
      <c r="A56" s="7">
        <v>44807</v>
      </c>
      <c r="B56">
        <v>1</v>
      </c>
      <c r="C56" t="s">
        <v>26</v>
      </c>
      <c r="D56">
        <v>2</v>
      </c>
      <c r="E56">
        <v>5</v>
      </c>
      <c r="F56" t="s">
        <v>27</v>
      </c>
      <c r="G56">
        <v>1</v>
      </c>
      <c r="H56" s="8">
        <v>0.27083333333333331</v>
      </c>
      <c r="I56" s="8">
        <v>0.33333333333333331</v>
      </c>
      <c r="J56" s="8">
        <f t="shared" si="0"/>
        <v>6.25E-2</v>
      </c>
      <c r="K56" s="12">
        <f t="shared" si="1"/>
        <v>1.5</v>
      </c>
      <c r="L56" s="12">
        <f t="shared" si="2"/>
        <v>1.5</v>
      </c>
      <c r="M56" t="s">
        <v>28</v>
      </c>
      <c r="N56" t="s">
        <v>411</v>
      </c>
      <c r="O56" s="18" t="s">
        <v>410</v>
      </c>
      <c r="P56">
        <v>0</v>
      </c>
      <c r="Q56" s="18">
        <v>1</v>
      </c>
      <c r="R56">
        <v>0</v>
      </c>
      <c r="S56" s="18">
        <v>0</v>
      </c>
      <c r="T56">
        <v>0</v>
      </c>
      <c r="U56" s="18">
        <v>0</v>
      </c>
      <c r="W56">
        <v>1</v>
      </c>
      <c r="Y56" s="18"/>
      <c r="AB56" t="s">
        <v>428</v>
      </c>
    </row>
    <row r="57" spans="1:28" x14ac:dyDescent="0.3">
      <c r="A57" s="7">
        <v>44807</v>
      </c>
      <c r="B57">
        <v>1</v>
      </c>
      <c r="C57" t="s">
        <v>26</v>
      </c>
      <c r="D57">
        <v>2</v>
      </c>
      <c r="E57">
        <v>4</v>
      </c>
      <c r="F57" t="s">
        <v>27</v>
      </c>
      <c r="G57">
        <v>3</v>
      </c>
      <c r="H57" s="8">
        <v>0.27083333333333331</v>
      </c>
      <c r="I57" s="8">
        <v>0.34513888888888888</v>
      </c>
      <c r="J57" s="8">
        <f t="shared" si="0"/>
        <v>7.4305555555555569E-2</v>
      </c>
      <c r="K57" s="12">
        <f t="shared" si="1"/>
        <v>1.7833333333333337</v>
      </c>
      <c r="L57" s="12">
        <f t="shared" si="2"/>
        <v>5.3500000000000014</v>
      </c>
      <c r="M57" t="s">
        <v>28</v>
      </c>
      <c r="N57" t="s">
        <v>411</v>
      </c>
      <c r="O57" s="18" t="s">
        <v>405</v>
      </c>
      <c r="P57">
        <v>3</v>
      </c>
      <c r="Q57" s="18">
        <v>0</v>
      </c>
      <c r="R57">
        <v>0</v>
      </c>
      <c r="S57" s="18">
        <v>0</v>
      </c>
      <c r="T57">
        <v>0</v>
      </c>
      <c r="U57" s="18">
        <v>0</v>
      </c>
      <c r="Y57" s="18"/>
    </row>
    <row r="58" spans="1:28" x14ac:dyDescent="0.3">
      <c r="A58" s="7">
        <v>44807</v>
      </c>
      <c r="B58">
        <v>1</v>
      </c>
      <c r="C58" t="s">
        <v>26</v>
      </c>
      <c r="D58">
        <v>2</v>
      </c>
      <c r="E58">
        <v>4</v>
      </c>
      <c r="F58" t="s">
        <v>27</v>
      </c>
      <c r="G58">
        <v>2</v>
      </c>
      <c r="H58" s="8">
        <v>0.26041666666666669</v>
      </c>
      <c r="I58" s="8">
        <v>0.34722222222222227</v>
      </c>
      <c r="J58" s="8">
        <f t="shared" si="0"/>
        <v>8.680555555555558E-2</v>
      </c>
      <c r="K58" s="12">
        <f t="shared" si="1"/>
        <v>2.0833333333333339</v>
      </c>
      <c r="L58" s="12">
        <f t="shared" si="2"/>
        <v>4.1666666666666679</v>
      </c>
      <c r="M58" t="s">
        <v>28</v>
      </c>
      <c r="N58" t="s">
        <v>411</v>
      </c>
      <c r="O58" s="18" t="s">
        <v>405</v>
      </c>
      <c r="P58">
        <v>1</v>
      </c>
      <c r="Q58" s="18">
        <v>0</v>
      </c>
      <c r="R58">
        <v>0</v>
      </c>
      <c r="S58" s="18">
        <v>0</v>
      </c>
      <c r="T58">
        <v>0</v>
      </c>
      <c r="U58" s="18">
        <v>0</v>
      </c>
      <c r="Y58" s="18"/>
    </row>
    <row r="59" spans="1:28" x14ac:dyDescent="0.3">
      <c r="A59" s="7">
        <v>44807</v>
      </c>
      <c r="B59">
        <v>1</v>
      </c>
      <c r="C59" t="s">
        <v>26</v>
      </c>
      <c r="D59">
        <v>2</v>
      </c>
      <c r="E59">
        <v>4</v>
      </c>
      <c r="F59" t="s">
        <v>27</v>
      </c>
      <c r="G59">
        <v>2</v>
      </c>
      <c r="H59" s="8">
        <v>0.29166666666666669</v>
      </c>
      <c r="I59" s="8">
        <v>0.35069444444444442</v>
      </c>
      <c r="J59" s="8">
        <f t="shared" si="0"/>
        <v>5.9027777777777735E-2</v>
      </c>
      <c r="K59" s="12">
        <f t="shared" si="1"/>
        <v>1.4166666666666656</v>
      </c>
      <c r="L59" s="12">
        <f t="shared" si="2"/>
        <v>2.8333333333333313</v>
      </c>
      <c r="M59" t="s">
        <v>28</v>
      </c>
      <c r="N59" t="s">
        <v>404</v>
      </c>
      <c r="O59" s="18" t="s">
        <v>405</v>
      </c>
      <c r="P59">
        <v>0</v>
      </c>
      <c r="Q59" s="18">
        <v>0</v>
      </c>
      <c r="R59">
        <v>0</v>
      </c>
      <c r="S59" s="18">
        <v>0</v>
      </c>
      <c r="T59">
        <v>0</v>
      </c>
      <c r="U59" s="18">
        <v>0</v>
      </c>
      <c r="Y59" s="18"/>
    </row>
    <row r="60" spans="1:28" x14ac:dyDescent="0.3">
      <c r="A60" s="7">
        <v>44807</v>
      </c>
      <c r="B60">
        <v>1</v>
      </c>
      <c r="C60" t="s">
        <v>26</v>
      </c>
      <c r="D60">
        <v>2</v>
      </c>
      <c r="E60">
        <v>4</v>
      </c>
      <c r="F60" t="s">
        <v>27</v>
      </c>
      <c r="G60">
        <v>3</v>
      </c>
      <c r="H60" s="8">
        <v>0.26041666666666669</v>
      </c>
      <c r="I60" s="8">
        <v>0.37152777777777773</v>
      </c>
      <c r="J60" s="8">
        <f t="shared" si="0"/>
        <v>0.11111111111111105</v>
      </c>
      <c r="K60" s="12">
        <f t="shared" si="1"/>
        <v>2.6666666666666652</v>
      </c>
      <c r="L60" s="12">
        <f t="shared" si="2"/>
        <v>7.9999999999999956</v>
      </c>
      <c r="M60" t="s">
        <v>28</v>
      </c>
      <c r="N60" t="s">
        <v>411</v>
      </c>
      <c r="O60" s="18" t="s">
        <v>405</v>
      </c>
      <c r="P60">
        <v>1</v>
      </c>
      <c r="Q60" s="18">
        <v>0</v>
      </c>
      <c r="R60">
        <v>0</v>
      </c>
      <c r="S60" s="18">
        <v>1</v>
      </c>
      <c r="T60">
        <v>0</v>
      </c>
      <c r="U60" s="18">
        <v>0</v>
      </c>
      <c r="V60">
        <v>1</v>
      </c>
      <c r="Y60" s="18">
        <v>1</v>
      </c>
      <c r="AB60" t="s">
        <v>429</v>
      </c>
    </row>
    <row r="61" spans="1:28" x14ac:dyDescent="0.3">
      <c r="A61" s="7">
        <v>44807</v>
      </c>
      <c r="B61">
        <v>1</v>
      </c>
      <c r="C61" t="s">
        <v>26</v>
      </c>
      <c r="D61">
        <v>2</v>
      </c>
      <c r="E61">
        <v>4</v>
      </c>
      <c r="F61" t="s">
        <v>27</v>
      </c>
      <c r="G61">
        <v>1</v>
      </c>
      <c r="H61" s="8">
        <v>0.375</v>
      </c>
      <c r="I61" s="8">
        <v>0.3756944444444445</v>
      </c>
      <c r="J61" s="8">
        <f t="shared" si="0"/>
        <v>6.9444444444449749E-4</v>
      </c>
      <c r="K61" s="12">
        <f t="shared" si="1"/>
        <v>1.666666666666794E-2</v>
      </c>
      <c r="L61" s="12">
        <f t="shared" si="2"/>
        <v>1.666666666666794E-2</v>
      </c>
      <c r="M61" t="s">
        <v>28</v>
      </c>
      <c r="N61" t="s">
        <v>415</v>
      </c>
      <c r="O61" s="18" t="s">
        <v>405</v>
      </c>
      <c r="P61">
        <v>0</v>
      </c>
      <c r="Q61" s="18">
        <v>0</v>
      </c>
      <c r="R61">
        <v>0</v>
      </c>
      <c r="S61" s="18">
        <v>0</v>
      </c>
      <c r="T61">
        <v>0</v>
      </c>
      <c r="U61" s="18">
        <v>0</v>
      </c>
    </row>
    <row r="62" spans="1:28" x14ac:dyDescent="0.3">
      <c r="A62" s="7">
        <v>44807</v>
      </c>
      <c r="B62">
        <v>1</v>
      </c>
      <c r="C62" t="s">
        <v>26</v>
      </c>
      <c r="D62">
        <v>2</v>
      </c>
      <c r="E62">
        <v>4</v>
      </c>
      <c r="F62" t="s">
        <v>27</v>
      </c>
      <c r="G62">
        <v>1</v>
      </c>
      <c r="H62" s="8">
        <v>0.33333333333333331</v>
      </c>
      <c r="I62" s="8">
        <v>0.3923611111111111</v>
      </c>
      <c r="J62" s="8">
        <f t="shared" si="0"/>
        <v>5.902777777777779E-2</v>
      </c>
      <c r="K62" s="12">
        <f t="shared" si="1"/>
        <v>1.416666666666667</v>
      </c>
      <c r="L62" s="12">
        <f t="shared" si="2"/>
        <v>1.416666666666667</v>
      </c>
      <c r="M62" t="s">
        <v>28</v>
      </c>
      <c r="N62" t="s">
        <v>411</v>
      </c>
      <c r="O62" s="18" t="s">
        <v>405</v>
      </c>
      <c r="P62">
        <v>0</v>
      </c>
      <c r="Q62" s="18">
        <v>0</v>
      </c>
      <c r="R62">
        <v>0</v>
      </c>
      <c r="S62" s="18">
        <v>0</v>
      </c>
      <c r="T62">
        <v>0</v>
      </c>
      <c r="U62" s="18">
        <v>0</v>
      </c>
    </row>
    <row r="63" spans="1:28" x14ac:dyDescent="0.3">
      <c r="A63" s="7">
        <v>44807</v>
      </c>
      <c r="B63">
        <v>1</v>
      </c>
      <c r="C63" t="s">
        <v>26</v>
      </c>
      <c r="D63">
        <v>2</v>
      </c>
      <c r="E63">
        <v>3</v>
      </c>
      <c r="F63" t="s">
        <v>27</v>
      </c>
      <c r="G63">
        <v>2</v>
      </c>
      <c r="H63" s="8">
        <v>0.3923611111111111</v>
      </c>
      <c r="I63" s="8">
        <v>0.39930555555555558</v>
      </c>
      <c r="J63" s="8">
        <f t="shared" si="0"/>
        <v>6.9444444444444753E-3</v>
      </c>
      <c r="K63" s="12">
        <f t="shared" si="1"/>
        <v>0.16666666666666741</v>
      </c>
      <c r="L63" s="12">
        <f t="shared" si="2"/>
        <v>0.33333333333333481</v>
      </c>
      <c r="M63" t="s">
        <v>28</v>
      </c>
      <c r="N63" t="s">
        <v>411</v>
      </c>
      <c r="O63" s="18" t="s">
        <v>422</v>
      </c>
      <c r="P63">
        <v>0</v>
      </c>
      <c r="Q63" s="18">
        <v>0</v>
      </c>
      <c r="R63">
        <v>0</v>
      </c>
      <c r="S63" s="18">
        <v>0</v>
      </c>
      <c r="T63">
        <v>0</v>
      </c>
      <c r="U63" s="18">
        <v>0</v>
      </c>
    </row>
    <row r="64" spans="1:28" x14ac:dyDescent="0.3">
      <c r="A64" s="7">
        <v>44807</v>
      </c>
      <c r="B64">
        <v>1</v>
      </c>
      <c r="C64" t="s">
        <v>26</v>
      </c>
      <c r="D64">
        <v>2</v>
      </c>
      <c r="E64">
        <v>2</v>
      </c>
      <c r="F64" t="s">
        <v>27</v>
      </c>
      <c r="G64">
        <v>1</v>
      </c>
      <c r="H64" s="8">
        <v>0.35416666666666669</v>
      </c>
      <c r="I64" s="8">
        <v>0.40972222222222227</v>
      </c>
      <c r="J64" s="8">
        <f t="shared" si="0"/>
        <v>5.555555555555558E-2</v>
      </c>
      <c r="K64" s="12">
        <f t="shared" si="1"/>
        <v>1.3333333333333339</v>
      </c>
      <c r="L64" s="12">
        <f t="shared" si="2"/>
        <v>1.3333333333333339</v>
      </c>
      <c r="M64" t="s">
        <v>25</v>
      </c>
      <c r="N64" t="s">
        <v>430</v>
      </c>
      <c r="O64" s="18" t="s">
        <v>422</v>
      </c>
      <c r="P64">
        <v>0</v>
      </c>
      <c r="Q64" s="18">
        <v>0</v>
      </c>
      <c r="R64">
        <v>0</v>
      </c>
      <c r="S64" s="18">
        <v>0</v>
      </c>
      <c r="T64">
        <v>0</v>
      </c>
      <c r="U64" s="18">
        <v>0</v>
      </c>
    </row>
    <row r="65" spans="1:28" x14ac:dyDescent="0.3">
      <c r="A65" s="7">
        <v>44807</v>
      </c>
      <c r="B65">
        <v>1</v>
      </c>
      <c r="C65" t="s">
        <v>26</v>
      </c>
      <c r="D65">
        <v>2</v>
      </c>
      <c r="E65">
        <v>1</v>
      </c>
      <c r="F65" t="s">
        <v>27</v>
      </c>
      <c r="G65">
        <v>2</v>
      </c>
      <c r="H65" s="8">
        <v>0.25</v>
      </c>
      <c r="I65" s="8">
        <v>0.41666666666666669</v>
      </c>
      <c r="J65" s="8">
        <f t="shared" si="0"/>
        <v>0.16666666666666669</v>
      </c>
      <c r="K65" s="12">
        <f t="shared" si="1"/>
        <v>4</v>
      </c>
      <c r="L65" s="12">
        <f t="shared" si="2"/>
        <v>8</v>
      </c>
      <c r="M65" t="s">
        <v>25</v>
      </c>
      <c r="N65" t="s">
        <v>411</v>
      </c>
      <c r="O65" s="18" t="s">
        <v>405</v>
      </c>
      <c r="P65">
        <v>0</v>
      </c>
      <c r="Q65" s="18">
        <v>0</v>
      </c>
      <c r="R65">
        <v>0</v>
      </c>
      <c r="S65" s="18">
        <v>0</v>
      </c>
      <c r="T65">
        <v>0</v>
      </c>
      <c r="U65" s="18">
        <v>0</v>
      </c>
    </row>
    <row r="66" spans="1:28" x14ac:dyDescent="0.3">
      <c r="A66" s="7">
        <v>44807</v>
      </c>
      <c r="B66">
        <v>1</v>
      </c>
      <c r="C66" t="s">
        <v>26</v>
      </c>
      <c r="D66">
        <v>2</v>
      </c>
      <c r="E66">
        <v>1</v>
      </c>
      <c r="F66" t="s">
        <v>35</v>
      </c>
      <c r="G66">
        <v>3</v>
      </c>
      <c r="H66" s="8">
        <v>0.28125</v>
      </c>
      <c r="I66" s="8">
        <v>0.4236111111111111</v>
      </c>
      <c r="J66" s="8">
        <f t="shared" si="0"/>
        <v>0.1423611111111111</v>
      </c>
      <c r="K66" s="12">
        <f t="shared" si="1"/>
        <v>3.4166666666666665</v>
      </c>
      <c r="L66" s="12">
        <f t="shared" si="2"/>
        <v>10.25</v>
      </c>
      <c r="M66" t="s">
        <v>28</v>
      </c>
      <c r="N66" t="s">
        <v>408</v>
      </c>
      <c r="O66" s="18" t="s">
        <v>405</v>
      </c>
      <c r="P66">
        <v>0</v>
      </c>
      <c r="Q66" s="18">
        <v>0</v>
      </c>
      <c r="R66">
        <v>1</v>
      </c>
      <c r="S66" s="18">
        <v>0</v>
      </c>
      <c r="T66">
        <v>0</v>
      </c>
      <c r="U66" s="18">
        <v>0</v>
      </c>
    </row>
    <row r="67" spans="1:28" x14ac:dyDescent="0.3">
      <c r="A67" s="7">
        <v>44807</v>
      </c>
      <c r="B67">
        <v>1</v>
      </c>
      <c r="C67" t="s">
        <v>26</v>
      </c>
      <c r="D67">
        <v>2</v>
      </c>
      <c r="E67">
        <v>2</v>
      </c>
      <c r="F67" t="s">
        <v>27</v>
      </c>
      <c r="G67">
        <v>1</v>
      </c>
      <c r="H67" s="8">
        <v>0.28125</v>
      </c>
      <c r="I67" s="8">
        <v>0.44444444444444442</v>
      </c>
      <c r="J67" s="8">
        <f t="shared" ref="J67:J130" si="3">I67-H67</f>
        <v>0.16319444444444442</v>
      </c>
      <c r="K67" s="12">
        <f t="shared" ref="K67:K130" si="4">(J67-INT(J67))*24</f>
        <v>3.9166666666666661</v>
      </c>
      <c r="L67" s="12">
        <f t="shared" si="2"/>
        <v>3.9166666666666661</v>
      </c>
      <c r="M67" t="s">
        <v>28</v>
      </c>
      <c r="N67" t="s">
        <v>415</v>
      </c>
      <c r="O67" s="18" t="s">
        <v>405</v>
      </c>
      <c r="P67">
        <v>0</v>
      </c>
      <c r="Q67" s="18">
        <v>0</v>
      </c>
      <c r="R67">
        <v>0</v>
      </c>
      <c r="S67" s="18">
        <v>0</v>
      </c>
      <c r="T67">
        <v>0</v>
      </c>
      <c r="U67" s="18">
        <v>0</v>
      </c>
    </row>
    <row r="68" spans="1:28" x14ac:dyDescent="0.3">
      <c r="A68" s="7">
        <v>44807</v>
      </c>
      <c r="B68">
        <v>1</v>
      </c>
      <c r="C68" t="s">
        <v>26</v>
      </c>
      <c r="D68">
        <v>2</v>
      </c>
      <c r="E68">
        <v>2</v>
      </c>
      <c r="F68" t="s">
        <v>27</v>
      </c>
      <c r="G68">
        <v>1</v>
      </c>
      <c r="H68" s="8">
        <v>0.43402777777777773</v>
      </c>
      <c r="I68" s="8">
        <v>0.4513888888888889</v>
      </c>
      <c r="J68" s="8">
        <f t="shared" si="3"/>
        <v>1.736111111111116E-2</v>
      </c>
      <c r="K68" s="12">
        <f t="shared" si="4"/>
        <v>0.41666666666666785</v>
      </c>
      <c r="L68" s="12">
        <f t="shared" ref="L68:L131" si="5">G68*K68</f>
        <v>0.41666666666666785</v>
      </c>
      <c r="M68" t="s">
        <v>28</v>
      </c>
      <c r="N68" t="s">
        <v>415</v>
      </c>
      <c r="O68" s="18" t="s">
        <v>407</v>
      </c>
      <c r="P68">
        <v>0</v>
      </c>
      <c r="Q68" s="18">
        <v>0</v>
      </c>
      <c r="R68">
        <v>0</v>
      </c>
      <c r="S68" s="18">
        <v>0</v>
      </c>
      <c r="T68">
        <v>0</v>
      </c>
      <c r="U68" s="18">
        <v>0</v>
      </c>
    </row>
    <row r="69" spans="1:28" s="26" customFormat="1" x14ac:dyDescent="0.3">
      <c r="A69" s="25">
        <v>44807</v>
      </c>
      <c r="B69" s="26">
        <v>1</v>
      </c>
      <c r="C69" s="26" t="s">
        <v>26</v>
      </c>
      <c r="D69" s="26">
        <v>2</v>
      </c>
      <c r="E69" s="26">
        <v>2</v>
      </c>
      <c r="F69" s="26" t="s">
        <v>27</v>
      </c>
      <c r="G69" s="26">
        <v>1</v>
      </c>
      <c r="H69" s="27">
        <v>0.44444444444444442</v>
      </c>
      <c r="I69" s="27">
        <v>0.4513888888888889</v>
      </c>
      <c r="J69" s="8">
        <f t="shared" si="3"/>
        <v>6.9444444444444753E-3</v>
      </c>
      <c r="K69" s="12">
        <f t="shared" si="4"/>
        <v>0.16666666666666741</v>
      </c>
      <c r="L69" s="12">
        <f t="shared" si="5"/>
        <v>0.16666666666666741</v>
      </c>
      <c r="M69" s="26" t="s">
        <v>28</v>
      </c>
      <c r="N69" s="26" t="s">
        <v>415</v>
      </c>
      <c r="O69" s="28" t="s">
        <v>407</v>
      </c>
      <c r="P69" s="26">
        <v>0</v>
      </c>
      <c r="Q69" s="28">
        <v>0</v>
      </c>
      <c r="R69" s="26">
        <v>0</v>
      </c>
      <c r="S69" s="28">
        <v>0</v>
      </c>
      <c r="T69" s="26">
        <v>0</v>
      </c>
      <c r="U69" s="28">
        <v>0</v>
      </c>
    </row>
    <row r="70" spans="1:28" x14ac:dyDescent="0.3">
      <c r="A70" s="7">
        <v>44807</v>
      </c>
      <c r="B70">
        <v>1</v>
      </c>
      <c r="C70" t="s">
        <v>42</v>
      </c>
      <c r="D70">
        <v>1</v>
      </c>
      <c r="E70">
        <v>1</v>
      </c>
      <c r="F70" t="s">
        <v>35</v>
      </c>
      <c r="G70">
        <v>3</v>
      </c>
      <c r="H70" s="8">
        <v>0.40625</v>
      </c>
      <c r="I70" s="8">
        <v>0.66319444444444442</v>
      </c>
      <c r="J70" s="8">
        <f t="shared" si="3"/>
        <v>0.25694444444444442</v>
      </c>
      <c r="K70" s="12">
        <f t="shared" si="4"/>
        <v>6.1666666666666661</v>
      </c>
      <c r="L70" s="12">
        <f t="shared" si="5"/>
        <v>18.5</v>
      </c>
      <c r="M70" t="s">
        <v>25</v>
      </c>
      <c r="N70" t="s">
        <v>412</v>
      </c>
      <c r="O70" s="18" t="s">
        <v>92</v>
      </c>
      <c r="P70">
        <v>0</v>
      </c>
      <c r="Q70" s="18">
        <v>0</v>
      </c>
      <c r="R70">
        <v>4</v>
      </c>
      <c r="S70" s="18">
        <v>0</v>
      </c>
      <c r="T70">
        <v>0</v>
      </c>
      <c r="U70" s="18">
        <v>0</v>
      </c>
      <c r="X70">
        <v>1</v>
      </c>
      <c r="AB70" t="s">
        <v>431</v>
      </c>
    </row>
    <row r="71" spans="1:28" x14ac:dyDescent="0.3">
      <c r="A71" s="7">
        <v>44807</v>
      </c>
      <c r="B71">
        <v>1</v>
      </c>
      <c r="C71" t="s">
        <v>42</v>
      </c>
      <c r="D71">
        <v>2</v>
      </c>
      <c r="E71">
        <v>5</v>
      </c>
      <c r="F71" t="s">
        <v>27</v>
      </c>
      <c r="G71">
        <v>1</v>
      </c>
      <c r="H71" s="8">
        <v>0.71875</v>
      </c>
      <c r="I71" s="8">
        <v>0.73611111111111116</v>
      </c>
      <c r="J71" s="8">
        <f t="shared" si="3"/>
        <v>1.736111111111116E-2</v>
      </c>
      <c r="K71" s="12">
        <f t="shared" si="4"/>
        <v>0.41666666666666785</v>
      </c>
      <c r="L71" s="12">
        <f t="shared" si="5"/>
        <v>0.41666666666666785</v>
      </c>
      <c r="M71" t="s">
        <v>25</v>
      </c>
      <c r="N71" t="s">
        <v>415</v>
      </c>
      <c r="O71" s="18" t="s">
        <v>410</v>
      </c>
      <c r="P71">
        <v>0</v>
      </c>
      <c r="Q71" s="18">
        <v>0</v>
      </c>
      <c r="R71">
        <v>0</v>
      </c>
      <c r="S71" s="18">
        <v>0</v>
      </c>
      <c r="T71">
        <v>0</v>
      </c>
      <c r="U71" s="18">
        <v>0</v>
      </c>
    </row>
    <row r="72" spans="1:28" s="26" customFormat="1" x14ac:dyDescent="0.3">
      <c r="A72" s="25">
        <v>44807</v>
      </c>
      <c r="B72" s="26">
        <v>1</v>
      </c>
      <c r="C72" s="26" t="s">
        <v>42</v>
      </c>
      <c r="D72" s="26">
        <v>2</v>
      </c>
      <c r="E72" s="26">
        <v>5</v>
      </c>
      <c r="F72" s="26" t="s">
        <v>27</v>
      </c>
      <c r="G72" s="26">
        <v>1</v>
      </c>
      <c r="H72" s="27">
        <v>0.73958333333333337</v>
      </c>
      <c r="I72" s="27">
        <v>0.76388888888888884</v>
      </c>
      <c r="J72" s="8">
        <f t="shared" si="3"/>
        <v>2.4305555555555469E-2</v>
      </c>
      <c r="K72" s="12">
        <f t="shared" si="4"/>
        <v>0.58333333333333126</v>
      </c>
      <c r="L72" s="12">
        <f t="shared" si="5"/>
        <v>0.58333333333333126</v>
      </c>
      <c r="M72" s="26" t="s">
        <v>25</v>
      </c>
      <c r="N72" s="26" t="s">
        <v>415</v>
      </c>
      <c r="O72" s="28" t="s">
        <v>422</v>
      </c>
      <c r="P72" s="26">
        <v>0</v>
      </c>
      <c r="Q72" s="28">
        <v>0</v>
      </c>
      <c r="R72" s="26">
        <v>0</v>
      </c>
      <c r="S72" s="28">
        <v>0</v>
      </c>
      <c r="T72" s="26">
        <v>0</v>
      </c>
      <c r="U72" s="28">
        <v>0</v>
      </c>
    </row>
    <row r="73" spans="1:28" x14ac:dyDescent="0.3">
      <c r="A73" s="7">
        <v>44811</v>
      </c>
      <c r="B73">
        <v>2</v>
      </c>
      <c r="C73" t="s">
        <v>26</v>
      </c>
      <c r="D73">
        <v>2</v>
      </c>
      <c r="E73">
        <v>5</v>
      </c>
      <c r="F73" t="s">
        <v>27</v>
      </c>
      <c r="G73">
        <v>1</v>
      </c>
      <c r="H73" s="8">
        <v>0.27777777777777779</v>
      </c>
      <c r="I73" s="8">
        <v>0.3125</v>
      </c>
      <c r="J73" s="8">
        <f t="shared" si="3"/>
        <v>3.472222222222221E-2</v>
      </c>
      <c r="K73" s="12">
        <f t="shared" si="4"/>
        <v>0.83333333333333304</v>
      </c>
      <c r="L73" s="12">
        <f t="shared" si="5"/>
        <v>0.83333333333333304</v>
      </c>
      <c r="M73" t="s">
        <v>25</v>
      </c>
      <c r="N73" t="s">
        <v>415</v>
      </c>
      <c r="O73" s="18" t="s">
        <v>405</v>
      </c>
      <c r="P73">
        <v>0</v>
      </c>
      <c r="Q73" s="18">
        <v>0</v>
      </c>
      <c r="R73">
        <v>1</v>
      </c>
      <c r="S73" s="18">
        <v>0</v>
      </c>
      <c r="T73">
        <v>0</v>
      </c>
      <c r="U73" s="18">
        <v>0</v>
      </c>
      <c r="X73">
        <v>1</v>
      </c>
      <c r="AB73" t="s">
        <v>432</v>
      </c>
    </row>
    <row r="74" spans="1:28" x14ac:dyDescent="0.3">
      <c r="A74" s="7">
        <v>44811</v>
      </c>
      <c r="B74">
        <v>2</v>
      </c>
      <c r="C74" t="s">
        <v>26</v>
      </c>
      <c r="D74">
        <v>2</v>
      </c>
      <c r="E74">
        <v>5</v>
      </c>
      <c r="F74" t="s">
        <v>27</v>
      </c>
      <c r="G74">
        <v>1</v>
      </c>
      <c r="H74" s="8">
        <v>0.22916666666666666</v>
      </c>
      <c r="I74" s="8">
        <v>0.31944444444444448</v>
      </c>
      <c r="J74" s="8">
        <f t="shared" si="3"/>
        <v>9.0277777777777818E-2</v>
      </c>
      <c r="K74" s="12">
        <f t="shared" si="4"/>
        <v>2.1666666666666679</v>
      </c>
      <c r="L74" s="12">
        <f t="shared" si="5"/>
        <v>2.1666666666666679</v>
      </c>
      <c r="M74" t="s">
        <v>28</v>
      </c>
      <c r="N74" t="s">
        <v>406</v>
      </c>
      <c r="O74" s="18" t="s">
        <v>410</v>
      </c>
      <c r="P74">
        <v>0</v>
      </c>
      <c r="Q74" s="18">
        <v>0</v>
      </c>
      <c r="R74">
        <v>0</v>
      </c>
      <c r="S74" s="18">
        <v>0</v>
      </c>
      <c r="T74">
        <v>0</v>
      </c>
      <c r="U74" s="18">
        <v>0</v>
      </c>
    </row>
    <row r="75" spans="1:28" x14ac:dyDescent="0.3">
      <c r="A75" s="7">
        <v>44811</v>
      </c>
      <c r="B75">
        <v>2</v>
      </c>
      <c r="C75" t="s">
        <v>26</v>
      </c>
      <c r="D75">
        <v>2</v>
      </c>
      <c r="E75">
        <v>5</v>
      </c>
      <c r="F75" t="s">
        <v>27</v>
      </c>
      <c r="G75">
        <v>1</v>
      </c>
      <c r="H75" s="8">
        <v>0.29166666666666669</v>
      </c>
      <c r="I75" s="8">
        <v>0.31944444444444448</v>
      </c>
      <c r="J75" s="8">
        <f t="shared" si="3"/>
        <v>2.777777777777779E-2</v>
      </c>
      <c r="K75" s="12">
        <f t="shared" si="4"/>
        <v>0.66666666666666696</v>
      </c>
      <c r="L75" s="12">
        <f t="shared" si="5"/>
        <v>0.66666666666666696</v>
      </c>
      <c r="M75" t="s">
        <v>28</v>
      </c>
      <c r="N75" t="s">
        <v>415</v>
      </c>
      <c r="O75" s="18" t="s">
        <v>405</v>
      </c>
      <c r="P75">
        <v>0</v>
      </c>
      <c r="Q75" s="18">
        <v>0</v>
      </c>
      <c r="R75">
        <v>0</v>
      </c>
      <c r="S75" s="18">
        <v>0</v>
      </c>
      <c r="T75">
        <v>0</v>
      </c>
      <c r="U75" s="18">
        <v>0</v>
      </c>
    </row>
    <row r="76" spans="1:28" x14ac:dyDescent="0.3">
      <c r="A76" s="7">
        <v>44811</v>
      </c>
      <c r="B76">
        <v>2</v>
      </c>
      <c r="C76" t="s">
        <v>26</v>
      </c>
      <c r="D76">
        <v>2</v>
      </c>
      <c r="E76">
        <v>4</v>
      </c>
      <c r="F76" t="s">
        <v>27</v>
      </c>
      <c r="G76">
        <v>1</v>
      </c>
      <c r="H76" s="8">
        <v>0.29166666666666669</v>
      </c>
      <c r="I76" s="8">
        <v>0.375</v>
      </c>
      <c r="J76" s="8">
        <f t="shared" si="3"/>
        <v>8.3333333333333315E-2</v>
      </c>
      <c r="K76" s="12">
        <f t="shared" si="4"/>
        <v>1.9999999999999996</v>
      </c>
      <c r="L76" s="12">
        <f t="shared" si="5"/>
        <v>1.9999999999999996</v>
      </c>
      <c r="M76" t="s">
        <v>28</v>
      </c>
      <c r="N76" t="s">
        <v>411</v>
      </c>
      <c r="O76" s="18" t="s">
        <v>405</v>
      </c>
      <c r="P76">
        <v>0</v>
      </c>
      <c r="Q76" s="18">
        <v>0</v>
      </c>
      <c r="R76">
        <v>0</v>
      </c>
      <c r="S76" s="18">
        <v>0</v>
      </c>
      <c r="T76">
        <v>0</v>
      </c>
      <c r="U76" s="18">
        <v>0</v>
      </c>
    </row>
    <row r="77" spans="1:28" x14ac:dyDescent="0.3">
      <c r="A77" s="7">
        <v>44811</v>
      </c>
      <c r="B77">
        <v>2</v>
      </c>
      <c r="C77" t="s">
        <v>26</v>
      </c>
      <c r="D77">
        <v>2</v>
      </c>
      <c r="E77">
        <v>4</v>
      </c>
      <c r="F77" t="s">
        <v>27</v>
      </c>
      <c r="G77">
        <v>1</v>
      </c>
      <c r="H77" s="8">
        <v>0.29166666666666669</v>
      </c>
      <c r="I77" s="8">
        <v>0.3888888888888889</v>
      </c>
      <c r="J77" s="8">
        <f t="shared" si="3"/>
        <v>9.722222222222221E-2</v>
      </c>
      <c r="K77" s="12">
        <f t="shared" si="4"/>
        <v>2.333333333333333</v>
      </c>
      <c r="L77" s="12">
        <f t="shared" si="5"/>
        <v>2.333333333333333</v>
      </c>
      <c r="M77" t="s">
        <v>25</v>
      </c>
      <c r="N77" t="s">
        <v>426</v>
      </c>
      <c r="O77" s="18" t="s">
        <v>405</v>
      </c>
      <c r="P77">
        <v>0</v>
      </c>
      <c r="Q77" s="18">
        <v>0</v>
      </c>
      <c r="R77">
        <v>0</v>
      </c>
      <c r="S77" s="18">
        <v>0</v>
      </c>
      <c r="T77">
        <v>0</v>
      </c>
      <c r="U77" s="18">
        <v>0</v>
      </c>
    </row>
    <row r="78" spans="1:28" x14ac:dyDescent="0.3">
      <c r="A78" s="7">
        <v>44811</v>
      </c>
      <c r="B78">
        <v>2</v>
      </c>
      <c r="C78" t="s">
        <v>26</v>
      </c>
      <c r="D78">
        <v>2</v>
      </c>
      <c r="E78">
        <v>4</v>
      </c>
      <c r="F78" t="s">
        <v>27</v>
      </c>
      <c r="G78">
        <v>1</v>
      </c>
      <c r="H78" s="8">
        <v>0.33333333333333331</v>
      </c>
      <c r="I78" s="8">
        <v>0.3888888888888889</v>
      </c>
      <c r="J78" s="8">
        <f t="shared" si="3"/>
        <v>5.555555555555558E-2</v>
      </c>
      <c r="K78" s="12">
        <f t="shared" si="4"/>
        <v>1.3333333333333339</v>
      </c>
      <c r="L78" s="12">
        <f t="shared" si="5"/>
        <v>1.3333333333333339</v>
      </c>
      <c r="M78" t="s">
        <v>25</v>
      </c>
      <c r="N78" t="s">
        <v>408</v>
      </c>
      <c r="O78" s="18" t="s">
        <v>407</v>
      </c>
      <c r="P78">
        <v>0</v>
      </c>
      <c r="Q78" s="18">
        <v>0</v>
      </c>
      <c r="R78">
        <v>0</v>
      </c>
      <c r="S78" s="18">
        <v>0</v>
      </c>
      <c r="T78">
        <v>0</v>
      </c>
      <c r="U78" s="18">
        <v>0</v>
      </c>
    </row>
    <row r="79" spans="1:28" x14ac:dyDescent="0.3">
      <c r="A79" s="7">
        <v>44811</v>
      </c>
      <c r="B79">
        <v>2</v>
      </c>
      <c r="C79" t="s">
        <v>26</v>
      </c>
      <c r="D79">
        <v>2</v>
      </c>
      <c r="E79">
        <v>4</v>
      </c>
      <c r="F79" t="s">
        <v>27</v>
      </c>
      <c r="G79">
        <v>2</v>
      </c>
      <c r="H79" s="8">
        <v>0.35416666666666669</v>
      </c>
      <c r="I79" s="8">
        <v>0.39583333333333331</v>
      </c>
      <c r="J79" s="8">
        <f t="shared" si="3"/>
        <v>4.166666666666663E-2</v>
      </c>
      <c r="K79" s="12">
        <f t="shared" si="4"/>
        <v>0.99999999999999911</v>
      </c>
      <c r="L79" s="12">
        <f t="shared" si="5"/>
        <v>1.9999999999999982</v>
      </c>
      <c r="M79" t="s">
        <v>28</v>
      </c>
      <c r="N79" t="s">
        <v>411</v>
      </c>
      <c r="O79" s="18" t="s">
        <v>92</v>
      </c>
      <c r="P79">
        <v>0</v>
      </c>
      <c r="Q79" s="18">
        <v>0</v>
      </c>
      <c r="R79">
        <v>0</v>
      </c>
      <c r="S79" s="18">
        <v>0</v>
      </c>
      <c r="T79">
        <v>0</v>
      </c>
      <c r="U79" s="18">
        <v>0</v>
      </c>
    </row>
    <row r="80" spans="1:28" x14ac:dyDescent="0.3">
      <c r="A80" s="7">
        <v>44811</v>
      </c>
      <c r="B80">
        <v>2</v>
      </c>
      <c r="C80" t="s">
        <v>26</v>
      </c>
      <c r="D80">
        <v>2</v>
      </c>
      <c r="E80">
        <v>4</v>
      </c>
      <c r="F80" t="s">
        <v>27</v>
      </c>
      <c r="G80">
        <v>1</v>
      </c>
      <c r="H80" s="8">
        <v>0.29166666666666669</v>
      </c>
      <c r="I80" s="8">
        <v>0.39583333333333331</v>
      </c>
      <c r="J80" s="8">
        <f t="shared" si="3"/>
        <v>0.10416666666666663</v>
      </c>
      <c r="K80" s="12">
        <f t="shared" si="4"/>
        <v>2.4999999999999991</v>
      </c>
      <c r="L80" s="12">
        <f t="shared" si="5"/>
        <v>2.4999999999999991</v>
      </c>
      <c r="M80" t="s">
        <v>28</v>
      </c>
      <c r="N80" t="s">
        <v>409</v>
      </c>
      <c r="O80" s="18" t="s">
        <v>410</v>
      </c>
      <c r="P80">
        <v>0</v>
      </c>
      <c r="Q80" s="18">
        <v>0</v>
      </c>
      <c r="R80">
        <v>0</v>
      </c>
      <c r="S80" s="18">
        <v>1</v>
      </c>
      <c r="T80">
        <v>0</v>
      </c>
      <c r="U80" s="18">
        <v>0</v>
      </c>
      <c r="Y80">
        <v>1</v>
      </c>
      <c r="AB80" t="s">
        <v>427</v>
      </c>
    </row>
    <row r="81" spans="1:28" x14ac:dyDescent="0.3">
      <c r="A81" s="7">
        <v>44811</v>
      </c>
      <c r="B81">
        <v>2</v>
      </c>
      <c r="C81" t="s">
        <v>26</v>
      </c>
      <c r="D81">
        <v>2</v>
      </c>
      <c r="E81">
        <v>4</v>
      </c>
      <c r="F81" t="s">
        <v>27</v>
      </c>
      <c r="G81">
        <v>2</v>
      </c>
      <c r="H81" s="8">
        <v>0.29166666666666669</v>
      </c>
      <c r="I81" s="8">
        <v>0.40972222222222227</v>
      </c>
      <c r="J81" s="8">
        <f t="shared" si="3"/>
        <v>0.11805555555555558</v>
      </c>
      <c r="K81" s="12">
        <f t="shared" si="4"/>
        <v>2.8333333333333339</v>
      </c>
      <c r="L81" s="12">
        <f t="shared" si="5"/>
        <v>5.6666666666666679</v>
      </c>
      <c r="M81" t="s">
        <v>25</v>
      </c>
      <c r="N81" t="s">
        <v>408</v>
      </c>
      <c r="O81" s="18" t="s">
        <v>405</v>
      </c>
      <c r="P81">
        <v>0</v>
      </c>
      <c r="Q81" s="18">
        <v>0</v>
      </c>
      <c r="R81">
        <v>0</v>
      </c>
      <c r="S81" s="18">
        <v>0</v>
      </c>
      <c r="T81">
        <v>0</v>
      </c>
      <c r="U81" s="18">
        <v>0</v>
      </c>
    </row>
    <row r="82" spans="1:28" x14ac:dyDescent="0.3">
      <c r="A82" s="7">
        <v>44811</v>
      </c>
      <c r="B82">
        <v>2</v>
      </c>
      <c r="C82" t="s">
        <v>26</v>
      </c>
      <c r="D82">
        <v>2</v>
      </c>
      <c r="E82">
        <v>1</v>
      </c>
      <c r="F82" t="s">
        <v>27</v>
      </c>
      <c r="G82">
        <v>1</v>
      </c>
      <c r="H82" s="8">
        <v>0.40277777777777773</v>
      </c>
      <c r="I82" s="8">
        <v>0.41666666666666669</v>
      </c>
      <c r="J82" s="8">
        <f t="shared" si="3"/>
        <v>1.3888888888888951E-2</v>
      </c>
      <c r="K82" s="12">
        <f t="shared" si="4"/>
        <v>0.33333333333333481</v>
      </c>
      <c r="L82" s="12">
        <f t="shared" si="5"/>
        <v>0.33333333333333481</v>
      </c>
      <c r="M82" t="s">
        <v>28</v>
      </c>
      <c r="N82" t="s">
        <v>412</v>
      </c>
      <c r="O82" s="18" t="s">
        <v>405</v>
      </c>
      <c r="P82">
        <v>0</v>
      </c>
      <c r="Q82" s="18">
        <v>0</v>
      </c>
      <c r="R82">
        <v>0</v>
      </c>
      <c r="S82" s="18">
        <v>0</v>
      </c>
      <c r="T82">
        <v>0</v>
      </c>
      <c r="U82" s="18">
        <v>0</v>
      </c>
    </row>
    <row r="83" spans="1:28" x14ac:dyDescent="0.3">
      <c r="A83" s="7">
        <v>44811</v>
      </c>
      <c r="B83">
        <v>2</v>
      </c>
      <c r="C83" t="s">
        <v>26</v>
      </c>
      <c r="D83">
        <v>2</v>
      </c>
      <c r="E83">
        <v>1</v>
      </c>
      <c r="F83" t="s">
        <v>27</v>
      </c>
      <c r="G83">
        <v>3</v>
      </c>
      <c r="H83" s="8">
        <v>0.33333333333333331</v>
      </c>
      <c r="I83" s="8">
        <v>0.42708333333333331</v>
      </c>
      <c r="J83" s="8">
        <f t="shared" si="3"/>
        <v>9.375E-2</v>
      </c>
      <c r="K83" s="12">
        <f t="shared" si="4"/>
        <v>2.25</v>
      </c>
      <c r="L83" s="12">
        <f t="shared" si="5"/>
        <v>6.75</v>
      </c>
      <c r="M83" t="s">
        <v>25</v>
      </c>
      <c r="N83" t="s">
        <v>408</v>
      </c>
      <c r="O83" s="18" t="s">
        <v>92</v>
      </c>
      <c r="P83">
        <v>0</v>
      </c>
      <c r="Q83" s="18">
        <v>0</v>
      </c>
      <c r="R83">
        <v>0</v>
      </c>
      <c r="S83" s="18">
        <v>0</v>
      </c>
      <c r="T83">
        <v>0</v>
      </c>
      <c r="U83" s="18">
        <v>0</v>
      </c>
    </row>
    <row r="84" spans="1:28" x14ac:dyDescent="0.3">
      <c r="A84" s="7">
        <v>44811</v>
      </c>
      <c r="B84">
        <v>2</v>
      </c>
      <c r="C84" t="s">
        <v>26</v>
      </c>
      <c r="D84">
        <v>2</v>
      </c>
      <c r="E84">
        <v>2</v>
      </c>
      <c r="F84" t="s">
        <v>27</v>
      </c>
      <c r="G84">
        <v>1</v>
      </c>
      <c r="H84" s="8">
        <v>0.375</v>
      </c>
      <c r="I84" s="8">
        <v>0.44444444444444442</v>
      </c>
      <c r="J84" s="8">
        <f t="shared" si="3"/>
        <v>6.944444444444442E-2</v>
      </c>
      <c r="K84" s="12">
        <f t="shared" si="4"/>
        <v>1.6666666666666661</v>
      </c>
      <c r="L84" s="12">
        <f t="shared" si="5"/>
        <v>1.6666666666666661</v>
      </c>
      <c r="M84" t="s">
        <v>28</v>
      </c>
      <c r="N84" t="s">
        <v>411</v>
      </c>
      <c r="O84" s="18" t="s">
        <v>410</v>
      </c>
      <c r="P84">
        <v>1</v>
      </c>
      <c r="Q84" s="18">
        <v>0</v>
      </c>
      <c r="R84">
        <v>0</v>
      </c>
      <c r="S84" s="18">
        <v>0</v>
      </c>
      <c r="T84">
        <v>0</v>
      </c>
      <c r="U84" s="18">
        <v>0</v>
      </c>
    </row>
    <row r="85" spans="1:28" x14ac:dyDescent="0.3">
      <c r="A85" s="7">
        <v>44811</v>
      </c>
      <c r="B85">
        <v>2</v>
      </c>
      <c r="C85" t="s">
        <v>26</v>
      </c>
      <c r="D85">
        <v>2</v>
      </c>
      <c r="E85">
        <v>2</v>
      </c>
      <c r="F85" t="s">
        <v>27</v>
      </c>
      <c r="G85">
        <v>2</v>
      </c>
      <c r="H85" s="8">
        <v>0.29166666666666669</v>
      </c>
      <c r="I85" s="8">
        <v>0.44444444444444442</v>
      </c>
      <c r="J85" s="8">
        <f t="shared" si="3"/>
        <v>0.15277777777777773</v>
      </c>
      <c r="K85" s="12">
        <f t="shared" si="4"/>
        <v>3.6666666666666656</v>
      </c>
      <c r="L85" s="12">
        <f t="shared" si="5"/>
        <v>7.3333333333333313</v>
      </c>
      <c r="M85" t="s">
        <v>28</v>
      </c>
      <c r="N85" t="s">
        <v>411</v>
      </c>
      <c r="O85" s="18" t="s">
        <v>410</v>
      </c>
      <c r="P85">
        <v>1</v>
      </c>
      <c r="Q85" s="18">
        <v>0</v>
      </c>
      <c r="R85">
        <v>0</v>
      </c>
      <c r="S85" s="18">
        <v>0</v>
      </c>
      <c r="T85">
        <v>0</v>
      </c>
      <c r="U85" s="18">
        <v>0</v>
      </c>
    </row>
    <row r="86" spans="1:28" x14ac:dyDescent="0.3">
      <c r="A86" s="7">
        <v>44811</v>
      </c>
      <c r="B86">
        <v>2</v>
      </c>
      <c r="C86" t="s">
        <v>26</v>
      </c>
      <c r="D86">
        <v>2</v>
      </c>
      <c r="E86">
        <v>2</v>
      </c>
      <c r="F86" t="s">
        <v>27</v>
      </c>
      <c r="G86">
        <v>1</v>
      </c>
      <c r="H86" s="8">
        <v>0.33333333333333331</v>
      </c>
      <c r="I86" s="8">
        <v>0.45833333333333331</v>
      </c>
      <c r="J86" s="8">
        <f t="shared" si="3"/>
        <v>0.125</v>
      </c>
      <c r="K86" s="12">
        <f t="shared" si="4"/>
        <v>3</v>
      </c>
      <c r="L86" s="12">
        <f t="shared" si="5"/>
        <v>3</v>
      </c>
      <c r="M86" t="s">
        <v>25</v>
      </c>
      <c r="N86" t="s">
        <v>411</v>
      </c>
      <c r="O86" s="18" t="s">
        <v>410</v>
      </c>
      <c r="P86">
        <v>0</v>
      </c>
      <c r="Q86" s="18">
        <v>0</v>
      </c>
      <c r="R86">
        <v>0</v>
      </c>
      <c r="S86" s="18">
        <v>0</v>
      </c>
      <c r="T86">
        <v>0</v>
      </c>
      <c r="U86" s="18">
        <v>0</v>
      </c>
    </row>
    <row r="87" spans="1:28" s="26" customFormat="1" x14ac:dyDescent="0.3">
      <c r="A87" s="25">
        <v>44811</v>
      </c>
      <c r="B87" s="26">
        <v>2</v>
      </c>
      <c r="C87" s="26" t="s">
        <v>26</v>
      </c>
      <c r="D87" s="26">
        <v>2</v>
      </c>
      <c r="E87" s="26">
        <v>2</v>
      </c>
      <c r="F87" s="26" t="s">
        <v>27</v>
      </c>
      <c r="G87" s="26">
        <v>1</v>
      </c>
      <c r="H87" s="27">
        <v>0.375</v>
      </c>
      <c r="I87" s="27">
        <v>0.45833333333333331</v>
      </c>
      <c r="J87" s="8">
        <f t="shared" si="3"/>
        <v>8.3333333333333315E-2</v>
      </c>
      <c r="K87" s="12">
        <f t="shared" si="4"/>
        <v>1.9999999999999996</v>
      </c>
      <c r="L87" s="12">
        <f t="shared" si="5"/>
        <v>1.9999999999999996</v>
      </c>
      <c r="M87" s="26" t="s">
        <v>28</v>
      </c>
      <c r="N87" s="26" t="s">
        <v>411</v>
      </c>
      <c r="O87" s="28" t="s">
        <v>410</v>
      </c>
      <c r="P87" s="26">
        <v>0</v>
      </c>
      <c r="Q87" s="28">
        <v>0</v>
      </c>
      <c r="R87" s="26">
        <v>0</v>
      </c>
      <c r="S87" s="28">
        <v>0</v>
      </c>
      <c r="T87" s="26">
        <v>0</v>
      </c>
      <c r="U87" s="28">
        <v>0</v>
      </c>
    </row>
    <row r="88" spans="1:28" x14ac:dyDescent="0.3">
      <c r="A88" s="7">
        <v>44812</v>
      </c>
      <c r="B88">
        <v>2</v>
      </c>
      <c r="C88" t="s">
        <v>26</v>
      </c>
      <c r="D88">
        <v>2</v>
      </c>
      <c r="E88">
        <v>1</v>
      </c>
      <c r="F88" t="s">
        <v>27</v>
      </c>
      <c r="G88">
        <v>1</v>
      </c>
      <c r="H88" s="8">
        <v>0.38541666666666669</v>
      </c>
      <c r="I88" s="8">
        <v>0.3888888888888889</v>
      </c>
      <c r="J88" s="8">
        <f t="shared" si="3"/>
        <v>3.4722222222222099E-3</v>
      </c>
      <c r="K88" s="12">
        <f t="shared" si="4"/>
        <v>8.3333333333333037E-2</v>
      </c>
      <c r="L88" s="12">
        <f t="shared" si="5"/>
        <v>8.3333333333333037E-2</v>
      </c>
      <c r="M88" t="s">
        <v>28</v>
      </c>
      <c r="N88" t="s">
        <v>404</v>
      </c>
      <c r="O88" s="18" t="s">
        <v>405</v>
      </c>
      <c r="P88">
        <v>0</v>
      </c>
      <c r="Q88" s="18">
        <v>0</v>
      </c>
      <c r="R88">
        <v>0</v>
      </c>
      <c r="S88" s="18">
        <v>0</v>
      </c>
      <c r="T88">
        <v>0</v>
      </c>
      <c r="U88" s="18">
        <v>0</v>
      </c>
      <c r="AB88" t="s">
        <v>433</v>
      </c>
    </row>
    <row r="89" spans="1:28" x14ac:dyDescent="0.3">
      <c r="A89" s="7">
        <v>44812</v>
      </c>
      <c r="B89">
        <v>2</v>
      </c>
      <c r="C89" t="s">
        <v>26</v>
      </c>
      <c r="D89">
        <v>2</v>
      </c>
      <c r="E89">
        <v>1</v>
      </c>
      <c r="F89" t="s">
        <v>27</v>
      </c>
      <c r="G89">
        <v>1</v>
      </c>
      <c r="H89" s="8">
        <v>0.375</v>
      </c>
      <c r="I89" s="8">
        <v>0.38194444444444442</v>
      </c>
      <c r="J89" s="8">
        <f t="shared" si="3"/>
        <v>6.9444444444444198E-3</v>
      </c>
      <c r="K89" s="12">
        <f t="shared" si="4"/>
        <v>0.16666666666666607</v>
      </c>
      <c r="L89" s="12">
        <f t="shared" si="5"/>
        <v>0.16666666666666607</v>
      </c>
      <c r="M89" t="s">
        <v>28</v>
      </c>
      <c r="N89" t="s">
        <v>415</v>
      </c>
      <c r="O89" s="18" t="s">
        <v>405</v>
      </c>
      <c r="P89">
        <v>0</v>
      </c>
      <c r="Q89" s="18">
        <v>0</v>
      </c>
      <c r="R89">
        <v>0</v>
      </c>
      <c r="S89" s="18">
        <v>0</v>
      </c>
      <c r="T89">
        <v>0</v>
      </c>
      <c r="U89" s="18">
        <v>0</v>
      </c>
    </row>
    <row r="90" spans="1:28" x14ac:dyDescent="0.3">
      <c r="A90" s="7">
        <v>44812</v>
      </c>
      <c r="B90">
        <v>2</v>
      </c>
      <c r="C90" t="s">
        <v>26</v>
      </c>
      <c r="D90">
        <v>2</v>
      </c>
      <c r="E90">
        <v>2</v>
      </c>
      <c r="F90" t="s">
        <v>27</v>
      </c>
      <c r="G90">
        <v>1</v>
      </c>
      <c r="H90" s="8">
        <v>0.375</v>
      </c>
      <c r="I90" s="8">
        <v>0.3923611111111111</v>
      </c>
      <c r="J90" s="8">
        <f t="shared" si="3"/>
        <v>1.7361111111111105E-2</v>
      </c>
      <c r="K90" s="12">
        <f t="shared" si="4"/>
        <v>0.41666666666666652</v>
      </c>
      <c r="L90" s="12">
        <f t="shared" si="5"/>
        <v>0.41666666666666652</v>
      </c>
      <c r="M90" t="s">
        <v>28</v>
      </c>
      <c r="N90" t="s">
        <v>411</v>
      </c>
      <c r="O90" s="18" t="s">
        <v>405</v>
      </c>
      <c r="P90">
        <v>0</v>
      </c>
      <c r="Q90" s="18">
        <v>0</v>
      </c>
      <c r="R90">
        <v>0</v>
      </c>
      <c r="S90" s="18">
        <v>0</v>
      </c>
      <c r="T90">
        <v>0</v>
      </c>
      <c r="U90" s="18">
        <v>0</v>
      </c>
    </row>
    <row r="91" spans="1:28" x14ac:dyDescent="0.3">
      <c r="A91" s="7">
        <v>44812</v>
      </c>
      <c r="B91">
        <v>2</v>
      </c>
      <c r="C91" t="s">
        <v>26</v>
      </c>
      <c r="D91">
        <v>2</v>
      </c>
      <c r="E91">
        <v>2</v>
      </c>
      <c r="F91" t="s">
        <v>27</v>
      </c>
      <c r="G91">
        <v>1</v>
      </c>
      <c r="H91" s="8">
        <v>0.29166666666666669</v>
      </c>
      <c r="I91" s="8">
        <v>0.39583333333333331</v>
      </c>
      <c r="J91" s="8">
        <f t="shared" si="3"/>
        <v>0.10416666666666663</v>
      </c>
      <c r="K91" s="12">
        <f t="shared" si="4"/>
        <v>2.4999999999999991</v>
      </c>
      <c r="L91" s="12">
        <f t="shared" si="5"/>
        <v>2.4999999999999991</v>
      </c>
      <c r="M91" t="s">
        <v>28</v>
      </c>
      <c r="N91" t="s">
        <v>411</v>
      </c>
      <c r="O91" s="18" t="s">
        <v>410</v>
      </c>
      <c r="P91">
        <v>0</v>
      </c>
      <c r="Q91" s="18">
        <v>0</v>
      </c>
      <c r="R91">
        <v>0</v>
      </c>
      <c r="S91" s="18">
        <v>0</v>
      </c>
      <c r="T91">
        <v>0</v>
      </c>
      <c r="U91" s="18">
        <v>0</v>
      </c>
    </row>
    <row r="92" spans="1:28" x14ac:dyDescent="0.3">
      <c r="A92" s="7">
        <v>44812</v>
      </c>
      <c r="B92">
        <v>2</v>
      </c>
      <c r="C92" t="s">
        <v>26</v>
      </c>
      <c r="D92">
        <v>2</v>
      </c>
      <c r="E92">
        <v>2</v>
      </c>
      <c r="F92" t="s">
        <v>27</v>
      </c>
      <c r="G92">
        <v>2</v>
      </c>
      <c r="H92" s="8">
        <v>0.29166666666666669</v>
      </c>
      <c r="I92" s="8">
        <v>0.39583333333333331</v>
      </c>
      <c r="J92" s="8">
        <f t="shared" si="3"/>
        <v>0.10416666666666663</v>
      </c>
      <c r="K92" s="12">
        <f t="shared" si="4"/>
        <v>2.4999999999999991</v>
      </c>
      <c r="L92" s="12">
        <f t="shared" si="5"/>
        <v>4.9999999999999982</v>
      </c>
      <c r="M92" t="s">
        <v>28</v>
      </c>
      <c r="N92" t="s">
        <v>411</v>
      </c>
      <c r="O92" s="18" t="s">
        <v>410</v>
      </c>
      <c r="P92">
        <v>0</v>
      </c>
      <c r="Q92" s="18">
        <v>0</v>
      </c>
      <c r="R92">
        <v>0</v>
      </c>
      <c r="S92" s="18">
        <v>0</v>
      </c>
      <c r="T92">
        <v>0</v>
      </c>
      <c r="U92" s="18">
        <v>0</v>
      </c>
    </row>
    <row r="93" spans="1:28" x14ac:dyDescent="0.3">
      <c r="A93" s="7">
        <v>44812</v>
      </c>
      <c r="B93">
        <v>2</v>
      </c>
      <c r="C93" t="s">
        <v>26</v>
      </c>
      <c r="D93">
        <v>2</v>
      </c>
      <c r="E93">
        <v>1</v>
      </c>
      <c r="F93" t="s">
        <v>27</v>
      </c>
      <c r="G93">
        <v>1</v>
      </c>
      <c r="H93" s="8">
        <v>0.3125</v>
      </c>
      <c r="I93" s="8">
        <v>0.40277777777777773</v>
      </c>
      <c r="J93" s="8">
        <f t="shared" si="3"/>
        <v>9.0277777777777735E-2</v>
      </c>
      <c r="K93" s="12">
        <f t="shared" si="4"/>
        <v>2.1666666666666656</v>
      </c>
      <c r="L93" s="12">
        <f t="shared" si="5"/>
        <v>2.1666666666666656</v>
      </c>
      <c r="M93" t="s">
        <v>28</v>
      </c>
      <c r="N93" t="s">
        <v>411</v>
      </c>
      <c r="O93" s="18" t="s">
        <v>410</v>
      </c>
      <c r="P93">
        <v>0</v>
      </c>
      <c r="Q93" s="18">
        <v>0</v>
      </c>
      <c r="R93">
        <v>0</v>
      </c>
      <c r="S93" s="18">
        <v>0</v>
      </c>
      <c r="T93">
        <v>0</v>
      </c>
      <c r="U93" s="18">
        <v>0</v>
      </c>
    </row>
    <row r="94" spans="1:28" x14ac:dyDescent="0.3">
      <c r="A94" s="7">
        <v>44812</v>
      </c>
      <c r="B94">
        <v>2</v>
      </c>
      <c r="C94" t="s">
        <v>26</v>
      </c>
      <c r="D94">
        <v>2</v>
      </c>
      <c r="E94">
        <v>1</v>
      </c>
      <c r="F94" t="s">
        <v>27</v>
      </c>
      <c r="G94">
        <v>1</v>
      </c>
      <c r="H94" s="8">
        <v>0.27083333333333331</v>
      </c>
      <c r="I94" s="8">
        <v>0.40277777777777773</v>
      </c>
      <c r="J94" s="8">
        <f t="shared" si="3"/>
        <v>0.13194444444444442</v>
      </c>
      <c r="K94" s="12">
        <f t="shared" si="4"/>
        <v>3.1666666666666661</v>
      </c>
      <c r="L94" s="12">
        <f t="shared" si="5"/>
        <v>3.1666666666666661</v>
      </c>
      <c r="M94" t="s">
        <v>28</v>
      </c>
      <c r="N94" t="s">
        <v>411</v>
      </c>
      <c r="O94" s="18" t="s">
        <v>410</v>
      </c>
      <c r="P94">
        <v>0</v>
      </c>
      <c r="Q94" s="18">
        <v>0</v>
      </c>
      <c r="R94">
        <v>0</v>
      </c>
      <c r="S94" s="18">
        <v>0</v>
      </c>
      <c r="T94">
        <v>0</v>
      </c>
      <c r="U94" s="18">
        <v>0</v>
      </c>
    </row>
    <row r="95" spans="1:28" x14ac:dyDescent="0.3">
      <c r="A95" s="7">
        <v>44812</v>
      </c>
      <c r="B95">
        <v>2</v>
      </c>
      <c r="C95" t="s">
        <v>26</v>
      </c>
      <c r="D95">
        <v>2</v>
      </c>
      <c r="E95">
        <v>1</v>
      </c>
      <c r="F95" t="s">
        <v>27</v>
      </c>
      <c r="G95">
        <v>1</v>
      </c>
      <c r="H95" s="8">
        <v>0.3125</v>
      </c>
      <c r="I95" s="8">
        <v>0.40277777777777773</v>
      </c>
      <c r="J95" s="8">
        <f t="shared" si="3"/>
        <v>9.0277777777777735E-2</v>
      </c>
      <c r="K95" s="12">
        <f t="shared" si="4"/>
        <v>2.1666666666666656</v>
      </c>
      <c r="L95" s="12">
        <f t="shared" si="5"/>
        <v>2.1666666666666656</v>
      </c>
      <c r="M95" t="s">
        <v>28</v>
      </c>
      <c r="N95" t="s">
        <v>411</v>
      </c>
      <c r="O95" s="18" t="s">
        <v>422</v>
      </c>
      <c r="P95">
        <v>0</v>
      </c>
      <c r="Q95" s="18">
        <v>0</v>
      </c>
      <c r="R95">
        <v>0</v>
      </c>
      <c r="S95" s="18">
        <v>0</v>
      </c>
      <c r="T95">
        <v>0</v>
      </c>
      <c r="U95" s="18">
        <v>0</v>
      </c>
    </row>
    <row r="96" spans="1:28" x14ac:dyDescent="0.3">
      <c r="A96" s="7">
        <v>44812</v>
      </c>
      <c r="B96">
        <v>2</v>
      </c>
      <c r="C96" t="s">
        <v>26</v>
      </c>
      <c r="D96">
        <v>2</v>
      </c>
      <c r="E96">
        <v>1</v>
      </c>
      <c r="F96" t="s">
        <v>27</v>
      </c>
      <c r="G96">
        <v>1</v>
      </c>
      <c r="H96" s="8">
        <v>0.26041666666666669</v>
      </c>
      <c r="I96" s="8">
        <v>0.40625</v>
      </c>
      <c r="J96" s="8">
        <f t="shared" si="3"/>
        <v>0.14583333333333331</v>
      </c>
      <c r="K96" s="12">
        <f t="shared" si="4"/>
        <v>3.4999999999999996</v>
      </c>
      <c r="L96" s="12">
        <f t="shared" si="5"/>
        <v>3.4999999999999996</v>
      </c>
      <c r="M96" t="s">
        <v>28</v>
      </c>
      <c r="N96" t="s">
        <v>411</v>
      </c>
      <c r="O96" s="18" t="s">
        <v>407</v>
      </c>
      <c r="P96">
        <v>0</v>
      </c>
      <c r="Q96" s="18">
        <v>0</v>
      </c>
      <c r="R96">
        <v>0</v>
      </c>
      <c r="S96" s="18">
        <v>0</v>
      </c>
      <c r="T96">
        <v>0</v>
      </c>
      <c r="U96" s="18">
        <v>0</v>
      </c>
    </row>
    <row r="97" spans="1:28" x14ac:dyDescent="0.3">
      <c r="A97" s="7">
        <v>44812</v>
      </c>
      <c r="B97">
        <v>2</v>
      </c>
      <c r="C97" t="s">
        <v>26</v>
      </c>
      <c r="D97">
        <v>2</v>
      </c>
      <c r="E97">
        <v>1</v>
      </c>
      <c r="F97" t="s">
        <v>27</v>
      </c>
      <c r="G97">
        <v>1</v>
      </c>
      <c r="H97" s="8">
        <v>0.33333333333333331</v>
      </c>
      <c r="I97" s="8">
        <v>0.40625</v>
      </c>
      <c r="J97" s="8">
        <f t="shared" si="3"/>
        <v>7.2916666666666685E-2</v>
      </c>
      <c r="K97" s="12">
        <f t="shared" si="4"/>
        <v>1.7500000000000004</v>
      </c>
      <c r="L97" s="12">
        <f t="shared" si="5"/>
        <v>1.7500000000000004</v>
      </c>
      <c r="M97" t="s">
        <v>25</v>
      </c>
      <c r="N97" t="s">
        <v>411</v>
      </c>
      <c r="O97" s="18" t="s">
        <v>405</v>
      </c>
      <c r="P97">
        <v>0</v>
      </c>
      <c r="Q97" s="18">
        <v>0</v>
      </c>
      <c r="R97">
        <v>0</v>
      </c>
      <c r="S97" s="18">
        <v>0</v>
      </c>
      <c r="T97">
        <v>0</v>
      </c>
      <c r="U97" s="18">
        <v>0</v>
      </c>
    </row>
    <row r="98" spans="1:28" x14ac:dyDescent="0.3">
      <c r="A98" s="7">
        <v>44812</v>
      </c>
      <c r="B98">
        <v>2</v>
      </c>
      <c r="C98" t="s">
        <v>26</v>
      </c>
      <c r="D98">
        <v>2</v>
      </c>
      <c r="E98">
        <v>1</v>
      </c>
      <c r="F98" t="s">
        <v>27</v>
      </c>
      <c r="G98">
        <v>1</v>
      </c>
      <c r="H98" s="8">
        <v>0.22916666666666666</v>
      </c>
      <c r="I98" s="8">
        <v>0.40625</v>
      </c>
      <c r="J98" s="8">
        <f t="shared" si="3"/>
        <v>0.17708333333333334</v>
      </c>
      <c r="K98" s="12">
        <f t="shared" si="4"/>
        <v>4.25</v>
      </c>
      <c r="L98" s="12">
        <f t="shared" si="5"/>
        <v>4.25</v>
      </c>
      <c r="M98" t="s">
        <v>28</v>
      </c>
      <c r="N98" t="s">
        <v>411</v>
      </c>
      <c r="O98" s="18" t="s">
        <v>405</v>
      </c>
      <c r="P98">
        <v>0</v>
      </c>
      <c r="Q98" s="18">
        <v>0</v>
      </c>
      <c r="R98">
        <v>0</v>
      </c>
      <c r="S98" s="18">
        <v>0</v>
      </c>
      <c r="T98">
        <v>0</v>
      </c>
      <c r="U98" s="18">
        <v>0</v>
      </c>
    </row>
    <row r="99" spans="1:28" x14ac:dyDescent="0.3">
      <c r="A99" s="7">
        <v>44812</v>
      </c>
      <c r="B99">
        <v>2</v>
      </c>
      <c r="C99" t="s">
        <v>26</v>
      </c>
      <c r="D99">
        <v>2</v>
      </c>
      <c r="E99">
        <v>1</v>
      </c>
      <c r="F99" t="s">
        <v>27</v>
      </c>
      <c r="G99">
        <v>1</v>
      </c>
      <c r="H99" s="8">
        <v>0.29166666666666669</v>
      </c>
      <c r="I99" s="8">
        <v>0.40625</v>
      </c>
      <c r="J99" s="8">
        <f t="shared" si="3"/>
        <v>0.11458333333333331</v>
      </c>
      <c r="K99" s="12">
        <f t="shared" si="4"/>
        <v>2.7499999999999996</v>
      </c>
      <c r="L99" s="12">
        <f t="shared" si="5"/>
        <v>2.7499999999999996</v>
      </c>
      <c r="M99" t="s">
        <v>28</v>
      </c>
      <c r="N99" t="s">
        <v>411</v>
      </c>
      <c r="O99" s="18" t="s">
        <v>410</v>
      </c>
      <c r="P99">
        <v>0</v>
      </c>
      <c r="Q99" s="18">
        <v>0</v>
      </c>
      <c r="R99">
        <v>0</v>
      </c>
      <c r="S99" s="18">
        <v>0</v>
      </c>
      <c r="T99">
        <v>0</v>
      </c>
      <c r="U99" s="18">
        <v>0</v>
      </c>
    </row>
    <row r="100" spans="1:28" x14ac:dyDescent="0.3">
      <c r="A100" s="7">
        <v>44812</v>
      </c>
      <c r="B100">
        <v>2</v>
      </c>
      <c r="C100" t="s">
        <v>26</v>
      </c>
      <c r="D100">
        <v>2</v>
      </c>
      <c r="E100">
        <v>1</v>
      </c>
      <c r="F100" t="s">
        <v>27</v>
      </c>
      <c r="G100">
        <v>1</v>
      </c>
      <c r="H100" s="8">
        <v>0.29166666666666669</v>
      </c>
      <c r="I100" s="8">
        <v>0.40625</v>
      </c>
      <c r="J100" s="8">
        <f t="shared" si="3"/>
        <v>0.11458333333333331</v>
      </c>
      <c r="K100" s="12">
        <f t="shared" si="4"/>
        <v>2.7499999999999996</v>
      </c>
      <c r="L100" s="12">
        <f t="shared" si="5"/>
        <v>2.7499999999999996</v>
      </c>
      <c r="M100" t="s">
        <v>28</v>
      </c>
      <c r="N100" t="s">
        <v>411</v>
      </c>
      <c r="O100" s="18" t="s">
        <v>410</v>
      </c>
      <c r="P100">
        <v>0</v>
      </c>
      <c r="Q100" s="18">
        <v>0</v>
      </c>
      <c r="R100">
        <v>0</v>
      </c>
      <c r="S100" s="18">
        <v>0</v>
      </c>
      <c r="T100">
        <v>0</v>
      </c>
      <c r="U100" s="18">
        <v>0</v>
      </c>
    </row>
    <row r="101" spans="1:28" x14ac:dyDescent="0.3">
      <c r="A101" s="7">
        <v>44812</v>
      </c>
      <c r="B101">
        <v>2</v>
      </c>
      <c r="C101" t="s">
        <v>26</v>
      </c>
      <c r="D101">
        <v>2</v>
      </c>
      <c r="E101">
        <v>2</v>
      </c>
      <c r="F101" t="s">
        <v>27</v>
      </c>
      <c r="G101">
        <v>1</v>
      </c>
      <c r="H101" s="8">
        <v>0.29166666666666669</v>
      </c>
      <c r="I101" s="8">
        <v>0.39583333333333331</v>
      </c>
      <c r="J101" s="8">
        <f t="shared" si="3"/>
        <v>0.10416666666666663</v>
      </c>
      <c r="K101" s="12">
        <f t="shared" si="4"/>
        <v>2.4999999999999991</v>
      </c>
      <c r="L101" s="12">
        <f t="shared" si="5"/>
        <v>2.4999999999999991</v>
      </c>
      <c r="M101" t="s">
        <v>25</v>
      </c>
      <c r="N101" t="s">
        <v>411</v>
      </c>
      <c r="O101" s="18" t="s">
        <v>410</v>
      </c>
      <c r="P101">
        <v>1</v>
      </c>
      <c r="Q101" s="18">
        <v>0</v>
      </c>
      <c r="R101">
        <v>0</v>
      </c>
      <c r="S101" s="18">
        <v>0</v>
      </c>
      <c r="T101">
        <v>0</v>
      </c>
      <c r="U101" s="18">
        <v>0</v>
      </c>
      <c r="V101">
        <v>1</v>
      </c>
      <c r="AB101" t="s">
        <v>427</v>
      </c>
    </row>
    <row r="102" spans="1:28" x14ac:dyDescent="0.3">
      <c r="A102" s="7">
        <v>44812</v>
      </c>
      <c r="B102">
        <v>2</v>
      </c>
      <c r="C102" t="s">
        <v>26</v>
      </c>
      <c r="D102">
        <v>2</v>
      </c>
      <c r="E102">
        <v>2</v>
      </c>
      <c r="F102" t="s">
        <v>27</v>
      </c>
      <c r="G102">
        <v>1</v>
      </c>
      <c r="H102" s="8">
        <v>0.27083333333333331</v>
      </c>
      <c r="I102" s="8">
        <v>0.39583333333333331</v>
      </c>
      <c r="J102" s="8">
        <f t="shared" si="3"/>
        <v>0.125</v>
      </c>
      <c r="K102" s="12">
        <f t="shared" si="4"/>
        <v>3</v>
      </c>
      <c r="L102" s="12">
        <f t="shared" si="5"/>
        <v>3</v>
      </c>
      <c r="M102" t="s">
        <v>25</v>
      </c>
      <c r="N102" t="s">
        <v>411</v>
      </c>
      <c r="O102" s="18" t="s">
        <v>410</v>
      </c>
      <c r="P102">
        <v>0</v>
      </c>
      <c r="Q102" s="18">
        <v>0</v>
      </c>
      <c r="R102">
        <v>0</v>
      </c>
      <c r="S102" s="18">
        <v>0</v>
      </c>
      <c r="T102">
        <v>0</v>
      </c>
      <c r="U102" s="18">
        <v>0</v>
      </c>
    </row>
    <row r="103" spans="1:28" x14ac:dyDescent="0.3">
      <c r="A103" s="7">
        <v>44812</v>
      </c>
      <c r="B103">
        <v>2</v>
      </c>
      <c r="C103" t="s">
        <v>26</v>
      </c>
      <c r="D103">
        <v>2</v>
      </c>
      <c r="E103">
        <v>2</v>
      </c>
      <c r="F103" t="s">
        <v>27</v>
      </c>
      <c r="G103">
        <v>1</v>
      </c>
      <c r="H103" s="8">
        <v>0.375</v>
      </c>
      <c r="I103" s="8">
        <v>0.41666666666666669</v>
      </c>
      <c r="J103" s="8">
        <f t="shared" si="3"/>
        <v>4.1666666666666685E-2</v>
      </c>
      <c r="K103" s="12">
        <f t="shared" si="4"/>
        <v>1.0000000000000004</v>
      </c>
      <c r="L103" s="12">
        <f t="shared" si="5"/>
        <v>1.0000000000000004</v>
      </c>
      <c r="M103" t="s">
        <v>28</v>
      </c>
      <c r="N103" t="s">
        <v>411</v>
      </c>
      <c r="O103" s="18" t="s">
        <v>410</v>
      </c>
      <c r="P103">
        <v>0</v>
      </c>
      <c r="Q103" s="18">
        <v>0</v>
      </c>
      <c r="R103">
        <v>0</v>
      </c>
      <c r="S103" s="18">
        <v>0</v>
      </c>
      <c r="T103">
        <v>0</v>
      </c>
      <c r="U103" s="18">
        <v>0</v>
      </c>
    </row>
    <row r="104" spans="1:28" x14ac:dyDescent="0.3">
      <c r="A104" s="7">
        <v>44812</v>
      </c>
      <c r="B104">
        <v>2</v>
      </c>
      <c r="C104" t="s">
        <v>26</v>
      </c>
      <c r="D104">
        <v>2</v>
      </c>
      <c r="E104">
        <v>2</v>
      </c>
      <c r="F104" t="s">
        <v>27</v>
      </c>
      <c r="G104">
        <v>1</v>
      </c>
      <c r="H104" s="8">
        <v>0.40972222222222227</v>
      </c>
      <c r="I104" s="8">
        <v>0.42708333333333331</v>
      </c>
      <c r="J104" s="8">
        <f t="shared" si="3"/>
        <v>1.7361111111111049E-2</v>
      </c>
      <c r="K104" s="12">
        <f t="shared" si="4"/>
        <v>0.41666666666666519</v>
      </c>
      <c r="L104" s="12">
        <f t="shared" si="5"/>
        <v>0.41666666666666519</v>
      </c>
      <c r="M104" t="s">
        <v>28</v>
      </c>
      <c r="N104" t="s">
        <v>411</v>
      </c>
      <c r="O104" s="18" t="s">
        <v>410</v>
      </c>
      <c r="P104">
        <v>0</v>
      </c>
      <c r="Q104" s="18">
        <v>0</v>
      </c>
      <c r="R104">
        <v>0</v>
      </c>
      <c r="S104" s="18">
        <v>0</v>
      </c>
      <c r="T104">
        <v>0</v>
      </c>
      <c r="U104" s="18">
        <v>0</v>
      </c>
    </row>
    <row r="105" spans="1:28" x14ac:dyDescent="0.3">
      <c r="A105" s="7">
        <v>44812</v>
      </c>
      <c r="B105">
        <v>2</v>
      </c>
      <c r="C105" t="s">
        <v>26</v>
      </c>
      <c r="D105">
        <v>2</v>
      </c>
      <c r="E105">
        <v>2</v>
      </c>
      <c r="F105" t="s">
        <v>27</v>
      </c>
      <c r="G105">
        <v>1</v>
      </c>
      <c r="H105" s="8">
        <v>0.3125</v>
      </c>
      <c r="I105" s="8">
        <v>0.4375</v>
      </c>
      <c r="J105" s="8">
        <f t="shared" si="3"/>
        <v>0.125</v>
      </c>
      <c r="K105" s="12">
        <f t="shared" si="4"/>
        <v>3</v>
      </c>
      <c r="L105" s="12">
        <f t="shared" si="5"/>
        <v>3</v>
      </c>
      <c r="M105" t="s">
        <v>25</v>
      </c>
      <c r="N105" t="s">
        <v>411</v>
      </c>
      <c r="O105" s="18" t="s">
        <v>422</v>
      </c>
      <c r="P105">
        <v>2</v>
      </c>
      <c r="Q105" s="18">
        <v>0</v>
      </c>
      <c r="R105">
        <v>2</v>
      </c>
      <c r="S105" s="18">
        <v>0</v>
      </c>
      <c r="T105">
        <v>0</v>
      </c>
      <c r="U105" s="18">
        <v>0</v>
      </c>
      <c r="V105">
        <v>2</v>
      </c>
      <c r="X105">
        <v>2</v>
      </c>
      <c r="AB105" t="s">
        <v>434</v>
      </c>
    </row>
    <row r="106" spans="1:28" x14ac:dyDescent="0.3">
      <c r="A106" s="7">
        <v>44812</v>
      </c>
      <c r="B106">
        <v>2</v>
      </c>
      <c r="C106" t="s">
        <v>26</v>
      </c>
      <c r="D106">
        <v>2</v>
      </c>
      <c r="E106">
        <v>2</v>
      </c>
      <c r="F106" t="s">
        <v>27</v>
      </c>
      <c r="G106">
        <v>1</v>
      </c>
      <c r="H106" s="8">
        <v>0.39583333333333331</v>
      </c>
      <c r="I106" s="8">
        <v>0.44444444444444442</v>
      </c>
      <c r="J106" s="8">
        <f t="shared" si="3"/>
        <v>4.8611111111111105E-2</v>
      </c>
      <c r="K106" s="12">
        <f t="shared" si="4"/>
        <v>1.1666666666666665</v>
      </c>
      <c r="L106" s="12">
        <f t="shared" si="5"/>
        <v>1.1666666666666665</v>
      </c>
      <c r="M106" t="s">
        <v>28</v>
      </c>
      <c r="N106" t="s">
        <v>435</v>
      </c>
      <c r="O106" s="18" t="s">
        <v>422</v>
      </c>
      <c r="P106">
        <v>0</v>
      </c>
      <c r="Q106" s="18">
        <v>0</v>
      </c>
      <c r="R106">
        <v>0</v>
      </c>
      <c r="S106" s="18">
        <v>0</v>
      </c>
      <c r="T106">
        <v>0</v>
      </c>
      <c r="U106" s="18">
        <v>0</v>
      </c>
    </row>
    <row r="107" spans="1:28" x14ac:dyDescent="0.3">
      <c r="A107" s="7">
        <v>44812</v>
      </c>
      <c r="B107">
        <v>2</v>
      </c>
      <c r="C107" t="s">
        <v>26</v>
      </c>
      <c r="D107">
        <v>2</v>
      </c>
      <c r="E107">
        <v>2</v>
      </c>
      <c r="F107" t="s">
        <v>27</v>
      </c>
      <c r="G107">
        <v>2</v>
      </c>
      <c r="H107" s="8">
        <v>0.43402777777777773</v>
      </c>
      <c r="I107" s="8">
        <v>0.44791666666666669</v>
      </c>
      <c r="J107" s="8">
        <f t="shared" si="3"/>
        <v>1.3888888888888951E-2</v>
      </c>
      <c r="K107" s="12">
        <f t="shared" si="4"/>
        <v>0.33333333333333481</v>
      </c>
      <c r="L107" s="12">
        <f t="shared" si="5"/>
        <v>0.66666666666666963</v>
      </c>
      <c r="M107" t="s">
        <v>28</v>
      </c>
      <c r="N107" t="s">
        <v>436</v>
      </c>
      <c r="O107" s="18" t="s">
        <v>405</v>
      </c>
      <c r="P107">
        <v>0</v>
      </c>
      <c r="Q107" s="18">
        <v>0</v>
      </c>
      <c r="R107">
        <v>0</v>
      </c>
      <c r="S107" s="18">
        <v>0</v>
      </c>
      <c r="T107">
        <v>0</v>
      </c>
      <c r="U107" s="18">
        <v>0</v>
      </c>
    </row>
    <row r="108" spans="1:28" x14ac:dyDescent="0.3">
      <c r="A108" s="7">
        <v>44812</v>
      </c>
      <c r="B108">
        <v>2</v>
      </c>
      <c r="C108" t="s">
        <v>26</v>
      </c>
      <c r="D108">
        <v>2</v>
      </c>
      <c r="E108">
        <v>2</v>
      </c>
      <c r="F108" t="s">
        <v>27</v>
      </c>
      <c r="G108">
        <v>2</v>
      </c>
      <c r="H108" s="8">
        <v>0.33333333333333331</v>
      </c>
      <c r="I108" s="8">
        <v>0.45694444444444443</v>
      </c>
      <c r="J108" s="8">
        <f t="shared" si="3"/>
        <v>0.12361111111111112</v>
      </c>
      <c r="K108" s="12">
        <f t="shared" si="4"/>
        <v>2.9666666666666668</v>
      </c>
      <c r="L108" s="12">
        <f t="shared" si="5"/>
        <v>5.9333333333333336</v>
      </c>
      <c r="M108" t="s">
        <v>28</v>
      </c>
      <c r="N108" t="s">
        <v>411</v>
      </c>
      <c r="O108" s="18" t="s">
        <v>405</v>
      </c>
      <c r="P108">
        <v>0</v>
      </c>
      <c r="Q108" s="18">
        <v>0</v>
      </c>
      <c r="R108">
        <v>0</v>
      </c>
      <c r="S108" s="18">
        <v>0</v>
      </c>
      <c r="T108">
        <v>0</v>
      </c>
      <c r="U108" s="18">
        <v>0</v>
      </c>
    </row>
    <row r="109" spans="1:28" x14ac:dyDescent="0.3">
      <c r="A109" s="7">
        <v>44812</v>
      </c>
      <c r="B109">
        <v>2</v>
      </c>
      <c r="C109" t="s">
        <v>26</v>
      </c>
      <c r="D109">
        <v>2</v>
      </c>
      <c r="E109">
        <v>2</v>
      </c>
      <c r="F109" t="s">
        <v>27</v>
      </c>
      <c r="G109">
        <v>2</v>
      </c>
      <c r="H109" s="8">
        <v>0.41666666666666669</v>
      </c>
      <c r="I109" s="8">
        <v>0.45833333333333331</v>
      </c>
      <c r="J109" s="8">
        <f t="shared" si="3"/>
        <v>4.166666666666663E-2</v>
      </c>
      <c r="K109" s="12">
        <f t="shared" si="4"/>
        <v>0.99999999999999911</v>
      </c>
      <c r="L109" s="12">
        <f t="shared" si="5"/>
        <v>1.9999999999999982</v>
      </c>
      <c r="M109" t="s">
        <v>28</v>
      </c>
      <c r="N109" t="s">
        <v>404</v>
      </c>
      <c r="O109" s="18" t="s">
        <v>410</v>
      </c>
      <c r="P109">
        <v>0</v>
      </c>
      <c r="Q109" s="18">
        <v>0</v>
      </c>
      <c r="R109">
        <v>0</v>
      </c>
      <c r="S109" s="18">
        <v>0</v>
      </c>
      <c r="T109">
        <v>0</v>
      </c>
      <c r="U109" s="18">
        <v>0</v>
      </c>
    </row>
    <row r="110" spans="1:28" x14ac:dyDescent="0.3">
      <c r="A110" s="7">
        <v>44812</v>
      </c>
      <c r="B110">
        <v>2</v>
      </c>
      <c r="C110" t="s">
        <v>26</v>
      </c>
      <c r="D110">
        <v>2</v>
      </c>
      <c r="E110">
        <v>3</v>
      </c>
      <c r="F110" t="s">
        <v>27</v>
      </c>
      <c r="G110">
        <v>2</v>
      </c>
      <c r="H110" s="8">
        <v>0.45833333333333331</v>
      </c>
      <c r="I110" s="8">
        <v>0.46527777777777773</v>
      </c>
      <c r="J110" s="8">
        <f t="shared" si="3"/>
        <v>6.9444444444444198E-3</v>
      </c>
      <c r="K110" s="12">
        <f t="shared" si="4"/>
        <v>0.16666666666666607</v>
      </c>
      <c r="L110" s="12">
        <f t="shared" si="5"/>
        <v>0.33333333333333215</v>
      </c>
      <c r="M110" t="s">
        <v>28</v>
      </c>
      <c r="N110" t="s">
        <v>411</v>
      </c>
      <c r="O110" s="18" t="s">
        <v>410</v>
      </c>
      <c r="P110">
        <v>0</v>
      </c>
      <c r="Q110" s="18">
        <v>0</v>
      </c>
      <c r="R110">
        <v>0</v>
      </c>
      <c r="S110" s="18">
        <v>0</v>
      </c>
      <c r="T110">
        <v>0</v>
      </c>
      <c r="U110" s="18">
        <v>0</v>
      </c>
    </row>
    <row r="111" spans="1:28" s="26" customFormat="1" x14ac:dyDescent="0.3">
      <c r="A111" s="25">
        <v>44812</v>
      </c>
      <c r="B111" s="26">
        <v>2</v>
      </c>
      <c r="C111" s="26" t="s">
        <v>26</v>
      </c>
      <c r="D111" s="26">
        <v>2</v>
      </c>
      <c r="E111" s="26">
        <v>5</v>
      </c>
      <c r="F111" s="26" t="s">
        <v>27</v>
      </c>
      <c r="G111" s="26">
        <v>2</v>
      </c>
      <c r="H111" s="27">
        <v>0.4861111111111111</v>
      </c>
      <c r="I111" s="27">
        <v>0.49305555555555558</v>
      </c>
      <c r="J111" s="8">
        <f t="shared" si="3"/>
        <v>6.9444444444444753E-3</v>
      </c>
      <c r="K111" s="12">
        <f t="shared" si="4"/>
        <v>0.16666666666666741</v>
      </c>
      <c r="L111" s="12">
        <f t="shared" si="5"/>
        <v>0.33333333333333481</v>
      </c>
      <c r="M111" s="26" t="s">
        <v>28</v>
      </c>
      <c r="N111" s="26" t="s">
        <v>411</v>
      </c>
      <c r="O111" s="28" t="s">
        <v>407</v>
      </c>
      <c r="P111" s="26">
        <v>0</v>
      </c>
      <c r="Q111" s="28">
        <v>0</v>
      </c>
      <c r="R111" s="26">
        <v>0</v>
      </c>
      <c r="S111" s="28">
        <v>0</v>
      </c>
      <c r="T111" s="26">
        <v>0</v>
      </c>
      <c r="U111" s="28">
        <v>0</v>
      </c>
    </row>
    <row r="112" spans="1:28" x14ac:dyDescent="0.3">
      <c r="A112" s="7">
        <v>44812</v>
      </c>
      <c r="B112">
        <v>2</v>
      </c>
      <c r="C112" t="s">
        <v>42</v>
      </c>
      <c r="D112">
        <v>2</v>
      </c>
      <c r="E112">
        <v>5</v>
      </c>
      <c r="F112" t="s">
        <v>27</v>
      </c>
      <c r="G112">
        <v>1</v>
      </c>
      <c r="H112" s="8">
        <v>0.60416666666666663</v>
      </c>
      <c r="I112" s="8">
        <v>0.65625</v>
      </c>
      <c r="J112" s="8">
        <f t="shared" si="3"/>
        <v>5.208333333333337E-2</v>
      </c>
      <c r="K112" s="12">
        <f t="shared" si="4"/>
        <v>1.2500000000000009</v>
      </c>
      <c r="L112" s="12">
        <f t="shared" si="5"/>
        <v>1.2500000000000009</v>
      </c>
      <c r="M112" t="s">
        <v>25</v>
      </c>
      <c r="N112" t="s">
        <v>404</v>
      </c>
      <c r="O112" s="18" t="s">
        <v>422</v>
      </c>
      <c r="P112">
        <v>0</v>
      </c>
      <c r="Q112" s="18">
        <v>0</v>
      </c>
      <c r="R112">
        <v>0</v>
      </c>
      <c r="S112" s="18">
        <v>0</v>
      </c>
      <c r="T112">
        <v>0</v>
      </c>
      <c r="U112" s="18">
        <v>0</v>
      </c>
    </row>
    <row r="113" spans="1:21" x14ac:dyDescent="0.3">
      <c r="A113" s="7">
        <v>44812</v>
      </c>
      <c r="B113">
        <v>2</v>
      </c>
      <c r="C113" t="s">
        <v>42</v>
      </c>
      <c r="D113">
        <v>1</v>
      </c>
      <c r="E113">
        <v>1</v>
      </c>
      <c r="F113" t="s">
        <v>35</v>
      </c>
      <c r="G113">
        <v>2</v>
      </c>
      <c r="H113" s="8">
        <v>0.625</v>
      </c>
      <c r="I113" s="8">
        <v>0.73611111111111116</v>
      </c>
      <c r="J113" s="8">
        <f t="shared" si="3"/>
        <v>0.11111111111111116</v>
      </c>
      <c r="K113" s="12">
        <f t="shared" si="4"/>
        <v>2.6666666666666679</v>
      </c>
      <c r="L113" s="12">
        <f t="shared" si="5"/>
        <v>5.3333333333333357</v>
      </c>
      <c r="M113" t="s">
        <v>25</v>
      </c>
      <c r="N113" t="s">
        <v>412</v>
      </c>
      <c r="O113" s="18" t="s">
        <v>92</v>
      </c>
      <c r="P113">
        <v>0</v>
      </c>
      <c r="Q113" s="18">
        <v>0</v>
      </c>
      <c r="R113">
        <v>0</v>
      </c>
      <c r="S113" s="18">
        <v>0</v>
      </c>
      <c r="T113">
        <v>0</v>
      </c>
      <c r="U113" s="18">
        <v>0</v>
      </c>
    </row>
    <row r="114" spans="1:21" s="26" customFormat="1" x14ac:dyDescent="0.3">
      <c r="A114" s="25">
        <v>44812</v>
      </c>
      <c r="B114" s="26">
        <v>2</v>
      </c>
      <c r="C114" s="26" t="s">
        <v>42</v>
      </c>
      <c r="D114" s="26">
        <v>1</v>
      </c>
      <c r="E114" s="26">
        <v>1</v>
      </c>
      <c r="F114" s="26" t="s">
        <v>35</v>
      </c>
      <c r="G114" s="26">
        <v>1</v>
      </c>
      <c r="H114" s="27">
        <v>0.60416666666666663</v>
      </c>
      <c r="I114" s="27">
        <v>0.73611111111111116</v>
      </c>
      <c r="J114" s="8">
        <f t="shared" si="3"/>
        <v>0.13194444444444453</v>
      </c>
      <c r="K114" s="12">
        <f t="shared" si="4"/>
        <v>3.1666666666666687</v>
      </c>
      <c r="L114" s="12">
        <f t="shared" si="5"/>
        <v>3.1666666666666687</v>
      </c>
      <c r="M114" s="26" t="s">
        <v>25</v>
      </c>
      <c r="N114" s="26" t="s">
        <v>412</v>
      </c>
      <c r="O114" s="28" t="s">
        <v>92</v>
      </c>
      <c r="P114" s="26">
        <v>0</v>
      </c>
      <c r="Q114" s="28">
        <v>0</v>
      </c>
      <c r="R114" s="26">
        <v>0</v>
      </c>
      <c r="S114" s="28">
        <v>0</v>
      </c>
      <c r="T114" s="26">
        <v>0</v>
      </c>
      <c r="U114" s="28">
        <v>0</v>
      </c>
    </row>
    <row r="115" spans="1:21" x14ac:dyDescent="0.3">
      <c r="A115" s="7">
        <v>44813</v>
      </c>
      <c r="B115">
        <v>2</v>
      </c>
      <c r="C115" t="s">
        <v>42</v>
      </c>
      <c r="D115">
        <v>2</v>
      </c>
      <c r="E115">
        <v>4</v>
      </c>
      <c r="F115" t="s">
        <v>27</v>
      </c>
      <c r="G115">
        <v>1</v>
      </c>
      <c r="H115" s="8">
        <v>0.5625</v>
      </c>
      <c r="I115" s="8">
        <v>0.64583333333333337</v>
      </c>
      <c r="J115" s="8">
        <f t="shared" si="3"/>
        <v>8.333333333333337E-2</v>
      </c>
      <c r="K115" s="12">
        <f t="shared" si="4"/>
        <v>2.0000000000000009</v>
      </c>
      <c r="L115" s="12">
        <f t="shared" si="5"/>
        <v>2.0000000000000009</v>
      </c>
      <c r="M115" t="s">
        <v>25</v>
      </c>
      <c r="N115" t="s">
        <v>411</v>
      </c>
      <c r="O115" s="18" t="s">
        <v>422</v>
      </c>
      <c r="P115">
        <v>0</v>
      </c>
      <c r="Q115" s="18">
        <v>0</v>
      </c>
      <c r="R115">
        <v>0</v>
      </c>
      <c r="S115" s="18">
        <v>0</v>
      </c>
      <c r="T115">
        <v>0</v>
      </c>
      <c r="U115" s="18">
        <v>0</v>
      </c>
    </row>
    <row r="116" spans="1:21" x14ac:dyDescent="0.3">
      <c r="A116" s="7">
        <v>44813</v>
      </c>
      <c r="B116">
        <v>2</v>
      </c>
      <c r="C116" t="s">
        <v>42</v>
      </c>
      <c r="D116">
        <v>2</v>
      </c>
      <c r="E116">
        <v>4</v>
      </c>
      <c r="F116" t="s">
        <v>27</v>
      </c>
      <c r="G116">
        <v>1</v>
      </c>
      <c r="H116" s="8">
        <v>0.60416666666666663</v>
      </c>
      <c r="I116" s="8">
        <v>0.65277777777777779</v>
      </c>
      <c r="J116" s="8">
        <f t="shared" si="3"/>
        <v>4.861111111111116E-2</v>
      </c>
      <c r="K116" s="12">
        <f t="shared" si="4"/>
        <v>1.1666666666666679</v>
      </c>
      <c r="L116" s="12">
        <f t="shared" si="5"/>
        <v>1.1666666666666679</v>
      </c>
      <c r="M116" t="s">
        <v>28</v>
      </c>
      <c r="N116" t="s">
        <v>415</v>
      </c>
      <c r="O116" s="18" t="s">
        <v>92</v>
      </c>
      <c r="P116">
        <v>0</v>
      </c>
      <c r="Q116" s="18">
        <v>0</v>
      </c>
      <c r="R116">
        <v>0</v>
      </c>
      <c r="S116" s="18">
        <v>0</v>
      </c>
      <c r="T116">
        <v>0</v>
      </c>
      <c r="U116" s="18">
        <v>0</v>
      </c>
    </row>
    <row r="117" spans="1:21" x14ac:dyDescent="0.3">
      <c r="A117" s="7">
        <v>44813</v>
      </c>
      <c r="B117">
        <v>2</v>
      </c>
      <c r="C117" t="s">
        <v>42</v>
      </c>
      <c r="D117">
        <v>2</v>
      </c>
      <c r="E117">
        <v>5</v>
      </c>
      <c r="F117" t="s">
        <v>27</v>
      </c>
      <c r="G117">
        <v>1</v>
      </c>
      <c r="H117" s="8">
        <v>0.58333333333333337</v>
      </c>
      <c r="I117" s="8">
        <v>0.67013888888888884</v>
      </c>
      <c r="J117" s="8">
        <f t="shared" si="3"/>
        <v>8.6805555555555469E-2</v>
      </c>
      <c r="K117" s="12">
        <f t="shared" si="4"/>
        <v>2.0833333333333313</v>
      </c>
      <c r="L117" s="12">
        <f t="shared" si="5"/>
        <v>2.0833333333333313</v>
      </c>
      <c r="M117" t="s">
        <v>28</v>
      </c>
      <c r="N117" t="s">
        <v>411</v>
      </c>
      <c r="O117" s="18" t="s">
        <v>407</v>
      </c>
      <c r="P117">
        <v>0</v>
      </c>
      <c r="Q117" s="18">
        <v>0</v>
      </c>
      <c r="R117">
        <v>0</v>
      </c>
      <c r="S117" s="18">
        <v>0</v>
      </c>
      <c r="T117">
        <v>0</v>
      </c>
      <c r="U117" s="18">
        <v>0</v>
      </c>
    </row>
    <row r="118" spans="1:21" x14ac:dyDescent="0.3">
      <c r="A118" s="7">
        <v>44813</v>
      </c>
      <c r="B118">
        <v>2</v>
      </c>
      <c r="C118" t="s">
        <v>42</v>
      </c>
      <c r="D118">
        <v>2</v>
      </c>
      <c r="E118">
        <v>3</v>
      </c>
      <c r="F118" t="s">
        <v>27</v>
      </c>
      <c r="G118">
        <v>1</v>
      </c>
      <c r="H118" s="8">
        <v>0.65277777777777779</v>
      </c>
      <c r="I118" s="8">
        <v>0.69652777777777775</v>
      </c>
      <c r="J118" s="8">
        <f t="shared" si="3"/>
        <v>4.3749999999999956E-2</v>
      </c>
      <c r="K118" s="12">
        <f t="shared" si="4"/>
        <v>1.0499999999999989</v>
      </c>
      <c r="L118" s="12">
        <f t="shared" si="5"/>
        <v>1.0499999999999989</v>
      </c>
      <c r="M118" t="s">
        <v>28</v>
      </c>
      <c r="N118" t="s">
        <v>408</v>
      </c>
      <c r="O118" s="18" t="s">
        <v>405</v>
      </c>
      <c r="P118">
        <v>0</v>
      </c>
      <c r="Q118" s="18">
        <v>0</v>
      </c>
      <c r="R118">
        <v>0</v>
      </c>
      <c r="S118" s="18">
        <v>0</v>
      </c>
      <c r="T118">
        <v>0</v>
      </c>
      <c r="U118" s="18">
        <v>0</v>
      </c>
    </row>
    <row r="119" spans="1:21" x14ac:dyDescent="0.3">
      <c r="A119" s="7">
        <v>44813</v>
      </c>
      <c r="B119">
        <v>2</v>
      </c>
      <c r="C119" t="s">
        <v>42</v>
      </c>
      <c r="D119">
        <v>2</v>
      </c>
      <c r="E119">
        <v>3</v>
      </c>
      <c r="F119" t="s">
        <v>27</v>
      </c>
      <c r="G119">
        <v>1</v>
      </c>
      <c r="H119" s="8">
        <v>0.65277777777777779</v>
      </c>
      <c r="I119" s="8">
        <v>0.69652777777777775</v>
      </c>
      <c r="J119" s="8">
        <f t="shared" si="3"/>
        <v>4.3749999999999956E-2</v>
      </c>
      <c r="K119" s="12">
        <f t="shared" si="4"/>
        <v>1.0499999999999989</v>
      </c>
      <c r="L119" s="12">
        <f t="shared" si="5"/>
        <v>1.0499999999999989</v>
      </c>
      <c r="M119" t="s">
        <v>28</v>
      </c>
      <c r="N119" t="s">
        <v>411</v>
      </c>
      <c r="O119" s="18" t="s">
        <v>405</v>
      </c>
      <c r="P119">
        <v>0</v>
      </c>
      <c r="Q119" s="18">
        <v>0</v>
      </c>
      <c r="R119">
        <v>0</v>
      </c>
      <c r="S119" s="18">
        <v>0</v>
      </c>
      <c r="T119">
        <v>0</v>
      </c>
      <c r="U119" s="18">
        <v>0</v>
      </c>
    </row>
    <row r="120" spans="1:21" x14ac:dyDescent="0.3">
      <c r="A120" s="7">
        <v>44813</v>
      </c>
      <c r="B120">
        <v>2</v>
      </c>
      <c r="C120" t="s">
        <v>42</v>
      </c>
      <c r="D120">
        <v>2</v>
      </c>
      <c r="E120">
        <v>3</v>
      </c>
      <c r="F120" t="s">
        <v>27</v>
      </c>
      <c r="G120">
        <v>1</v>
      </c>
      <c r="H120" s="8">
        <v>0.64583333333333337</v>
      </c>
      <c r="I120" s="8">
        <v>0.69791666666666663</v>
      </c>
      <c r="J120" s="8">
        <f t="shared" si="3"/>
        <v>5.2083333333333259E-2</v>
      </c>
      <c r="K120" s="12">
        <f t="shared" si="4"/>
        <v>1.2499999999999982</v>
      </c>
      <c r="L120" s="12">
        <f t="shared" si="5"/>
        <v>1.2499999999999982</v>
      </c>
      <c r="M120" t="s">
        <v>28</v>
      </c>
      <c r="N120" t="s">
        <v>411</v>
      </c>
      <c r="O120" s="18" t="s">
        <v>422</v>
      </c>
      <c r="P120">
        <v>0</v>
      </c>
      <c r="Q120" s="18">
        <v>0</v>
      </c>
      <c r="R120">
        <v>0</v>
      </c>
      <c r="S120" s="18">
        <v>0</v>
      </c>
      <c r="T120">
        <v>0</v>
      </c>
      <c r="U120" s="18">
        <v>0</v>
      </c>
    </row>
    <row r="121" spans="1:21" x14ac:dyDescent="0.3">
      <c r="A121" s="7">
        <v>44813</v>
      </c>
      <c r="B121">
        <v>2</v>
      </c>
      <c r="C121" t="s">
        <v>42</v>
      </c>
      <c r="D121">
        <v>2</v>
      </c>
      <c r="E121">
        <v>2</v>
      </c>
      <c r="F121" t="s">
        <v>27</v>
      </c>
      <c r="G121">
        <v>1</v>
      </c>
      <c r="H121" s="8">
        <v>0.65555555555555556</v>
      </c>
      <c r="I121" s="8">
        <v>0.72222222222222221</v>
      </c>
      <c r="J121" s="8">
        <f t="shared" si="3"/>
        <v>6.6666666666666652E-2</v>
      </c>
      <c r="K121" s="12">
        <f t="shared" si="4"/>
        <v>1.5999999999999996</v>
      </c>
      <c r="L121" s="12">
        <f t="shared" si="5"/>
        <v>1.5999999999999996</v>
      </c>
      <c r="M121" t="s">
        <v>25</v>
      </c>
      <c r="N121" t="s">
        <v>404</v>
      </c>
      <c r="O121" s="18" t="s">
        <v>422</v>
      </c>
      <c r="P121">
        <v>0</v>
      </c>
      <c r="Q121" s="18">
        <v>0</v>
      </c>
      <c r="R121">
        <v>0</v>
      </c>
      <c r="S121" s="18">
        <v>0</v>
      </c>
      <c r="T121">
        <v>0</v>
      </c>
      <c r="U121" s="18">
        <v>0</v>
      </c>
    </row>
    <row r="122" spans="1:21" x14ac:dyDescent="0.3">
      <c r="A122" s="7">
        <v>44813</v>
      </c>
      <c r="B122">
        <v>2</v>
      </c>
      <c r="C122" t="s">
        <v>42</v>
      </c>
      <c r="D122">
        <v>2</v>
      </c>
      <c r="E122">
        <v>2</v>
      </c>
      <c r="F122" t="s">
        <v>27</v>
      </c>
      <c r="G122">
        <v>1</v>
      </c>
      <c r="H122" s="8">
        <v>0.70138888888888884</v>
      </c>
      <c r="I122" s="8">
        <v>0.72222222222222221</v>
      </c>
      <c r="J122" s="8">
        <f t="shared" si="3"/>
        <v>2.083333333333337E-2</v>
      </c>
      <c r="K122" s="12">
        <f t="shared" si="4"/>
        <v>0.50000000000000089</v>
      </c>
      <c r="L122" s="12">
        <f t="shared" si="5"/>
        <v>0.50000000000000089</v>
      </c>
      <c r="M122" t="s">
        <v>28</v>
      </c>
      <c r="N122" t="s">
        <v>415</v>
      </c>
      <c r="O122" s="18" t="s">
        <v>422</v>
      </c>
      <c r="P122">
        <v>0</v>
      </c>
      <c r="Q122" s="18">
        <v>0</v>
      </c>
      <c r="R122">
        <v>0</v>
      </c>
      <c r="S122" s="18">
        <v>0</v>
      </c>
      <c r="T122">
        <v>0</v>
      </c>
      <c r="U122" s="18">
        <v>0</v>
      </c>
    </row>
    <row r="123" spans="1:21" x14ac:dyDescent="0.3">
      <c r="A123" s="7">
        <v>44813</v>
      </c>
      <c r="B123">
        <v>2</v>
      </c>
      <c r="C123" t="s">
        <v>42</v>
      </c>
      <c r="D123">
        <v>1</v>
      </c>
      <c r="E123">
        <v>4</v>
      </c>
      <c r="F123" t="s">
        <v>27</v>
      </c>
      <c r="G123">
        <v>1</v>
      </c>
      <c r="H123" s="8">
        <v>0.625</v>
      </c>
      <c r="I123" s="8">
        <v>0.74305555555555547</v>
      </c>
      <c r="J123" s="8">
        <f t="shared" si="3"/>
        <v>0.11805555555555547</v>
      </c>
      <c r="K123" s="12">
        <f t="shared" si="4"/>
        <v>2.8333333333333313</v>
      </c>
      <c r="L123" s="12">
        <f t="shared" si="5"/>
        <v>2.8333333333333313</v>
      </c>
      <c r="M123" t="s">
        <v>25</v>
      </c>
      <c r="N123" t="s">
        <v>416</v>
      </c>
      <c r="O123" s="18" t="s">
        <v>92</v>
      </c>
      <c r="P123">
        <v>0</v>
      </c>
      <c r="Q123" s="18">
        <v>0</v>
      </c>
      <c r="R123">
        <v>0</v>
      </c>
      <c r="S123" s="18">
        <v>0</v>
      </c>
      <c r="T123">
        <v>0</v>
      </c>
      <c r="U123" s="18">
        <v>0</v>
      </c>
    </row>
    <row r="124" spans="1:21" x14ac:dyDescent="0.3">
      <c r="A124" s="7">
        <v>44813</v>
      </c>
      <c r="B124">
        <v>2</v>
      </c>
      <c r="C124" t="s">
        <v>42</v>
      </c>
      <c r="D124">
        <v>1</v>
      </c>
      <c r="E124">
        <v>4</v>
      </c>
      <c r="F124" t="s">
        <v>27</v>
      </c>
      <c r="G124">
        <v>2</v>
      </c>
      <c r="H124" s="8">
        <v>0.72222222222222221</v>
      </c>
      <c r="I124" s="8">
        <v>0.74305555555555547</v>
      </c>
      <c r="J124" s="8">
        <f t="shared" si="3"/>
        <v>2.0833333333333259E-2</v>
      </c>
      <c r="K124" s="12">
        <f t="shared" si="4"/>
        <v>0.49999999999999822</v>
      </c>
      <c r="L124" s="12">
        <f t="shared" si="5"/>
        <v>0.99999999999999645</v>
      </c>
      <c r="M124" t="s">
        <v>28</v>
      </c>
      <c r="N124" t="s">
        <v>415</v>
      </c>
      <c r="O124" s="18" t="s">
        <v>407</v>
      </c>
      <c r="P124">
        <v>0</v>
      </c>
      <c r="Q124" s="18">
        <v>0</v>
      </c>
      <c r="R124">
        <v>0</v>
      </c>
      <c r="S124" s="18">
        <v>0</v>
      </c>
      <c r="T124">
        <v>0</v>
      </c>
      <c r="U124" s="18">
        <v>0</v>
      </c>
    </row>
    <row r="125" spans="1:21" x14ac:dyDescent="0.3">
      <c r="A125" s="7">
        <v>44813</v>
      </c>
      <c r="B125">
        <v>2</v>
      </c>
      <c r="C125" t="s">
        <v>42</v>
      </c>
      <c r="D125">
        <v>1</v>
      </c>
      <c r="E125">
        <v>4</v>
      </c>
      <c r="F125" t="s">
        <v>27</v>
      </c>
      <c r="G125">
        <v>3</v>
      </c>
      <c r="H125" s="8">
        <v>0.73611111111111116</v>
      </c>
      <c r="I125" s="8">
        <v>0.74652777777777779</v>
      </c>
      <c r="J125" s="8">
        <f t="shared" si="3"/>
        <v>1.041666666666663E-2</v>
      </c>
      <c r="K125" s="12">
        <f t="shared" si="4"/>
        <v>0.24999999999999911</v>
      </c>
      <c r="L125" s="12">
        <f t="shared" si="5"/>
        <v>0.74999999999999734</v>
      </c>
      <c r="M125" t="s">
        <v>28</v>
      </c>
      <c r="N125" t="s">
        <v>426</v>
      </c>
      <c r="O125" s="18" t="s">
        <v>92</v>
      </c>
      <c r="P125">
        <v>0</v>
      </c>
      <c r="Q125" s="18">
        <v>0</v>
      </c>
      <c r="R125">
        <v>0</v>
      </c>
      <c r="S125" s="18">
        <v>0</v>
      </c>
      <c r="T125">
        <v>0</v>
      </c>
      <c r="U125" s="18">
        <v>0</v>
      </c>
    </row>
    <row r="126" spans="1:21" x14ac:dyDescent="0.3">
      <c r="A126" s="7">
        <v>44813</v>
      </c>
      <c r="B126">
        <v>2</v>
      </c>
      <c r="C126" t="s">
        <v>42</v>
      </c>
      <c r="D126">
        <v>1</v>
      </c>
      <c r="E126">
        <v>4</v>
      </c>
      <c r="F126" t="s">
        <v>27</v>
      </c>
      <c r="G126">
        <v>2</v>
      </c>
      <c r="H126" s="8">
        <v>0.72916666666666663</v>
      </c>
      <c r="I126" s="8">
        <v>0.75</v>
      </c>
      <c r="J126" s="8">
        <f t="shared" si="3"/>
        <v>2.083333333333337E-2</v>
      </c>
      <c r="K126" s="12">
        <f t="shared" si="4"/>
        <v>0.50000000000000089</v>
      </c>
      <c r="L126" s="12">
        <f t="shared" si="5"/>
        <v>1.0000000000000018</v>
      </c>
      <c r="M126" t="s">
        <v>28</v>
      </c>
      <c r="N126" t="s">
        <v>415</v>
      </c>
      <c r="O126" s="18" t="s">
        <v>92</v>
      </c>
      <c r="P126">
        <v>0</v>
      </c>
      <c r="Q126" s="18">
        <v>0</v>
      </c>
      <c r="R126">
        <v>0</v>
      </c>
      <c r="S126" s="18">
        <v>0</v>
      </c>
      <c r="T126">
        <v>0</v>
      </c>
      <c r="U126" s="18">
        <v>0</v>
      </c>
    </row>
    <row r="127" spans="1:21" x14ac:dyDescent="0.3">
      <c r="A127" s="7">
        <v>44813</v>
      </c>
      <c r="B127">
        <v>2</v>
      </c>
      <c r="C127" t="s">
        <v>42</v>
      </c>
      <c r="D127">
        <v>1</v>
      </c>
      <c r="E127">
        <v>4</v>
      </c>
      <c r="F127" t="s">
        <v>27</v>
      </c>
      <c r="G127">
        <v>2</v>
      </c>
      <c r="H127" s="8">
        <v>0.73958333333333337</v>
      </c>
      <c r="I127" s="8">
        <v>0.75</v>
      </c>
      <c r="J127" s="8">
        <f t="shared" si="3"/>
        <v>1.041666666666663E-2</v>
      </c>
      <c r="K127" s="12">
        <f t="shared" si="4"/>
        <v>0.24999999999999911</v>
      </c>
      <c r="L127" s="12">
        <f t="shared" si="5"/>
        <v>0.49999999999999822</v>
      </c>
      <c r="M127" t="s">
        <v>28</v>
      </c>
      <c r="N127" t="s">
        <v>415</v>
      </c>
      <c r="O127" s="18" t="s">
        <v>92</v>
      </c>
      <c r="P127">
        <v>0</v>
      </c>
      <c r="Q127" s="18">
        <v>0</v>
      </c>
      <c r="R127">
        <v>0</v>
      </c>
      <c r="S127" s="18">
        <v>0</v>
      </c>
      <c r="T127">
        <v>0</v>
      </c>
      <c r="U127" s="18">
        <v>0</v>
      </c>
    </row>
    <row r="128" spans="1:21" x14ac:dyDescent="0.3">
      <c r="A128" s="7">
        <v>44813</v>
      </c>
      <c r="B128">
        <v>2</v>
      </c>
      <c r="C128" t="s">
        <v>42</v>
      </c>
      <c r="D128">
        <v>1</v>
      </c>
      <c r="E128">
        <v>2</v>
      </c>
      <c r="F128" t="s">
        <v>27</v>
      </c>
      <c r="G128">
        <v>1</v>
      </c>
      <c r="H128" s="8">
        <v>0.73958333333333337</v>
      </c>
      <c r="I128" s="8">
        <v>0.76180555555555562</v>
      </c>
      <c r="J128" s="8">
        <f t="shared" si="3"/>
        <v>2.2222222222222254E-2</v>
      </c>
      <c r="K128" s="12">
        <f t="shared" si="4"/>
        <v>0.5333333333333341</v>
      </c>
      <c r="L128" s="12">
        <f t="shared" si="5"/>
        <v>0.5333333333333341</v>
      </c>
      <c r="M128" t="s">
        <v>28</v>
      </c>
      <c r="N128" t="s">
        <v>408</v>
      </c>
      <c r="O128" s="18" t="s">
        <v>92</v>
      </c>
      <c r="P128">
        <v>0</v>
      </c>
      <c r="Q128" s="18">
        <v>0</v>
      </c>
      <c r="R128">
        <v>0</v>
      </c>
      <c r="S128" s="18">
        <v>0</v>
      </c>
      <c r="T128">
        <v>0</v>
      </c>
      <c r="U128" s="18">
        <v>0</v>
      </c>
    </row>
    <row r="129" spans="1:28" x14ac:dyDescent="0.3">
      <c r="A129" s="7">
        <v>44813</v>
      </c>
      <c r="B129">
        <v>2</v>
      </c>
      <c r="C129" t="s">
        <v>42</v>
      </c>
      <c r="D129">
        <v>1</v>
      </c>
      <c r="E129">
        <v>2</v>
      </c>
      <c r="F129" t="s">
        <v>27</v>
      </c>
      <c r="G129">
        <v>1</v>
      </c>
      <c r="H129" s="8">
        <v>0.64583333333333337</v>
      </c>
      <c r="I129" s="8">
        <v>0.76736111111111116</v>
      </c>
      <c r="J129" s="8">
        <f t="shared" si="3"/>
        <v>0.12152777777777779</v>
      </c>
      <c r="K129" s="12">
        <f t="shared" si="4"/>
        <v>2.916666666666667</v>
      </c>
      <c r="L129" s="12">
        <f t="shared" si="5"/>
        <v>2.916666666666667</v>
      </c>
      <c r="M129" t="s">
        <v>28</v>
      </c>
      <c r="N129" t="s">
        <v>408</v>
      </c>
      <c r="O129" s="18" t="s">
        <v>92</v>
      </c>
      <c r="P129">
        <v>0</v>
      </c>
      <c r="Q129" s="18">
        <v>0</v>
      </c>
      <c r="R129">
        <v>0</v>
      </c>
      <c r="S129" s="18">
        <v>0</v>
      </c>
      <c r="T129">
        <v>0</v>
      </c>
      <c r="U129" s="18">
        <v>0</v>
      </c>
    </row>
    <row r="130" spans="1:28" x14ac:dyDescent="0.3">
      <c r="A130" s="7">
        <v>44813</v>
      </c>
      <c r="B130">
        <v>2</v>
      </c>
      <c r="C130" t="s">
        <v>42</v>
      </c>
      <c r="D130">
        <v>1</v>
      </c>
      <c r="E130">
        <v>2</v>
      </c>
      <c r="F130" t="s">
        <v>27</v>
      </c>
      <c r="G130">
        <v>1</v>
      </c>
      <c r="H130" s="8">
        <v>0.72916666666666663</v>
      </c>
      <c r="I130" s="8">
        <v>0.77777777777777779</v>
      </c>
      <c r="J130" s="8">
        <f t="shared" si="3"/>
        <v>4.861111111111116E-2</v>
      </c>
      <c r="K130" s="12">
        <f t="shared" si="4"/>
        <v>1.1666666666666679</v>
      </c>
      <c r="L130" s="12">
        <f t="shared" si="5"/>
        <v>1.1666666666666679</v>
      </c>
      <c r="M130" t="s">
        <v>25</v>
      </c>
      <c r="N130" t="s">
        <v>426</v>
      </c>
      <c r="O130" s="18" t="s">
        <v>405</v>
      </c>
      <c r="P130">
        <v>0</v>
      </c>
      <c r="Q130" s="18">
        <v>0</v>
      </c>
      <c r="R130">
        <v>0</v>
      </c>
      <c r="S130" s="18">
        <v>0</v>
      </c>
      <c r="T130">
        <v>0</v>
      </c>
      <c r="U130" s="18">
        <v>0</v>
      </c>
    </row>
    <row r="131" spans="1:28" s="26" customFormat="1" x14ac:dyDescent="0.3">
      <c r="A131" s="25">
        <v>44813</v>
      </c>
      <c r="B131" s="26">
        <v>2</v>
      </c>
      <c r="C131" s="26" t="s">
        <v>42</v>
      </c>
      <c r="D131" s="26">
        <v>1</v>
      </c>
      <c r="E131" s="26">
        <v>2</v>
      </c>
      <c r="F131" s="26" t="s">
        <v>35</v>
      </c>
      <c r="G131" s="26">
        <v>1</v>
      </c>
      <c r="H131" s="27">
        <v>0.64583333333333337</v>
      </c>
      <c r="I131" s="27">
        <v>0.77777777777777779</v>
      </c>
      <c r="J131" s="8">
        <f t="shared" ref="J131:J194" si="6">I131-H131</f>
        <v>0.13194444444444442</v>
      </c>
      <c r="K131" s="12">
        <f t="shared" ref="K131:K194" si="7">(J131-INT(J131))*24</f>
        <v>3.1666666666666661</v>
      </c>
      <c r="L131" s="12">
        <f t="shared" si="5"/>
        <v>3.1666666666666661</v>
      </c>
      <c r="M131" s="26" t="s">
        <v>25</v>
      </c>
      <c r="N131" s="26" t="s">
        <v>412</v>
      </c>
      <c r="O131" s="28" t="s">
        <v>92</v>
      </c>
      <c r="P131" s="26">
        <v>0</v>
      </c>
      <c r="Q131" s="28">
        <v>0</v>
      </c>
      <c r="R131" s="26">
        <v>0</v>
      </c>
      <c r="S131" s="28">
        <v>0</v>
      </c>
      <c r="T131" s="26">
        <v>0</v>
      </c>
      <c r="U131" s="28">
        <v>0</v>
      </c>
    </row>
    <row r="132" spans="1:28" x14ac:dyDescent="0.3">
      <c r="A132" s="7">
        <v>44814</v>
      </c>
      <c r="B132">
        <v>2</v>
      </c>
      <c r="C132" t="s">
        <v>26</v>
      </c>
      <c r="D132">
        <v>1</v>
      </c>
      <c r="E132">
        <v>1</v>
      </c>
      <c r="F132" t="s">
        <v>35</v>
      </c>
      <c r="G132">
        <v>2</v>
      </c>
      <c r="H132" s="8">
        <v>0.25</v>
      </c>
      <c r="I132" s="8">
        <v>0.41666666666666669</v>
      </c>
      <c r="J132" s="8">
        <f t="shared" si="6"/>
        <v>0.16666666666666669</v>
      </c>
      <c r="K132" s="12">
        <f t="shared" si="7"/>
        <v>4</v>
      </c>
      <c r="L132" s="12">
        <f t="shared" ref="L132:L195" si="8">G132*K132</f>
        <v>8</v>
      </c>
      <c r="M132" t="s">
        <v>25</v>
      </c>
      <c r="N132" t="s">
        <v>413</v>
      </c>
      <c r="O132" s="18" t="s">
        <v>92</v>
      </c>
      <c r="P132">
        <v>0</v>
      </c>
      <c r="Q132" s="18">
        <v>0</v>
      </c>
      <c r="R132">
        <v>5</v>
      </c>
      <c r="S132" s="18">
        <v>0</v>
      </c>
      <c r="T132">
        <v>0</v>
      </c>
      <c r="U132" s="18">
        <v>0</v>
      </c>
    </row>
    <row r="133" spans="1:28" x14ac:dyDescent="0.3">
      <c r="A133" s="7">
        <v>44814</v>
      </c>
      <c r="B133">
        <v>2</v>
      </c>
      <c r="C133" t="s">
        <v>26</v>
      </c>
      <c r="D133">
        <v>1</v>
      </c>
      <c r="E133">
        <v>1</v>
      </c>
      <c r="F133" t="s">
        <v>35</v>
      </c>
      <c r="G133">
        <v>1</v>
      </c>
      <c r="H133" s="8">
        <v>0.28125</v>
      </c>
      <c r="I133" s="8">
        <v>0.41666666666666669</v>
      </c>
      <c r="J133" s="8">
        <f t="shared" si="6"/>
        <v>0.13541666666666669</v>
      </c>
      <c r="K133" s="12">
        <f t="shared" si="7"/>
        <v>3.2500000000000004</v>
      </c>
      <c r="L133" s="12">
        <f t="shared" si="8"/>
        <v>3.2500000000000004</v>
      </c>
      <c r="M133" t="s">
        <v>25</v>
      </c>
      <c r="N133" t="s">
        <v>412</v>
      </c>
      <c r="O133" s="18" t="s">
        <v>92</v>
      </c>
      <c r="P133">
        <v>0</v>
      </c>
      <c r="Q133" s="18">
        <v>0</v>
      </c>
      <c r="R133">
        <v>0</v>
      </c>
      <c r="S133" s="18">
        <v>0</v>
      </c>
      <c r="T133">
        <v>0</v>
      </c>
      <c r="U133" s="18">
        <v>0</v>
      </c>
    </row>
    <row r="134" spans="1:28" s="26" customFormat="1" x14ac:dyDescent="0.3">
      <c r="A134" s="25">
        <v>44814</v>
      </c>
      <c r="B134" s="26">
        <v>2</v>
      </c>
      <c r="C134" s="26" t="s">
        <v>26</v>
      </c>
      <c r="D134" s="26">
        <v>1</v>
      </c>
      <c r="E134" s="26">
        <v>1</v>
      </c>
      <c r="F134" s="26" t="s">
        <v>35</v>
      </c>
      <c r="G134" s="26">
        <v>1</v>
      </c>
      <c r="H134" s="27">
        <v>0.25</v>
      </c>
      <c r="I134" s="27">
        <v>0.41666666666666669</v>
      </c>
      <c r="J134" s="8">
        <f t="shared" si="6"/>
        <v>0.16666666666666669</v>
      </c>
      <c r="K134" s="12">
        <f t="shared" si="7"/>
        <v>4</v>
      </c>
      <c r="L134" s="12">
        <f t="shared" si="8"/>
        <v>4</v>
      </c>
      <c r="M134" s="26" t="s">
        <v>25</v>
      </c>
      <c r="N134" s="26" t="s">
        <v>412</v>
      </c>
      <c r="O134" s="28" t="s">
        <v>92</v>
      </c>
      <c r="P134" s="26">
        <v>0</v>
      </c>
      <c r="Q134" s="28">
        <v>0</v>
      </c>
      <c r="R134" s="26">
        <v>7</v>
      </c>
      <c r="S134" s="28">
        <v>0</v>
      </c>
      <c r="T134" s="26">
        <v>0</v>
      </c>
      <c r="U134" s="28">
        <v>0</v>
      </c>
    </row>
    <row r="135" spans="1:28" x14ac:dyDescent="0.3">
      <c r="A135" s="7">
        <v>44814</v>
      </c>
      <c r="B135">
        <v>2</v>
      </c>
      <c r="C135" t="s">
        <v>42</v>
      </c>
      <c r="D135">
        <v>1</v>
      </c>
      <c r="E135">
        <v>1</v>
      </c>
      <c r="F135" t="s">
        <v>35</v>
      </c>
      <c r="G135">
        <v>1</v>
      </c>
      <c r="H135" s="8">
        <v>0.33333333333333331</v>
      </c>
      <c r="I135" s="8">
        <v>0.63888888888888895</v>
      </c>
      <c r="J135" s="8">
        <f t="shared" si="6"/>
        <v>0.30555555555555564</v>
      </c>
      <c r="K135" s="12">
        <f t="shared" si="7"/>
        <v>7.3333333333333357</v>
      </c>
      <c r="L135" s="12">
        <f t="shared" si="8"/>
        <v>7.3333333333333357</v>
      </c>
      <c r="M135" t="s">
        <v>25</v>
      </c>
      <c r="N135" t="s">
        <v>412</v>
      </c>
      <c r="O135" s="18" t="s">
        <v>92</v>
      </c>
      <c r="P135">
        <v>0</v>
      </c>
      <c r="Q135" s="18">
        <v>0</v>
      </c>
      <c r="R135">
        <v>2</v>
      </c>
      <c r="S135" s="18">
        <v>0</v>
      </c>
      <c r="T135">
        <v>0</v>
      </c>
      <c r="U135" s="18">
        <v>0</v>
      </c>
      <c r="AB135" t="s">
        <v>437</v>
      </c>
    </row>
    <row r="136" spans="1:28" x14ac:dyDescent="0.3">
      <c r="A136" s="7">
        <v>44814</v>
      </c>
      <c r="B136">
        <v>2</v>
      </c>
      <c r="C136" t="s">
        <v>42</v>
      </c>
      <c r="D136">
        <v>1</v>
      </c>
      <c r="E136">
        <v>1</v>
      </c>
      <c r="F136" t="s">
        <v>35</v>
      </c>
      <c r="G136">
        <v>4</v>
      </c>
      <c r="H136" s="8">
        <v>0.29166666666666669</v>
      </c>
      <c r="I136" s="8">
        <v>0.64236111111111105</v>
      </c>
      <c r="J136" s="8">
        <f t="shared" si="6"/>
        <v>0.35069444444444436</v>
      </c>
      <c r="K136" s="12">
        <f t="shared" si="7"/>
        <v>8.4166666666666643</v>
      </c>
      <c r="L136" s="12">
        <f t="shared" si="8"/>
        <v>33.666666666666657</v>
      </c>
      <c r="M136" t="s">
        <v>25</v>
      </c>
      <c r="N136" t="s">
        <v>412</v>
      </c>
      <c r="O136" s="18" t="s">
        <v>92</v>
      </c>
      <c r="P136">
        <v>0</v>
      </c>
      <c r="Q136" s="18">
        <v>0</v>
      </c>
      <c r="R136">
        <v>0</v>
      </c>
      <c r="S136" s="18">
        <v>0</v>
      </c>
      <c r="T136">
        <v>0</v>
      </c>
      <c r="U136" s="18">
        <v>0</v>
      </c>
    </row>
    <row r="137" spans="1:28" x14ac:dyDescent="0.3">
      <c r="A137" s="7">
        <v>44814</v>
      </c>
      <c r="B137">
        <v>2</v>
      </c>
      <c r="C137" t="s">
        <v>42</v>
      </c>
      <c r="D137">
        <v>1</v>
      </c>
      <c r="E137">
        <v>1</v>
      </c>
      <c r="F137" t="s">
        <v>35</v>
      </c>
      <c r="G137">
        <v>3</v>
      </c>
      <c r="H137" s="8">
        <v>0.3125</v>
      </c>
      <c r="I137" s="8">
        <v>0.65972222222222221</v>
      </c>
      <c r="J137" s="8">
        <f t="shared" si="6"/>
        <v>0.34722222222222221</v>
      </c>
      <c r="K137" s="12">
        <f t="shared" si="7"/>
        <v>8.3333333333333321</v>
      </c>
      <c r="L137" s="12">
        <f t="shared" si="8"/>
        <v>24.999999999999996</v>
      </c>
      <c r="M137" t="s">
        <v>25</v>
      </c>
      <c r="N137" t="s">
        <v>438</v>
      </c>
      <c r="O137" s="18" t="s">
        <v>92</v>
      </c>
      <c r="P137">
        <v>0</v>
      </c>
      <c r="Q137" s="18">
        <v>0</v>
      </c>
      <c r="R137">
        <v>0</v>
      </c>
      <c r="S137" s="18">
        <v>0</v>
      </c>
      <c r="T137">
        <v>0</v>
      </c>
      <c r="U137" s="18">
        <v>0</v>
      </c>
    </row>
    <row r="138" spans="1:28" x14ac:dyDescent="0.3">
      <c r="A138" s="7">
        <v>44814</v>
      </c>
      <c r="B138">
        <v>2</v>
      </c>
      <c r="C138" t="s">
        <v>42</v>
      </c>
      <c r="D138">
        <v>2</v>
      </c>
      <c r="E138">
        <v>3</v>
      </c>
      <c r="F138" t="s">
        <v>27</v>
      </c>
      <c r="G138">
        <v>3</v>
      </c>
      <c r="H138" s="8">
        <v>0.66666666666666663</v>
      </c>
      <c r="I138" s="8">
        <v>0.71875</v>
      </c>
      <c r="J138" s="8">
        <f t="shared" si="6"/>
        <v>5.208333333333337E-2</v>
      </c>
      <c r="K138" s="12">
        <f t="shared" si="7"/>
        <v>1.2500000000000009</v>
      </c>
      <c r="L138" s="12">
        <f t="shared" si="8"/>
        <v>3.7500000000000027</v>
      </c>
      <c r="M138" t="s">
        <v>28</v>
      </c>
      <c r="N138" t="s">
        <v>409</v>
      </c>
      <c r="O138" s="18" t="s">
        <v>92</v>
      </c>
      <c r="P138">
        <v>0</v>
      </c>
      <c r="Q138" s="18">
        <v>0</v>
      </c>
      <c r="R138">
        <v>0</v>
      </c>
      <c r="S138" s="18">
        <v>0</v>
      </c>
      <c r="T138">
        <v>0</v>
      </c>
      <c r="U138" s="18">
        <v>0</v>
      </c>
    </row>
    <row r="139" spans="1:28" x14ac:dyDescent="0.3">
      <c r="A139" s="7">
        <v>44814</v>
      </c>
      <c r="B139">
        <v>2</v>
      </c>
      <c r="C139" t="s">
        <v>42</v>
      </c>
      <c r="D139">
        <v>2</v>
      </c>
      <c r="E139">
        <v>4</v>
      </c>
      <c r="F139" t="s">
        <v>27</v>
      </c>
      <c r="G139">
        <v>2</v>
      </c>
      <c r="H139" s="8">
        <v>0.72569444444444453</v>
      </c>
      <c r="I139" s="8">
        <v>0.72916666666666663</v>
      </c>
      <c r="J139" s="8">
        <f t="shared" si="6"/>
        <v>3.4722222222220989E-3</v>
      </c>
      <c r="K139" s="12">
        <f t="shared" si="7"/>
        <v>8.3333333333330373E-2</v>
      </c>
      <c r="L139" s="12">
        <f t="shared" si="8"/>
        <v>0.16666666666666075</v>
      </c>
      <c r="M139" t="s">
        <v>28</v>
      </c>
      <c r="N139" t="s">
        <v>408</v>
      </c>
      <c r="O139" s="18" t="s">
        <v>92</v>
      </c>
      <c r="P139">
        <v>0</v>
      </c>
      <c r="Q139" s="18">
        <v>0</v>
      </c>
      <c r="R139">
        <v>0</v>
      </c>
      <c r="S139" s="18">
        <v>0</v>
      </c>
      <c r="T139">
        <v>0</v>
      </c>
      <c r="U139" s="18">
        <v>0</v>
      </c>
    </row>
    <row r="140" spans="1:28" x14ac:dyDescent="0.3">
      <c r="A140" s="7">
        <v>44814</v>
      </c>
      <c r="B140">
        <v>2</v>
      </c>
      <c r="C140" t="s">
        <v>42</v>
      </c>
      <c r="D140">
        <v>2</v>
      </c>
      <c r="E140">
        <v>5</v>
      </c>
      <c r="F140" t="s">
        <v>27</v>
      </c>
      <c r="G140">
        <v>2</v>
      </c>
      <c r="H140" s="8">
        <v>0.625</v>
      </c>
      <c r="I140" s="8">
        <v>0.73611111111111116</v>
      </c>
      <c r="J140" s="8">
        <f t="shared" si="6"/>
        <v>0.11111111111111116</v>
      </c>
      <c r="K140" s="12">
        <f t="shared" si="7"/>
        <v>2.6666666666666679</v>
      </c>
      <c r="L140" s="12">
        <f t="shared" si="8"/>
        <v>5.3333333333333357</v>
      </c>
      <c r="M140" t="s">
        <v>25</v>
      </c>
      <c r="N140" t="s">
        <v>411</v>
      </c>
      <c r="O140" s="18" t="s">
        <v>405</v>
      </c>
      <c r="P140">
        <v>0</v>
      </c>
      <c r="Q140" s="18">
        <v>0</v>
      </c>
      <c r="R140">
        <v>0</v>
      </c>
      <c r="S140" s="18">
        <v>0</v>
      </c>
      <c r="T140">
        <v>0</v>
      </c>
      <c r="U140" s="18">
        <v>0</v>
      </c>
    </row>
    <row r="141" spans="1:28" x14ac:dyDescent="0.3">
      <c r="A141" s="7">
        <v>44814</v>
      </c>
      <c r="B141">
        <v>2</v>
      </c>
      <c r="C141" t="s">
        <v>42</v>
      </c>
      <c r="D141">
        <v>2</v>
      </c>
      <c r="E141">
        <v>5</v>
      </c>
      <c r="F141" t="s">
        <v>27</v>
      </c>
      <c r="G141">
        <v>1</v>
      </c>
      <c r="H141" s="8">
        <v>0.73611111111111116</v>
      </c>
      <c r="I141" s="8">
        <v>0.74305555555555547</v>
      </c>
      <c r="J141" s="8">
        <f t="shared" si="6"/>
        <v>6.9444444444443088E-3</v>
      </c>
      <c r="K141" s="12">
        <f t="shared" si="7"/>
        <v>0.16666666666666341</v>
      </c>
      <c r="L141" s="12">
        <f t="shared" si="8"/>
        <v>0.16666666666666341</v>
      </c>
      <c r="M141" t="s">
        <v>28</v>
      </c>
      <c r="N141" t="s">
        <v>415</v>
      </c>
      <c r="O141" s="18" t="s">
        <v>405</v>
      </c>
      <c r="P141">
        <v>0</v>
      </c>
      <c r="Q141" s="18">
        <v>0</v>
      </c>
      <c r="R141">
        <v>0</v>
      </c>
      <c r="S141" s="18">
        <v>0</v>
      </c>
      <c r="T141">
        <v>0</v>
      </c>
      <c r="U141" s="18">
        <v>0</v>
      </c>
    </row>
    <row r="142" spans="1:28" s="26" customFormat="1" x14ac:dyDescent="0.3">
      <c r="A142" s="25">
        <v>44814</v>
      </c>
      <c r="B142" s="26">
        <v>2</v>
      </c>
      <c r="C142" s="26" t="s">
        <v>42</v>
      </c>
      <c r="D142" s="26">
        <v>2</v>
      </c>
      <c r="E142" s="26">
        <v>5</v>
      </c>
      <c r="F142" s="26" t="s">
        <v>27</v>
      </c>
      <c r="G142" s="26">
        <v>1</v>
      </c>
      <c r="H142" s="27">
        <v>0.72916666666666663</v>
      </c>
      <c r="I142" s="27">
        <v>0.74652777777777779</v>
      </c>
      <c r="J142" s="8">
        <f t="shared" si="6"/>
        <v>1.736111111111116E-2</v>
      </c>
      <c r="K142" s="12">
        <f t="shared" si="7"/>
        <v>0.41666666666666785</v>
      </c>
      <c r="L142" s="12">
        <f t="shared" si="8"/>
        <v>0.41666666666666785</v>
      </c>
      <c r="M142" s="26" t="s">
        <v>28</v>
      </c>
      <c r="N142" s="26" t="s">
        <v>411</v>
      </c>
      <c r="O142" s="28" t="s">
        <v>410</v>
      </c>
      <c r="P142" s="26">
        <v>0</v>
      </c>
      <c r="Q142" s="28">
        <v>0</v>
      </c>
      <c r="R142" s="26">
        <v>0</v>
      </c>
      <c r="S142" s="28">
        <v>0</v>
      </c>
      <c r="T142" s="26">
        <v>0</v>
      </c>
      <c r="U142" s="28">
        <v>0</v>
      </c>
    </row>
    <row r="143" spans="1:28" x14ac:dyDescent="0.3">
      <c r="A143" s="7">
        <v>44818</v>
      </c>
      <c r="B143">
        <v>3</v>
      </c>
      <c r="C143" t="s">
        <v>42</v>
      </c>
      <c r="D143">
        <v>2</v>
      </c>
      <c r="E143">
        <v>2</v>
      </c>
      <c r="F143" t="s">
        <v>27</v>
      </c>
      <c r="G143">
        <v>1</v>
      </c>
      <c r="H143" s="8">
        <v>0.59375</v>
      </c>
      <c r="I143" s="8">
        <v>0.64236111111111105</v>
      </c>
      <c r="J143" s="8">
        <f t="shared" si="6"/>
        <v>4.8611111111111049E-2</v>
      </c>
      <c r="K143" s="12">
        <f t="shared" si="7"/>
        <v>1.1666666666666652</v>
      </c>
      <c r="L143" s="12">
        <f t="shared" si="8"/>
        <v>1.1666666666666652</v>
      </c>
      <c r="M143" t="s">
        <v>25</v>
      </c>
      <c r="N143" t="s">
        <v>411</v>
      </c>
      <c r="O143" s="18" t="s">
        <v>410</v>
      </c>
      <c r="P143">
        <v>0</v>
      </c>
      <c r="Q143" s="18">
        <v>0</v>
      </c>
      <c r="R143">
        <v>0</v>
      </c>
      <c r="S143" s="18">
        <v>0</v>
      </c>
      <c r="T143">
        <v>0</v>
      </c>
      <c r="U143" s="18">
        <v>0</v>
      </c>
    </row>
    <row r="144" spans="1:28" x14ac:dyDescent="0.3">
      <c r="A144" s="7">
        <v>44818</v>
      </c>
      <c r="B144">
        <v>3</v>
      </c>
      <c r="C144" t="s">
        <v>42</v>
      </c>
      <c r="D144">
        <v>2</v>
      </c>
      <c r="E144">
        <v>1</v>
      </c>
      <c r="F144" t="s">
        <v>27</v>
      </c>
      <c r="G144">
        <v>1</v>
      </c>
      <c r="H144" s="8">
        <v>0.63541666666666663</v>
      </c>
      <c r="I144" s="8">
        <v>0.65347222222222223</v>
      </c>
      <c r="J144" s="8">
        <f t="shared" si="6"/>
        <v>1.8055555555555602E-2</v>
      </c>
      <c r="K144" s="12">
        <f t="shared" si="7"/>
        <v>0.43333333333333446</v>
      </c>
      <c r="L144" s="12">
        <f t="shared" si="8"/>
        <v>0.43333333333333446</v>
      </c>
      <c r="M144" t="s">
        <v>28</v>
      </c>
      <c r="N144" t="s">
        <v>411</v>
      </c>
      <c r="O144" s="18" t="s">
        <v>405</v>
      </c>
      <c r="P144">
        <v>0</v>
      </c>
      <c r="Q144" s="18">
        <v>0</v>
      </c>
      <c r="R144">
        <v>0</v>
      </c>
      <c r="S144" s="18">
        <v>0</v>
      </c>
      <c r="T144">
        <v>0</v>
      </c>
      <c r="U144" s="18">
        <v>0</v>
      </c>
    </row>
    <row r="145" spans="1:28" x14ac:dyDescent="0.3">
      <c r="A145" s="7">
        <v>44818</v>
      </c>
      <c r="B145">
        <v>3</v>
      </c>
      <c r="C145" t="s">
        <v>42</v>
      </c>
      <c r="D145">
        <v>2</v>
      </c>
      <c r="E145">
        <v>2</v>
      </c>
      <c r="F145" t="s">
        <v>27</v>
      </c>
      <c r="G145">
        <v>1</v>
      </c>
      <c r="H145" s="8">
        <v>0.5</v>
      </c>
      <c r="I145" s="8">
        <v>0.65625</v>
      </c>
      <c r="J145" s="8">
        <f t="shared" si="6"/>
        <v>0.15625</v>
      </c>
      <c r="K145" s="12">
        <f t="shared" si="7"/>
        <v>3.75</v>
      </c>
      <c r="L145" s="12">
        <f t="shared" si="8"/>
        <v>3.75</v>
      </c>
      <c r="M145" t="s">
        <v>25</v>
      </c>
      <c r="N145" t="s">
        <v>411</v>
      </c>
      <c r="O145" s="18" t="s">
        <v>410</v>
      </c>
      <c r="P145">
        <v>2</v>
      </c>
      <c r="Q145" s="18">
        <v>0</v>
      </c>
      <c r="R145">
        <v>0</v>
      </c>
      <c r="S145" s="18">
        <v>0</v>
      </c>
      <c r="T145">
        <v>0</v>
      </c>
      <c r="U145" s="18">
        <v>0</v>
      </c>
      <c r="V145">
        <v>1</v>
      </c>
      <c r="AB145" t="s">
        <v>184</v>
      </c>
    </row>
    <row r="146" spans="1:28" x14ac:dyDescent="0.3">
      <c r="A146" s="7">
        <v>44818</v>
      </c>
      <c r="B146">
        <v>3</v>
      </c>
      <c r="C146" t="s">
        <v>42</v>
      </c>
      <c r="D146">
        <v>2</v>
      </c>
      <c r="E146">
        <v>2</v>
      </c>
      <c r="F146" t="s">
        <v>27</v>
      </c>
      <c r="G146">
        <v>1</v>
      </c>
      <c r="H146" s="8">
        <v>0.53472222222222221</v>
      </c>
      <c r="I146" s="8">
        <v>0.65972222222222221</v>
      </c>
      <c r="J146" s="8">
        <f t="shared" si="6"/>
        <v>0.125</v>
      </c>
      <c r="K146" s="12">
        <f t="shared" si="7"/>
        <v>3</v>
      </c>
      <c r="L146" s="12">
        <f t="shared" si="8"/>
        <v>3</v>
      </c>
      <c r="M146" t="s">
        <v>28</v>
      </c>
      <c r="N146" t="s">
        <v>411</v>
      </c>
      <c r="O146" s="18" t="s">
        <v>422</v>
      </c>
      <c r="P146">
        <v>1</v>
      </c>
      <c r="Q146" s="18">
        <v>1</v>
      </c>
      <c r="R146">
        <v>0</v>
      </c>
      <c r="S146" s="18">
        <v>0</v>
      </c>
      <c r="T146">
        <v>0</v>
      </c>
      <c r="U146" s="18">
        <v>0</v>
      </c>
      <c r="W146">
        <v>1</v>
      </c>
      <c r="AB146" t="s">
        <v>439</v>
      </c>
    </row>
    <row r="147" spans="1:28" x14ac:dyDescent="0.3">
      <c r="A147" s="7">
        <v>44818</v>
      </c>
      <c r="B147">
        <v>3</v>
      </c>
      <c r="C147" t="s">
        <v>42</v>
      </c>
      <c r="D147">
        <v>2</v>
      </c>
      <c r="E147">
        <v>2</v>
      </c>
      <c r="F147" t="s">
        <v>27</v>
      </c>
      <c r="G147">
        <v>1</v>
      </c>
      <c r="H147" s="8">
        <v>0.65277777777777779</v>
      </c>
      <c r="I147" s="8">
        <v>0.65972222222222221</v>
      </c>
      <c r="J147" s="8">
        <f t="shared" si="6"/>
        <v>6.9444444444444198E-3</v>
      </c>
      <c r="K147" s="12">
        <f t="shared" si="7"/>
        <v>0.16666666666666607</v>
      </c>
      <c r="L147" s="12">
        <f t="shared" si="8"/>
        <v>0.16666666666666607</v>
      </c>
      <c r="M147" t="s">
        <v>28</v>
      </c>
      <c r="N147" t="s">
        <v>411</v>
      </c>
      <c r="O147" s="18" t="s">
        <v>92</v>
      </c>
      <c r="P147">
        <v>0</v>
      </c>
      <c r="Q147" s="18">
        <v>0</v>
      </c>
      <c r="R147">
        <v>0</v>
      </c>
      <c r="S147" s="18">
        <v>0</v>
      </c>
      <c r="T147">
        <v>0</v>
      </c>
      <c r="U147" s="18">
        <v>0</v>
      </c>
    </row>
    <row r="148" spans="1:28" x14ac:dyDescent="0.3">
      <c r="A148" s="7">
        <v>44818</v>
      </c>
      <c r="B148">
        <v>3</v>
      </c>
      <c r="C148" t="s">
        <v>42</v>
      </c>
      <c r="D148">
        <v>2</v>
      </c>
      <c r="E148">
        <v>2</v>
      </c>
      <c r="F148" t="s">
        <v>27</v>
      </c>
      <c r="G148">
        <v>2</v>
      </c>
      <c r="H148" s="8">
        <v>0.625</v>
      </c>
      <c r="I148" s="8">
        <v>0.66666666666666663</v>
      </c>
      <c r="J148" s="8">
        <f t="shared" si="6"/>
        <v>4.166666666666663E-2</v>
      </c>
      <c r="K148" s="12">
        <f t="shared" si="7"/>
        <v>0.99999999999999911</v>
      </c>
      <c r="L148" s="12">
        <f t="shared" si="8"/>
        <v>1.9999999999999982</v>
      </c>
      <c r="M148" t="s">
        <v>28</v>
      </c>
      <c r="N148" t="s">
        <v>408</v>
      </c>
      <c r="O148" s="18" t="s">
        <v>410</v>
      </c>
      <c r="P148">
        <v>0</v>
      </c>
      <c r="Q148" s="18">
        <v>0</v>
      </c>
      <c r="R148">
        <v>0</v>
      </c>
      <c r="S148" s="18">
        <v>0</v>
      </c>
      <c r="T148">
        <v>0</v>
      </c>
      <c r="U148" s="18">
        <v>0</v>
      </c>
    </row>
    <row r="149" spans="1:28" x14ac:dyDescent="0.3">
      <c r="A149" s="7">
        <v>44818</v>
      </c>
      <c r="B149">
        <v>3</v>
      </c>
      <c r="C149" t="s">
        <v>42</v>
      </c>
      <c r="D149">
        <v>2</v>
      </c>
      <c r="E149">
        <v>2</v>
      </c>
      <c r="F149" t="s">
        <v>27</v>
      </c>
      <c r="G149">
        <v>1</v>
      </c>
      <c r="H149" s="8">
        <v>0.58333333333333337</v>
      </c>
      <c r="I149" s="8">
        <v>0.68402777777777779</v>
      </c>
      <c r="J149" s="8">
        <f t="shared" si="6"/>
        <v>0.10069444444444442</v>
      </c>
      <c r="K149" s="12">
        <f t="shared" si="7"/>
        <v>2.4166666666666661</v>
      </c>
      <c r="L149" s="12">
        <f t="shared" si="8"/>
        <v>2.4166666666666661</v>
      </c>
      <c r="M149" t="s">
        <v>25</v>
      </c>
      <c r="N149" t="s">
        <v>411</v>
      </c>
      <c r="O149" s="18" t="s">
        <v>410</v>
      </c>
      <c r="P149">
        <v>1</v>
      </c>
      <c r="Q149" s="18">
        <v>0</v>
      </c>
      <c r="R149">
        <v>0</v>
      </c>
      <c r="S149" s="18">
        <v>0</v>
      </c>
      <c r="T149">
        <v>0</v>
      </c>
      <c r="U149" s="18">
        <v>0</v>
      </c>
    </row>
    <row r="150" spans="1:28" x14ac:dyDescent="0.3">
      <c r="A150" s="7">
        <v>44818</v>
      </c>
      <c r="B150">
        <v>3</v>
      </c>
      <c r="C150" t="s">
        <v>42</v>
      </c>
      <c r="D150">
        <v>2</v>
      </c>
      <c r="E150">
        <v>2</v>
      </c>
      <c r="F150" t="s">
        <v>27</v>
      </c>
      <c r="G150">
        <v>1</v>
      </c>
      <c r="H150" s="8">
        <v>0.58333333333333337</v>
      </c>
      <c r="I150" s="8">
        <v>0.68402777777777779</v>
      </c>
      <c r="J150" s="8">
        <f t="shared" si="6"/>
        <v>0.10069444444444442</v>
      </c>
      <c r="K150" s="12">
        <f t="shared" si="7"/>
        <v>2.4166666666666661</v>
      </c>
      <c r="L150" s="12">
        <f t="shared" si="8"/>
        <v>2.4166666666666661</v>
      </c>
      <c r="M150" t="s">
        <v>25</v>
      </c>
      <c r="N150" t="s">
        <v>411</v>
      </c>
      <c r="O150" s="18" t="s">
        <v>410</v>
      </c>
      <c r="P150">
        <v>0</v>
      </c>
      <c r="Q150" s="18">
        <v>0</v>
      </c>
      <c r="R150">
        <v>0</v>
      </c>
      <c r="S150" s="18">
        <v>0</v>
      </c>
      <c r="T150">
        <v>0</v>
      </c>
      <c r="U150" s="18">
        <v>0</v>
      </c>
    </row>
    <row r="151" spans="1:28" x14ac:dyDescent="0.3">
      <c r="A151" s="7">
        <v>44818</v>
      </c>
      <c r="B151">
        <v>3</v>
      </c>
      <c r="C151" t="s">
        <v>42</v>
      </c>
      <c r="D151">
        <v>2</v>
      </c>
      <c r="E151">
        <v>2</v>
      </c>
      <c r="F151" t="s">
        <v>27</v>
      </c>
      <c r="G151">
        <v>2</v>
      </c>
      <c r="H151" s="8">
        <v>0.64583333333333337</v>
      </c>
      <c r="I151" s="8">
        <v>0.6875</v>
      </c>
      <c r="J151" s="8">
        <f t="shared" si="6"/>
        <v>4.166666666666663E-2</v>
      </c>
      <c r="K151" s="12">
        <f t="shared" si="7"/>
        <v>0.99999999999999911</v>
      </c>
      <c r="L151" s="12">
        <f t="shared" si="8"/>
        <v>1.9999999999999982</v>
      </c>
      <c r="M151" t="s">
        <v>28</v>
      </c>
      <c r="N151" t="s">
        <v>408</v>
      </c>
      <c r="O151" s="18" t="s">
        <v>407</v>
      </c>
      <c r="P151">
        <v>0</v>
      </c>
      <c r="Q151" s="18">
        <v>0</v>
      </c>
      <c r="R151">
        <v>0</v>
      </c>
      <c r="S151" s="18">
        <v>0</v>
      </c>
      <c r="T151">
        <v>0</v>
      </c>
      <c r="U151" s="18">
        <v>0</v>
      </c>
    </row>
    <row r="152" spans="1:28" x14ac:dyDescent="0.3">
      <c r="A152" s="7">
        <v>44818</v>
      </c>
      <c r="B152">
        <v>3</v>
      </c>
      <c r="C152" t="s">
        <v>42</v>
      </c>
      <c r="D152">
        <v>2</v>
      </c>
      <c r="E152">
        <v>3</v>
      </c>
      <c r="F152" t="s">
        <v>27</v>
      </c>
      <c r="G152">
        <v>1</v>
      </c>
      <c r="H152" s="8">
        <v>0.625</v>
      </c>
      <c r="I152" s="8">
        <v>0.69444444444444453</v>
      </c>
      <c r="J152" s="8">
        <f t="shared" si="6"/>
        <v>6.9444444444444531E-2</v>
      </c>
      <c r="K152" s="12">
        <f t="shared" si="7"/>
        <v>1.6666666666666687</v>
      </c>
      <c r="L152" s="12">
        <f t="shared" si="8"/>
        <v>1.6666666666666687</v>
      </c>
      <c r="M152" t="s">
        <v>28</v>
      </c>
      <c r="N152" t="s">
        <v>411</v>
      </c>
      <c r="O152" s="18" t="s">
        <v>410</v>
      </c>
      <c r="P152">
        <v>0</v>
      </c>
      <c r="Q152" s="18">
        <v>0</v>
      </c>
      <c r="R152">
        <v>0</v>
      </c>
      <c r="S152" s="18">
        <v>0</v>
      </c>
      <c r="T152">
        <v>0</v>
      </c>
      <c r="U152" s="18">
        <v>0</v>
      </c>
    </row>
    <row r="153" spans="1:28" x14ac:dyDescent="0.3">
      <c r="A153" s="7">
        <v>44818</v>
      </c>
      <c r="B153">
        <v>3</v>
      </c>
      <c r="C153" t="s">
        <v>42</v>
      </c>
      <c r="D153">
        <v>2</v>
      </c>
      <c r="E153">
        <v>3</v>
      </c>
      <c r="F153" t="s">
        <v>27</v>
      </c>
      <c r="G153">
        <v>1</v>
      </c>
      <c r="H153" s="8">
        <v>0.66666666666666663</v>
      </c>
      <c r="I153" s="8">
        <v>0.69791666666666663</v>
      </c>
      <c r="J153" s="8">
        <f t="shared" si="6"/>
        <v>3.125E-2</v>
      </c>
      <c r="K153" s="12">
        <f t="shared" si="7"/>
        <v>0.75</v>
      </c>
      <c r="L153" s="12">
        <f t="shared" si="8"/>
        <v>0.75</v>
      </c>
      <c r="M153" t="s">
        <v>28</v>
      </c>
      <c r="N153" t="s">
        <v>411</v>
      </c>
      <c r="O153" s="18" t="s">
        <v>422</v>
      </c>
      <c r="P153">
        <v>0</v>
      </c>
      <c r="Q153" s="18">
        <v>0</v>
      </c>
      <c r="R153">
        <v>0</v>
      </c>
      <c r="S153" s="18">
        <v>0</v>
      </c>
      <c r="T153">
        <v>0</v>
      </c>
      <c r="U153" s="18">
        <v>0</v>
      </c>
    </row>
    <row r="154" spans="1:28" x14ac:dyDescent="0.3">
      <c r="A154" s="7">
        <v>44818</v>
      </c>
      <c r="B154">
        <v>3</v>
      </c>
      <c r="C154" t="s">
        <v>42</v>
      </c>
      <c r="D154">
        <v>2</v>
      </c>
      <c r="E154">
        <v>4</v>
      </c>
      <c r="F154" t="s">
        <v>27</v>
      </c>
      <c r="G154">
        <v>2</v>
      </c>
      <c r="H154" s="8">
        <v>0.64583333333333337</v>
      </c>
      <c r="I154" s="8">
        <v>0.70833333333333337</v>
      </c>
      <c r="J154" s="8">
        <f t="shared" si="6"/>
        <v>6.25E-2</v>
      </c>
      <c r="K154" s="12">
        <f t="shared" si="7"/>
        <v>1.5</v>
      </c>
      <c r="L154" s="12">
        <f t="shared" si="8"/>
        <v>3</v>
      </c>
      <c r="M154" t="s">
        <v>28</v>
      </c>
      <c r="N154" t="s">
        <v>415</v>
      </c>
      <c r="O154" s="18" t="s">
        <v>422</v>
      </c>
      <c r="P154">
        <v>0</v>
      </c>
      <c r="Q154" s="18">
        <v>0</v>
      </c>
      <c r="R154">
        <v>0</v>
      </c>
      <c r="S154" s="18">
        <v>0</v>
      </c>
      <c r="T154">
        <v>0</v>
      </c>
      <c r="U154" s="18">
        <v>0</v>
      </c>
    </row>
    <row r="155" spans="1:28" x14ac:dyDescent="0.3">
      <c r="A155" s="7">
        <v>44818</v>
      </c>
      <c r="B155">
        <v>3</v>
      </c>
      <c r="C155" t="s">
        <v>42</v>
      </c>
      <c r="D155">
        <v>2</v>
      </c>
      <c r="E155">
        <v>4</v>
      </c>
      <c r="F155" t="s">
        <v>27</v>
      </c>
      <c r="G155">
        <v>1</v>
      </c>
      <c r="H155" s="8">
        <v>0.6875</v>
      </c>
      <c r="I155" s="8">
        <v>0.70833333333333337</v>
      </c>
      <c r="J155" s="8">
        <f t="shared" si="6"/>
        <v>2.083333333333337E-2</v>
      </c>
      <c r="K155" s="12">
        <f t="shared" si="7"/>
        <v>0.50000000000000089</v>
      </c>
      <c r="L155" s="12">
        <f t="shared" si="8"/>
        <v>0.50000000000000089</v>
      </c>
      <c r="M155" t="s">
        <v>28</v>
      </c>
      <c r="N155" t="s">
        <v>411</v>
      </c>
      <c r="O155" s="18" t="s">
        <v>422</v>
      </c>
      <c r="P155">
        <v>0</v>
      </c>
      <c r="Q155" s="18">
        <v>0</v>
      </c>
      <c r="R155">
        <v>0</v>
      </c>
      <c r="S155" s="18">
        <v>0</v>
      </c>
      <c r="T155">
        <v>0</v>
      </c>
      <c r="U155" s="18">
        <v>0</v>
      </c>
    </row>
    <row r="156" spans="1:28" x14ac:dyDescent="0.3">
      <c r="A156" s="7">
        <v>44818</v>
      </c>
      <c r="B156">
        <v>3</v>
      </c>
      <c r="C156" t="s">
        <v>42</v>
      </c>
      <c r="D156">
        <v>2</v>
      </c>
      <c r="E156">
        <v>4</v>
      </c>
      <c r="F156" t="s">
        <v>27</v>
      </c>
      <c r="G156">
        <v>1</v>
      </c>
      <c r="H156" s="8">
        <v>0.66666666666666663</v>
      </c>
      <c r="I156" s="8">
        <v>0.70833333333333337</v>
      </c>
      <c r="J156" s="8">
        <f t="shared" si="6"/>
        <v>4.1666666666666741E-2</v>
      </c>
      <c r="K156" s="12">
        <f t="shared" si="7"/>
        <v>1.0000000000000018</v>
      </c>
      <c r="L156" s="12">
        <f t="shared" si="8"/>
        <v>1.0000000000000018</v>
      </c>
      <c r="M156" t="s">
        <v>28</v>
      </c>
      <c r="N156" t="s">
        <v>411</v>
      </c>
      <c r="O156" s="18" t="s">
        <v>422</v>
      </c>
      <c r="P156">
        <v>1</v>
      </c>
      <c r="Q156" s="18">
        <v>0</v>
      </c>
      <c r="R156">
        <v>0</v>
      </c>
      <c r="S156" s="18">
        <v>0</v>
      </c>
      <c r="T156">
        <v>0</v>
      </c>
      <c r="U156" s="18">
        <v>0</v>
      </c>
    </row>
    <row r="157" spans="1:28" x14ac:dyDescent="0.3">
      <c r="A157" s="7">
        <v>44818</v>
      </c>
      <c r="B157">
        <v>3</v>
      </c>
      <c r="C157" t="s">
        <v>42</v>
      </c>
      <c r="D157">
        <v>2</v>
      </c>
      <c r="E157">
        <v>4</v>
      </c>
      <c r="F157" t="s">
        <v>27</v>
      </c>
      <c r="G157">
        <v>1</v>
      </c>
      <c r="H157" s="8">
        <v>0.625</v>
      </c>
      <c r="I157" s="8">
        <v>0.70833333333333337</v>
      </c>
      <c r="J157" s="8">
        <f t="shared" si="6"/>
        <v>8.333333333333337E-2</v>
      </c>
      <c r="K157" s="12">
        <f t="shared" si="7"/>
        <v>2.0000000000000009</v>
      </c>
      <c r="L157" s="12">
        <f t="shared" si="8"/>
        <v>2.0000000000000009</v>
      </c>
      <c r="M157" t="s">
        <v>28</v>
      </c>
      <c r="N157" t="s">
        <v>411</v>
      </c>
      <c r="O157" s="18" t="s">
        <v>422</v>
      </c>
      <c r="P157">
        <v>0</v>
      </c>
      <c r="Q157" s="18">
        <v>0</v>
      </c>
      <c r="R157">
        <v>0</v>
      </c>
      <c r="S157" s="18">
        <v>0</v>
      </c>
      <c r="T157">
        <v>0</v>
      </c>
      <c r="U157" s="18">
        <v>0</v>
      </c>
    </row>
    <row r="158" spans="1:28" x14ac:dyDescent="0.3">
      <c r="A158" s="7">
        <v>44818</v>
      </c>
      <c r="B158">
        <v>3</v>
      </c>
      <c r="C158" t="s">
        <v>42</v>
      </c>
      <c r="D158">
        <v>2</v>
      </c>
      <c r="E158">
        <v>4</v>
      </c>
      <c r="F158" t="s">
        <v>27</v>
      </c>
      <c r="G158">
        <v>1</v>
      </c>
      <c r="H158" s="8">
        <v>0.64583333333333337</v>
      </c>
      <c r="I158" s="8">
        <v>0.71527777777777779</v>
      </c>
      <c r="J158" s="8">
        <f t="shared" si="6"/>
        <v>6.944444444444442E-2</v>
      </c>
      <c r="K158" s="12">
        <f t="shared" si="7"/>
        <v>1.6666666666666661</v>
      </c>
      <c r="L158" s="12">
        <f t="shared" si="8"/>
        <v>1.6666666666666661</v>
      </c>
      <c r="M158" t="s">
        <v>28</v>
      </c>
      <c r="N158" t="s">
        <v>411</v>
      </c>
      <c r="O158" s="18" t="s">
        <v>410</v>
      </c>
      <c r="P158">
        <v>0</v>
      </c>
      <c r="Q158" s="18">
        <v>0</v>
      </c>
      <c r="R158">
        <v>0</v>
      </c>
      <c r="S158" s="18">
        <v>0</v>
      </c>
      <c r="T158">
        <v>0</v>
      </c>
      <c r="U158" s="18">
        <v>0</v>
      </c>
    </row>
    <row r="159" spans="1:28" x14ac:dyDescent="0.3">
      <c r="A159" s="7">
        <v>44818</v>
      </c>
      <c r="B159">
        <v>3</v>
      </c>
      <c r="C159" t="s">
        <v>42</v>
      </c>
      <c r="D159">
        <v>2</v>
      </c>
      <c r="E159">
        <v>4</v>
      </c>
      <c r="F159" t="s">
        <v>27</v>
      </c>
      <c r="G159">
        <v>1</v>
      </c>
      <c r="H159" s="8">
        <v>0.64583333333333337</v>
      </c>
      <c r="I159" s="8">
        <v>0.73263888888888884</v>
      </c>
      <c r="J159" s="8">
        <f t="shared" si="6"/>
        <v>8.6805555555555469E-2</v>
      </c>
      <c r="K159" s="12">
        <f t="shared" si="7"/>
        <v>2.0833333333333313</v>
      </c>
      <c r="L159" s="12">
        <f t="shared" si="8"/>
        <v>2.0833333333333313</v>
      </c>
      <c r="M159" t="s">
        <v>28</v>
      </c>
      <c r="N159" t="s">
        <v>404</v>
      </c>
      <c r="O159" s="18" t="s">
        <v>422</v>
      </c>
      <c r="P159">
        <v>0</v>
      </c>
      <c r="Q159" s="18">
        <v>0</v>
      </c>
      <c r="R159">
        <v>0</v>
      </c>
      <c r="S159" s="18">
        <v>0</v>
      </c>
      <c r="T159">
        <v>0</v>
      </c>
      <c r="U159" s="18">
        <v>0</v>
      </c>
    </row>
    <row r="160" spans="1:28" x14ac:dyDescent="0.3">
      <c r="A160" s="7">
        <v>44818</v>
      </c>
      <c r="B160">
        <v>3</v>
      </c>
      <c r="C160" t="s">
        <v>42</v>
      </c>
      <c r="D160">
        <v>2</v>
      </c>
      <c r="E160">
        <v>4</v>
      </c>
      <c r="F160" t="s">
        <v>27</v>
      </c>
      <c r="G160">
        <v>3</v>
      </c>
      <c r="H160" s="8">
        <v>0.66666666666666663</v>
      </c>
      <c r="I160" s="8">
        <v>0.74305555555555547</v>
      </c>
      <c r="J160" s="8">
        <f t="shared" si="6"/>
        <v>7.638888888888884E-2</v>
      </c>
      <c r="K160" s="12">
        <f t="shared" si="7"/>
        <v>1.8333333333333321</v>
      </c>
      <c r="L160" s="12">
        <f t="shared" si="8"/>
        <v>5.4999999999999964</v>
      </c>
      <c r="M160" t="s">
        <v>28</v>
      </c>
      <c r="N160" t="s">
        <v>404</v>
      </c>
      <c r="O160" s="18" t="s">
        <v>405</v>
      </c>
      <c r="P160">
        <v>0</v>
      </c>
      <c r="Q160" s="18">
        <v>0</v>
      </c>
      <c r="R160">
        <v>0</v>
      </c>
      <c r="S160" s="18">
        <v>0</v>
      </c>
      <c r="T160">
        <v>0</v>
      </c>
      <c r="U160" s="18">
        <v>0</v>
      </c>
    </row>
    <row r="161" spans="1:28" x14ac:dyDescent="0.3">
      <c r="A161" s="7">
        <v>44818</v>
      </c>
      <c r="B161">
        <v>3</v>
      </c>
      <c r="C161" t="s">
        <v>42</v>
      </c>
      <c r="D161">
        <v>2</v>
      </c>
      <c r="E161">
        <v>4</v>
      </c>
      <c r="F161" t="s">
        <v>27</v>
      </c>
      <c r="G161">
        <v>1</v>
      </c>
      <c r="H161" s="8">
        <v>0.71875</v>
      </c>
      <c r="I161" s="8">
        <v>0.74305555555555547</v>
      </c>
      <c r="J161" s="8">
        <f t="shared" si="6"/>
        <v>2.4305555555555469E-2</v>
      </c>
      <c r="K161" s="12">
        <f t="shared" si="7"/>
        <v>0.58333333333333126</v>
      </c>
      <c r="L161" s="12">
        <f t="shared" si="8"/>
        <v>0.58333333333333126</v>
      </c>
      <c r="M161" t="s">
        <v>28</v>
      </c>
      <c r="N161" t="s">
        <v>411</v>
      </c>
      <c r="O161" s="18" t="s">
        <v>407</v>
      </c>
      <c r="P161">
        <v>0</v>
      </c>
      <c r="Q161" s="18">
        <v>0</v>
      </c>
      <c r="R161">
        <v>0</v>
      </c>
      <c r="S161" s="18">
        <v>0</v>
      </c>
      <c r="T161">
        <v>0</v>
      </c>
      <c r="U161" s="18">
        <v>0</v>
      </c>
    </row>
    <row r="162" spans="1:28" s="26" customFormat="1" x14ac:dyDescent="0.3">
      <c r="A162" s="25">
        <v>44818</v>
      </c>
      <c r="B162" s="26">
        <v>3</v>
      </c>
      <c r="C162" s="26" t="s">
        <v>42</v>
      </c>
      <c r="D162" s="26">
        <v>2</v>
      </c>
      <c r="E162" s="26">
        <v>5</v>
      </c>
      <c r="F162" s="26" t="s">
        <v>27</v>
      </c>
      <c r="G162" s="26">
        <v>3</v>
      </c>
      <c r="H162" s="27">
        <v>0.72916666666666663</v>
      </c>
      <c r="I162" s="27">
        <v>0.76388888888888884</v>
      </c>
      <c r="J162" s="8">
        <f t="shared" si="6"/>
        <v>3.472222222222221E-2</v>
      </c>
      <c r="K162" s="12">
        <f t="shared" si="7"/>
        <v>0.83333333333333304</v>
      </c>
      <c r="L162" s="12">
        <f t="shared" si="8"/>
        <v>2.4999999999999991</v>
      </c>
      <c r="M162" s="26" t="s">
        <v>28</v>
      </c>
      <c r="N162" s="26" t="s">
        <v>411</v>
      </c>
      <c r="O162" s="28" t="s">
        <v>405</v>
      </c>
      <c r="P162" s="26">
        <v>0</v>
      </c>
      <c r="Q162" s="28">
        <v>0</v>
      </c>
      <c r="R162" s="26">
        <v>0</v>
      </c>
      <c r="S162" s="28">
        <v>0</v>
      </c>
      <c r="T162" s="26">
        <v>0</v>
      </c>
      <c r="U162" s="28">
        <v>0</v>
      </c>
    </row>
    <row r="163" spans="1:28" s="30" customFormat="1" x14ac:dyDescent="0.3">
      <c r="A163" s="29">
        <v>44819</v>
      </c>
      <c r="B163" s="30">
        <v>3</v>
      </c>
      <c r="C163" s="30" t="s">
        <v>26</v>
      </c>
      <c r="D163" s="30">
        <v>1</v>
      </c>
      <c r="E163" s="30">
        <v>1</v>
      </c>
      <c r="F163" s="30" t="s">
        <v>35</v>
      </c>
      <c r="G163" s="30">
        <v>3</v>
      </c>
      <c r="H163" s="31">
        <v>0.3125</v>
      </c>
      <c r="I163" s="31">
        <v>0.4375</v>
      </c>
      <c r="J163" s="8">
        <f t="shared" si="6"/>
        <v>0.125</v>
      </c>
      <c r="K163" s="12">
        <f t="shared" si="7"/>
        <v>3</v>
      </c>
      <c r="L163" s="12">
        <f t="shared" si="8"/>
        <v>9</v>
      </c>
      <c r="M163" s="30" t="s">
        <v>25</v>
      </c>
      <c r="N163" s="30" t="s">
        <v>412</v>
      </c>
      <c r="O163" s="32" t="s">
        <v>92</v>
      </c>
      <c r="P163" s="30">
        <v>0</v>
      </c>
      <c r="Q163" s="32">
        <v>0</v>
      </c>
      <c r="R163" s="30">
        <v>9</v>
      </c>
      <c r="S163" s="32">
        <v>0</v>
      </c>
      <c r="T163" s="30">
        <v>0</v>
      </c>
      <c r="U163" s="32">
        <v>0</v>
      </c>
    </row>
    <row r="164" spans="1:28" x14ac:dyDescent="0.3">
      <c r="A164" s="7">
        <v>44819</v>
      </c>
      <c r="B164">
        <v>3</v>
      </c>
      <c r="C164" t="s">
        <v>42</v>
      </c>
      <c r="D164">
        <v>1</v>
      </c>
      <c r="E164">
        <v>1</v>
      </c>
      <c r="F164" t="s">
        <v>35</v>
      </c>
      <c r="G164">
        <v>1</v>
      </c>
      <c r="H164" s="8">
        <v>0.41666666666666669</v>
      </c>
      <c r="I164" s="8">
        <v>0.63888888888888895</v>
      </c>
      <c r="J164" s="8">
        <f t="shared" si="6"/>
        <v>0.22222222222222227</v>
      </c>
      <c r="K164" s="12">
        <f t="shared" si="7"/>
        <v>5.3333333333333339</v>
      </c>
      <c r="L164" s="12">
        <f t="shared" si="8"/>
        <v>5.3333333333333339</v>
      </c>
      <c r="M164" t="s">
        <v>25</v>
      </c>
      <c r="N164" t="s">
        <v>412</v>
      </c>
      <c r="O164" s="18" t="s">
        <v>92</v>
      </c>
      <c r="P164">
        <v>0</v>
      </c>
      <c r="Q164" s="18">
        <v>0</v>
      </c>
      <c r="R164">
        <v>0</v>
      </c>
      <c r="S164" s="18">
        <v>0</v>
      </c>
      <c r="T164">
        <v>0</v>
      </c>
      <c r="U164" s="18">
        <v>0</v>
      </c>
      <c r="AB164" t="s">
        <v>440</v>
      </c>
    </row>
    <row r="165" spans="1:28" x14ac:dyDescent="0.3">
      <c r="A165" s="7">
        <v>44819</v>
      </c>
      <c r="B165">
        <v>3</v>
      </c>
      <c r="C165" t="s">
        <v>42</v>
      </c>
      <c r="D165">
        <v>1</v>
      </c>
      <c r="E165">
        <v>1</v>
      </c>
      <c r="F165" t="s">
        <v>35</v>
      </c>
      <c r="G165">
        <v>2</v>
      </c>
      <c r="H165" s="8">
        <v>0.5625</v>
      </c>
      <c r="I165" s="8">
        <v>0.64236111111111105</v>
      </c>
      <c r="J165" s="8">
        <f t="shared" si="6"/>
        <v>7.9861111111111049E-2</v>
      </c>
      <c r="K165" s="12">
        <f t="shared" si="7"/>
        <v>1.9166666666666652</v>
      </c>
      <c r="L165" s="12">
        <f t="shared" si="8"/>
        <v>3.8333333333333304</v>
      </c>
      <c r="M165" t="s">
        <v>25</v>
      </c>
      <c r="N165" t="s">
        <v>412</v>
      </c>
      <c r="O165" s="18" t="s">
        <v>92</v>
      </c>
      <c r="P165">
        <v>0</v>
      </c>
      <c r="Q165" s="18">
        <v>0</v>
      </c>
      <c r="R165">
        <v>7</v>
      </c>
      <c r="S165" s="18">
        <v>0</v>
      </c>
      <c r="T165">
        <v>0</v>
      </c>
      <c r="U165" s="18">
        <v>0</v>
      </c>
      <c r="X165">
        <v>1</v>
      </c>
      <c r="AB165" t="s">
        <v>184</v>
      </c>
    </row>
    <row r="166" spans="1:28" x14ac:dyDescent="0.3">
      <c r="A166" s="7">
        <v>44819</v>
      </c>
      <c r="B166">
        <v>3</v>
      </c>
      <c r="C166" t="s">
        <v>42</v>
      </c>
      <c r="D166">
        <v>2</v>
      </c>
      <c r="E166">
        <v>2</v>
      </c>
      <c r="F166" t="s">
        <v>27</v>
      </c>
      <c r="G166">
        <v>2</v>
      </c>
      <c r="H166" s="8">
        <v>0.54166666666666663</v>
      </c>
      <c r="I166" s="8">
        <v>0.66666666666666663</v>
      </c>
      <c r="J166" s="8">
        <f t="shared" si="6"/>
        <v>0.125</v>
      </c>
      <c r="K166" s="12">
        <f t="shared" si="7"/>
        <v>3</v>
      </c>
      <c r="L166" s="12">
        <f t="shared" si="8"/>
        <v>6</v>
      </c>
      <c r="M166" t="s">
        <v>28</v>
      </c>
      <c r="N166" t="s">
        <v>411</v>
      </c>
      <c r="O166" s="18" t="s">
        <v>410</v>
      </c>
      <c r="P166">
        <v>0</v>
      </c>
      <c r="Q166" s="18">
        <v>0</v>
      </c>
      <c r="R166">
        <v>0</v>
      </c>
      <c r="S166" s="18">
        <v>0</v>
      </c>
      <c r="T166">
        <v>0</v>
      </c>
      <c r="U166" s="18">
        <v>0</v>
      </c>
    </row>
    <row r="167" spans="1:28" x14ac:dyDescent="0.3">
      <c r="A167" s="7">
        <v>44819</v>
      </c>
      <c r="B167">
        <v>3</v>
      </c>
      <c r="C167" t="s">
        <v>42</v>
      </c>
      <c r="D167">
        <v>2</v>
      </c>
      <c r="E167">
        <v>2</v>
      </c>
      <c r="F167" t="s">
        <v>27</v>
      </c>
      <c r="G167">
        <v>1</v>
      </c>
      <c r="H167" s="8">
        <v>0.63194444444444442</v>
      </c>
      <c r="I167" s="8">
        <v>0.68055555555555547</v>
      </c>
      <c r="J167" s="8">
        <f t="shared" si="6"/>
        <v>4.8611111111111049E-2</v>
      </c>
      <c r="K167" s="12">
        <f t="shared" si="7"/>
        <v>1.1666666666666652</v>
      </c>
      <c r="L167" s="12">
        <f t="shared" si="8"/>
        <v>1.1666666666666652</v>
      </c>
      <c r="M167" t="s">
        <v>28</v>
      </c>
      <c r="N167" t="s">
        <v>411</v>
      </c>
      <c r="O167" s="18" t="s">
        <v>410</v>
      </c>
      <c r="P167">
        <v>0</v>
      </c>
      <c r="Q167" s="18">
        <v>0</v>
      </c>
      <c r="R167">
        <v>0</v>
      </c>
      <c r="S167" s="18">
        <v>0</v>
      </c>
      <c r="T167">
        <v>0</v>
      </c>
      <c r="U167" s="18">
        <v>0</v>
      </c>
    </row>
    <row r="168" spans="1:28" x14ac:dyDescent="0.3">
      <c r="A168" s="7">
        <v>44819</v>
      </c>
      <c r="B168">
        <v>3</v>
      </c>
      <c r="C168" t="s">
        <v>42</v>
      </c>
      <c r="D168">
        <v>2</v>
      </c>
      <c r="E168">
        <v>2</v>
      </c>
      <c r="F168" t="s">
        <v>27</v>
      </c>
      <c r="G168">
        <v>1</v>
      </c>
      <c r="H168" s="8">
        <v>0.65277777777777779</v>
      </c>
      <c r="I168" s="8">
        <v>0.68055555555555547</v>
      </c>
      <c r="J168" s="8">
        <f t="shared" si="6"/>
        <v>2.7777777777777679E-2</v>
      </c>
      <c r="K168" s="12">
        <f t="shared" si="7"/>
        <v>0.6666666666666643</v>
      </c>
      <c r="L168" s="12">
        <f t="shared" si="8"/>
        <v>0.6666666666666643</v>
      </c>
      <c r="M168" t="s">
        <v>28</v>
      </c>
      <c r="N168" t="s">
        <v>411</v>
      </c>
      <c r="O168" s="18" t="s">
        <v>410</v>
      </c>
      <c r="P168">
        <v>0</v>
      </c>
      <c r="Q168" s="18">
        <v>0</v>
      </c>
      <c r="R168">
        <v>0</v>
      </c>
      <c r="S168" s="18">
        <v>0</v>
      </c>
      <c r="T168">
        <v>0</v>
      </c>
      <c r="U168" s="18">
        <v>0</v>
      </c>
    </row>
    <row r="169" spans="1:28" x14ac:dyDescent="0.3">
      <c r="A169" s="7">
        <v>44819</v>
      </c>
      <c r="B169">
        <v>3</v>
      </c>
      <c r="C169" t="s">
        <v>42</v>
      </c>
      <c r="D169">
        <v>2</v>
      </c>
      <c r="E169">
        <v>3</v>
      </c>
      <c r="F169" t="s">
        <v>27</v>
      </c>
      <c r="G169">
        <v>1</v>
      </c>
      <c r="H169" s="8">
        <v>0.67361111111111116</v>
      </c>
      <c r="I169" s="8">
        <v>0.69444444444444453</v>
      </c>
      <c r="J169" s="8">
        <f t="shared" si="6"/>
        <v>2.083333333333337E-2</v>
      </c>
      <c r="K169" s="12">
        <f t="shared" si="7"/>
        <v>0.50000000000000089</v>
      </c>
      <c r="L169" s="12">
        <f t="shared" si="8"/>
        <v>0.50000000000000089</v>
      </c>
      <c r="M169" t="s">
        <v>28</v>
      </c>
      <c r="N169" t="s">
        <v>411</v>
      </c>
      <c r="O169" s="18" t="s">
        <v>410</v>
      </c>
      <c r="P169">
        <v>1</v>
      </c>
      <c r="Q169" s="18">
        <v>0</v>
      </c>
      <c r="R169">
        <v>0</v>
      </c>
      <c r="S169" s="18">
        <v>0</v>
      </c>
      <c r="T169">
        <v>0</v>
      </c>
      <c r="U169" s="18">
        <v>0</v>
      </c>
      <c r="V169">
        <v>1</v>
      </c>
      <c r="AB169" t="s">
        <v>427</v>
      </c>
    </row>
    <row r="170" spans="1:28" x14ac:dyDescent="0.3">
      <c r="A170" s="7">
        <v>44819</v>
      </c>
      <c r="B170">
        <v>3</v>
      </c>
      <c r="C170" t="s">
        <v>42</v>
      </c>
      <c r="D170">
        <v>2</v>
      </c>
      <c r="E170">
        <v>4</v>
      </c>
      <c r="F170" t="s">
        <v>27</v>
      </c>
      <c r="G170">
        <v>2</v>
      </c>
      <c r="H170" s="8">
        <v>0.64583333333333337</v>
      </c>
      <c r="I170" s="8">
        <v>0.70138888888888884</v>
      </c>
      <c r="J170" s="8">
        <f t="shared" si="6"/>
        <v>5.5555555555555469E-2</v>
      </c>
      <c r="K170" s="12">
        <f t="shared" si="7"/>
        <v>1.3333333333333313</v>
      </c>
      <c r="L170" s="12">
        <f t="shared" si="8"/>
        <v>2.6666666666666625</v>
      </c>
      <c r="M170" t="s">
        <v>25</v>
      </c>
      <c r="N170" t="s">
        <v>411</v>
      </c>
      <c r="O170" s="18" t="s">
        <v>410</v>
      </c>
      <c r="P170">
        <v>3</v>
      </c>
      <c r="Q170" s="18">
        <v>0</v>
      </c>
      <c r="R170">
        <v>0</v>
      </c>
      <c r="S170" s="18">
        <v>0</v>
      </c>
      <c r="T170">
        <v>0</v>
      </c>
      <c r="U170" s="18">
        <v>0</v>
      </c>
      <c r="V170">
        <v>1</v>
      </c>
      <c r="AB170" t="s">
        <v>184</v>
      </c>
    </row>
    <row r="171" spans="1:28" x14ac:dyDescent="0.3">
      <c r="A171" s="7">
        <v>44819</v>
      </c>
      <c r="B171">
        <v>3</v>
      </c>
      <c r="C171" t="s">
        <v>42</v>
      </c>
      <c r="D171">
        <v>2</v>
      </c>
      <c r="E171">
        <v>4</v>
      </c>
      <c r="F171" t="s">
        <v>27</v>
      </c>
      <c r="G171">
        <v>1</v>
      </c>
      <c r="H171" s="8">
        <v>0.625</v>
      </c>
      <c r="I171" s="8">
        <v>0.70138888888888884</v>
      </c>
      <c r="J171" s="8">
        <f t="shared" si="6"/>
        <v>7.638888888888884E-2</v>
      </c>
      <c r="K171" s="12">
        <f t="shared" si="7"/>
        <v>1.8333333333333321</v>
      </c>
      <c r="L171" s="12">
        <f t="shared" si="8"/>
        <v>1.8333333333333321</v>
      </c>
      <c r="M171" t="s">
        <v>25</v>
      </c>
      <c r="N171" t="s">
        <v>411</v>
      </c>
      <c r="O171" s="18" t="s">
        <v>410</v>
      </c>
      <c r="P171">
        <v>3</v>
      </c>
      <c r="Q171" s="18">
        <v>0</v>
      </c>
      <c r="R171">
        <v>0</v>
      </c>
      <c r="S171" s="18">
        <v>0</v>
      </c>
      <c r="T171">
        <v>0</v>
      </c>
      <c r="U171" s="18">
        <v>0</v>
      </c>
    </row>
    <row r="172" spans="1:28" x14ac:dyDescent="0.3">
      <c r="A172" s="7">
        <v>44819</v>
      </c>
      <c r="B172">
        <v>3</v>
      </c>
      <c r="C172" t="s">
        <v>42</v>
      </c>
      <c r="D172">
        <v>2</v>
      </c>
      <c r="E172">
        <v>4</v>
      </c>
      <c r="F172" t="s">
        <v>27</v>
      </c>
      <c r="G172">
        <v>1</v>
      </c>
      <c r="H172" s="8">
        <v>0.71527777777777779</v>
      </c>
      <c r="I172" s="8">
        <v>0.72222222222222221</v>
      </c>
      <c r="J172" s="8">
        <f t="shared" si="6"/>
        <v>6.9444444444444198E-3</v>
      </c>
      <c r="K172" s="12">
        <f t="shared" si="7"/>
        <v>0.16666666666666607</v>
      </c>
      <c r="L172" s="12">
        <f t="shared" si="8"/>
        <v>0.16666666666666607</v>
      </c>
      <c r="M172" t="s">
        <v>28</v>
      </c>
      <c r="N172" t="s">
        <v>408</v>
      </c>
      <c r="O172" s="18" t="s">
        <v>405</v>
      </c>
      <c r="P172">
        <v>0</v>
      </c>
      <c r="Q172" s="18">
        <v>0</v>
      </c>
      <c r="R172">
        <v>0</v>
      </c>
      <c r="S172" s="18">
        <v>0</v>
      </c>
      <c r="T172">
        <v>0</v>
      </c>
      <c r="U172" s="18">
        <v>0</v>
      </c>
    </row>
    <row r="173" spans="1:28" x14ac:dyDescent="0.3">
      <c r="A173" s="7">
        <v>44819</v>
      </c>
      <c r="B173">
        <v>3</v>
      </c>
      <c r="C173" t="s">
        <v>42</v>
      </c>
      <c r="D173">
        <v>2</v>
      </c>
      <c r="E173">
        <v>4</v>
      </c>
      <c r="F173" t="s">
        <v>27</v>
      </c>
      <c r="G173">
        <v>1</v>
      </c>
      <c r="H173" s="8">
        <v>0.64583333333333337</v>
      </c>
      <c r="I173" s="8">
        <v>0.72222222222222221</v>
      </c>
      <c r="J173" s="8">
        <f t="shared" si="6"/>
        <v>7.638888888888884E-2</v>
      </c>
      <c r="K173" s="12">
        <f t="shared" si="7"/>
        <v>1.8333333333333321</v>
      </c>
      <c r="L173" s="12">
        <f t="shared" si="8"/>
        <v>1.8333333333333321</v>
      </c>
      <c r="M173" t="s">
        <v>28</v>
      </c>
      <c r="N173" t="s">
        <v>411</v>
      </c>
      <c r="O173" s="18" t="s">
        <v>405</v>
      </c>
      <c r="P173">
        <v>0</v>
      </c>
      <c r="Q173" s="18">
        <v>0</v>
      </c>
      <c r="R173">
        <v>0</v>
      </c>
      <c r="S173" s="18">
        <v>0</v>
      </c>
      <c r="T173">
        <v>0</v>
      </c>
      <c r="U173" s="18">
        <v>0</v>
      </c>
    </row>
    <row r="174" spans="1:28" x14ac:dyDescent="0.3">
      <c r="A174" s="7">
        <v>44819</v>
      </c>
      <c r="B174">
        <v>3</v>
      </c>
      <c r="C174" t="s">
        <v>42</v>
      </c>
      <c r="D174">
        <v>2</v>
      </c>
      <c r="E174">
        <v>4</v>
      </c>
      <c r="F174" t="s">
        <v>27</v>
      </c>
      <c r="G174">
        <v>1</v>
      </c>
      <c r="H174" s="8">
        <v>0.64583333333333337</v>
      </c>
      <c r="I174" s="8">
        <v>0.72222222222222221</v>
      </c>
      <c r="J174" s="8">
        <f t="shared" si="6"/>
        <v>7.638888888888884E-2</v>
      </c>
      <c r="K174" s="12">
        <f t="shared" si="7"/>
        <v>1.8333333333333321</v>
      </c>
      <c r="L174" s="12">
        <f t="shared" si="8"/>
        <v>1.8333333333333321</v>
      </c>
      <c r="M174" t="s">
        <v>28</v>
      </c>
      <c r="N174" t="s">
        <v>411</v>
      </c>
      <c r="O174" s="18" t="s">
        <v>405</v>
      </c>
      <c r="P174">
        <v>0</v>
      </c>
      <c r="Q174" s="18">
        <v>0</v>
      </c>
      <c r="R174">
        <v>0</v>
      </c>
      <c r="S174" s="18">
        <v>0</v>
      </c>
      <c r="T174">
        <v>0</v>
      </c>
      <c r="U174" s="18">
        <v>0</v>
      </c>
    </row>
    <row r="175" spans="1:28" x14ac:dyDescent="0.3">
      <c r="A175" s="7">
        <v>44819</v>
      </c>
      <c r="B175">
        <v>3</v>
      </c>
      <c r="C175" t="s">
        <v>42</v>
      </c>
      <c r="D175">
        <v>2</v>
      </c>
      <c r="E175">
        <v>4</v>
      </c>
      <c r="F175" t="s">
        <v>27</v>
      </c>
      <c r="G175">
        <v>3</v>
      </c>
      <c r="H175" s="8">
        <v>0.71875</v>
      </c>
      <c r="I175" s="8">
        <v>0.72916666666666663</v>
      </c>
      <c r="J175" s="8">
        <f t="shared" si="6"/>
        <v>1.041666666666663E-2</v>
      </c>
      <c r="K175" s="12">
        <f t="shared" si="7"/>
        <v>0.24999999999999911</v>
      </c>
      <c r="L175" s="12">
        <f t="shared" si="8"/>
        <v>0.74999999999999734</v>
      </c>
      <c r="M175" t="s">
        <v>28</v>
      </c>
      <c r="N175" t="s">
        <v>411</v>
      </c>
      <c r="O175" s="18" t="s">
        <v>422</v>
      </c>
      <c r="P175">
        <v>0</v>
      </c>
      <c r="Q175" s="18">
        <v>0</v>
      </c>
      <c r="R175">
        <v>0</v>
      </c>
      <c r="S175" s="18">
        <v>0</v>
      </c>
      <c r="T175">
        <v>0</v>
      </c>
      <c r="U175" s="18">
        <v>0</v>
      </c>
    </row>
    <row r="176" spans="1:28" x14ac:dyDescent="0.3">
      <c r="A176" s="7">
        <v>44819</v>
      </c>
      <c r="B176">
        <v>3</v>
      </c>
      <c r="C176" t="s">
        <v>42</v>
      </c>
      <c r="D176">
        <v>2</v>
      </c>
      <c r="E176">
        <v>4</v>
      </c>
      <c r="F176" t="s">
        <v>27</v>
      </c>
      <c r="G176">
        <v>1</v>
      </c>
      <c r="H176" s="8">
        <v>0.6875</v>
      </c>
      <c r="I176" s="8">
        <v>0.73611111111111116</v>
      </c>
      <c r="J176" s="8">
        <f t="shared" si="6"/>
        <v>4.861111111111116E-2</v>
      </c>
      <c r="K176" s="12">
        <f t="shared" si="7"/>
        <v>1.1666666666666679</v>
      </c>
      <c r="L176" s="12">
        <f t="shared" si="8"/>
        <v>1.1666666666666679</v>
      </c>
      <c r="M176" t="s">
        <v>28</v>
      </c>
      <c r="N176" t="s">
        <v>408</v>
      </c>
      <c r="O176" s="18" t="s">
        <v>422</v>
      </c>
      <c r="P176">
        <v>0</v>
      </c>
      <c r="Q176" s="18">
        <v>0</v>
      </c>
      <c r="R176">
        <v>0</v>
      </c>
      <c r="S176" s="18">
        <v>0</v>
      </c>
      <c r="T176">
        <v>0</v>
      </c>
      <c r="U176" s="18">
        <v>0</v>
      </c>
    </row>
    <row r="177" spans="1:28" s="26" customFormat="1" x14ac:dyDescent="0.3">
      <c r="A177" s="25">
        <v>44819</v>
      </c>
      <c r="B177" s="26">
        <v>3</v>
      </c>
      <c r="C177" s="26" t="s">
        <v>42</v>
      </c>
      <c r="D177" s="26">
        <v>2</v>
      </c>
      <c r="E177" s="26">
        <v>5</v>
      </c>
      <c r="F177" s="26" t="s">
        <v>27</v>
      </c>
      <c r="G177" s="26">
        <v>2</v>
      </c>
      <c r="H177" s="27">
        <v>0.72916666666666663</v>
      </c>
      <c r="I177" s="27">
        <v>0.75</v>
      </c>
      <c r="J177" s="8">
        <f t="shared" si="6"/>
        <v>2.083333333333337E-2</v>
      </c>
      <c r="K177" s="12">
        <f t="shared" si="7"/>
        <v>0.50000000000000089</v>
      </c>
      <c r="L177" s="12">
        <f t="shared" si="8"/>
        <v>1.0000000000000018</v>
      </c>
      <c r="M177" s="26" t="s">
        <v>25</v>
      </c>
      <c r="N177" s="26" t="s">
        <v>415</v>
      </c>
      <c r="O177" s="28" t="s">
        <v>422</v>
      </c>
      <c r="P177" s="26">
        <v>0</v>
      </c>
      <c r="Q177" s="28">
        <v>0</v>
      </c>
      <c r="R177" s="26">
        <v>0</v>
      </c>
      <c r="S177" s="28">
        <v>0</v>
      </c>
      <c r="T177" s="26">
        <v>0</v>
      </c>
      <c r="U177" s="28">
        <v>0</v>
      </c>
    </row>
    <row r="178" spans="1:28" x14ac:dyDescent="0.3">
      <c r="A178" s="7">
        <v>44820</v>
      </c>
      <c r="B178">
        <v>3</v>
      </c>
      <c r="C178" t="s">
        <v>26</v>
      </c>
      <c r="D178">
        <v>2</v>
      </c>
      <c r="E178">
        <v>5</v>
      </c>
      <c r="F178" t="s">
        <v>27</v>
      </c>
      <c r="G178">
        <v>2</v>
      </c>
      <c r="H178" s="8">
        <v>0.25</v>
      </c>
      <c r="I178" s="8">
        <v>0.31944444444444448</v>
      </c>
      <c r="J178" s="8">
        <f t="shared" si="6"/>
        <v>6.9444444444444475E-2</v>
      </c>
      <c r="K178" s="12">
        <f t="shared" si="7"/>
        <v>1.6666666666666674</v>
      </c>
      <c r="L178" s="12">
        <f t="shared" si="8"/>
        <v>3.3333333333333348</v>
      </c>
      <c r="M178" t="s">
        <v>28</v>
      </c>
      <c r="N178" t="s">
        <v>441</v>
      </c>
      <c r="O178" s="18" t="s">
        <v>422</v>
      </c>
      <c r="P178">
        <v>0</v>
      </c>
      <c r="Q178" s="18">
        <v>0</v>
      </c>
      <c r="R178">
        <v>0</v>
      </c>
      <c r="S178" s="18">
        <v>0</v>
      </c>
      <c r="T178">
        <v>0</v>
      </c>
      <c r="U178" s="18">
        <v>0</v>
      </c>
    </row>
    <row r="179" spans="1:28" x14ac:dyDescent="0.3">
      <c r="A179" s="7">
        <v>44820</v>
      </c>
      <c r="B179">
        <v>3</v>
      </c>
      <c r="C179" t="s">
        <v>26</v>
      </c>
      <c r="D179">
        <v>2</v>
      </c>
      <c r="E179">
        <v>5</v>
      </c>
      <c r="F179" t="s">
        <v>27</v>
      </c>
      <c r="G179">
        <v>1</v>
      </c>
      <c r="H179" s="8">
        <v>0.28125</v>
      </c>
      <c r="I179" s="8">
        <v>0.33333333333333331</v>
      </c>
      <c r="J179" s="8">
        <f t="shared" si="6"/>
        <v>5.2083333333333315E-2</v>
      </c>
      <c r="K179" s="12">
        <f t="shared" si="7"/>
        <v>1.2499999999999996</v>
      </c>
      <c r="L179" s="12">
        <f t="shared" si="8"/>
        <v>1.2499999999999996</v>
      </c>
      <c r="M179" t="s">
        <v>28</v>
      </c>
      <c r="N179" t="s">
        <v>411</v>
      </c>
      <c r="O179" s="18" t="s">
        <v>405</v>
      </c>
      <c r="P179">
        <v>1</v>
      </c>
      <c r="Q179" s="18">
        <v>0</v>
      </c>
      <c r="R179">
        <v>0</v>
      </c>
      <c r="S179" s="18">
        <v>0</v>
      </c>
      <c r="T179">
        <v>0</v>
      </c>
      <c r="U179" s="18">
        <v>0</v>
      </c>
      <c r="V179">
        <v>1</v>
      </c>
      <c r="AB179" t="s">
        <v>427</v>
      </c>
    </row>
    <row r="180" spans="1:28" x14ac:dyDescent="0.3">
      <c r="A180" s="7">
        <v>44820</v>
      </c>
      <c r="B180">
        <v>3</v>
      </c>
      <c r="C180" t="s">
        <v>26</v>
      </c>
      <c r="D180">
        <v>2</v>
      </c>
      <c r="E180">
        <v>5</v>
      </c>
      <c r="F180" t="s">
        <v>27</v>
      </c>
      <c r="G180">
        <v>1</v>
      </c>
      <c r="H180" s="8">
        <v>0.29166666666666669</v>
      </c>
      <c r="I180" s="8">
        <v>0.33333333333333331</v>
      </c>
      <c r="J180" s="8">
        <f t="shared" si="6"/>
        <v>4.166666666666663E-2</v>
      </c>
      <c r="K180" s="12">
        <f t="shared" si="7"/>
        <v>0.99999999999999911</v>
      </c>
      <c r="L180" s="12">
        <f t="shared" si="8"/>
        <v>0.99999999999999911</v>
      </c>
      <c r="M180" t="s">
        <v>28</v>
      </c>
      <c r="N180" t="s">
        <v>411</v>
      </c>
      <c r="O180" s="18" t="s">
        <v>405</v>
      </c>
      <c r="P180">
        <v>0</v>
      </c>
      <c r="Q180" s="18">
        <v>0</v>
      </c>
      <c r="R180">
        <v>1</v>
      </c>
      <c r="S180" s="18">
        <v>0</v>
      </c>
      <c r="T180">
        <v>0</v>
      </c>
      <c r="U180" s="18">
        <v>0</v>
      </c>
      <c r="X180">
        <v>1</v>
      </c>
      <c r="AB180" t="s">
        <v>427</v>
      </c>
    </row>
    <row r="181" spans="1:28" x14ac:dyDescent="0.3">
      <c r="A181" s="7">
        <v>44820</v>
      </c>
      <c r="B181">
        <v>3</v>
      </c>
      <c r="C181" t="s">
        <v>26</v>
      </c>
      <c r="D181">
        <v>2</v>
      </c>
      <c r="E181">
        <v>5</v>
      </c>
      <c r="F181" t="s">
        <v>27</v>
      </c>
      <c r="G181">
        <v>1</v>
      </c>
      <c r="H181" s="8">
        <v>0.29166666666666669</v>
      </c>
      <c r="I181" s="8">
        <v>0.33333333333333331</v>
      </c>
      <c r="J181" s="8">
        <f t="shared" si="6"/>
        <v>4.166666666666663E-2</v>
      </c>
      <c r="K181" s="12">
        <f t="shared" si="7"/>
        <v>0.99999999999999911</v>
      </c>
      <c r="L181" s="12">
        <f t="shared" si="8"/>
        <v>0.99999999999999911</v>
      </c>
      <c r="M181" t="s">
        <v>28</v>
      </c>
      <c r="N181" t="s">
        <v>411</v>
      </c>
      <c r="O181" s="18" t="s">
        <v>92</v>
      </c>
      <c r="P181">
        <v>0</v>
      </c>
      <c r="Q181" s="18">
        <v>2</v>
      </c>
      <c r="R181">
        <v>0</v>
      </c>
      <c r="S181" s="18">
        <v>0</v>
      </c>
      <c r="T181">
        <v>0</v>
      </c>
      <c r="U181" s="18">
        <v>0</v>
      </c>
      <c r="W181">
        <v>2</v>
      </c>
      <c r="AB181" t="s">
        <v>442</v>
      </c>
    </row>
    <row r="182" spans="1:28" x14ac:dyDescent="0.3">
      <c r="A182" s="7">
        <v>44820</v>
      </c>
      <c r="B182">
        <v>3</v>
      </c>
      <c r="C182" t="s">
        <v>26</v>
      </c>
      <c r="D182">
        <v>2</v>
      </c>
      <c r="E182">
        <v>4</v>
      </c>
      <c r="F182" t="s">
        <v>27</v>
      </c>
      <c r="G182">
        <v>1</v>
      </c>
      <c r="H182" s="8">
        <v>0.3125</v>
      </c>
      <c r="I182" s="8">
        <v>0.33680555555555558</v>
      </c>
      <c r="J182" s="8">
        <f t="shared" si="6"/>
        <v>2.430555555555558E-2</v>
      </c>
      <c r="K182" s="12">
        <f t="shared" si="7"/>
        <v>0.58333333333333393</v>
      </c>
      <c r="L182" s="12">
        <f t="shared" si="8"/>
        <v>0.58333333333333393</v>
      </c>
      <c r="M182" t="s">
        <v>25</v>
      </c>
      <c r="N182" t="s">
        <v>436</v>
      </c>
      <c r="O182" s="18" t="s">
        <v>405</v>
      </c>
      <c r="P182">
        <v>0</v>
      </c>
      <c r="Q182" s="18">
        <v>0</v>
      </c>
      <c r="R182">
        <v>0</v>
      </c>
      <c r="S182" s="18">
        <v>0</v>
      </c>
      <c r="T182">
        <v>0</v>
      </c>
      <c r="U182" s="18">
        <v>0</v>
      </c>
    </row>
    <row r="183" spans="1:28" x14ac:dyDescent="0.3">
      <c r="A183" s="7">
        <v>44820</v>
      </c>
      <c r="B183">
        <v>3</v>
      </c>
      <c r="C183" t="s">
        <v>26</v>
      </c>
      <c r="D183">
        <v>2</v>
      </c>
      <c r="E183">
        <v>4</v>
      </c>
      <c r="F183" t="s">
        <v>27</v>
      </c>
      <c r="G183">
        <v>2</v>
      </c>
      <c r="H183" s="8">
        <v>0.33680555555555558</v>
      </c>
      <c r="I183" s="8">
        <v>0.34027777777777773</v>
      </c>
      <c r="J183" s="8">
        <f t="shared" si="6"/>
        <v>3.4722222222221544E-3</v>
      </c>
      <c r="K183" s="12">
        <f t="shared" si="7"/>
        <v>8.3333333333331705E-2</v>
      </c>
      <c r="L183" s="12">
        <f t="shared" si="8"/>
        <v>0.16666666666666341</v>
      </c>
      <c r="M183" t="s">
        <v>28</v>
      </c>
      <c r="N183" t="s">
        <v>411</v>
      </c>
      <c r="O183" s="18" t="s">
        <v>405</v>
      </c>
      <c r="P183">
        <v>0</v>
      </c>
      <c r="Q183" s="18">
        <v>0</v>
      </c>
      <c r="R183">
        <v>0</v>
      </c>
      <c r="S183" s="18">
        <v>0</v>
      </c>
      <c r="T183">
        <v>0</v>
      </c>
      <c r="U183" s="18">
        <v>0</v>
      </c>
    </row>
    <row r="184" spans="1:28" x14ac:dyDescent="0.3">
      <c r="A184" s="7">
        <v>44820</v>
      </c>
      <c r="B184">
        <v>3</v>
      </c>
      <c r="C184" t="s">
        <v>26</v>
      </c>
      <c r="D184">
        <v>2</v>
      </c>
      <c r="E184">
        <v>4</v>
      </c>
      <c r="F184" t="s">
        <v>27</v>
      </c>
      <c r="G184">
        <v>2</v>
      </c>
      <c r="H184" s="8">
        <v>0.29166666666666669</v>
      </c>
      <c r="I184" s="8">
        <v>0.34027777777777773</v>
      </c>
      <c r="J184" s="8">
        <f t="shared" si="6"/>
        <v>4.8611111111111049E-2</v>
      </c>
      <c r="K184" s="12">
        <f t="shared" si="7"/>
        <v>1.1666666666666652</v>
      </c>
      <c r="L184" s="12">
        <f t="shared" si="8"/>
        <v>2.3333333333333304</v>
      </c>
      <c r="M184" t="s">
        <v>25</v>
      </c>
      <c r="N184" t="s">
        <v>415</v>
      </c>
      <c r="O184" s="18" t="s">
        <v>405</v>
      </c>
      <c r="P184">
        <v>0</v>
      </c>
      <c r="Q184" s="18">
        <v>0</v>
      </c>
      <c r="R184">
        <v>0</v>
      </c>
      <c r="S184" s="18">
        <v>0</v>
      </c>
      <c r="T184">
        <v>0</v>
      </c>
      <c r="U184" s="18">
        <v>0</v>
      </c>
    </row>
    <row r="185" spans="1:28" x14ac:dyDescent="0.3">
      <c r="A185" s="7">
        <v>44820</v>
      </c>
      <c r="B185">
        <v>3</v>
      </c>
      <c r="C185" t="s">
        <v>26</v>
      </c>
      <c r="D185">
        <v>2</v>
      </c>
      <c r="E185">
        <v>4</v>
      </c>
      <c r="F185" t="s">
        <v>27</v>
      </c>
      <c r="G185">
        <v>1</v>
      </c>
      <c r="H185" s="8">
        <v>0.29166666666666669</v>
      </c>
      <c r="I185" s="8">
        <v>0.36805555555555558</v>
      </c>
      <c r="J185" s="8">
        <f t="shared" si="6"/>
        <v>7.6388888888888895E-2</v>
      </c>
      <c r="K185" s="12">
        <f t="shared" si="7"/>
        <v>1.8333333333333335</v>
      </c>
      <c r="L185" s="12">
        <f t="shared" si="8"/>
        <v>1.8333333333333335</v>
      </c>
      <c r="M185" t="s">
        <v>28</v>
      </c>
      <c r="N185" t="s">
        <v>411</v>
      </c>
      <c r="O185" s="18" t="s">
        <v>422</v>
      </c>
      <c r="P185">
        <v>1</v>
      </c>
      <c r="Q185" s="18">
        <v>1</v>
      </c>
      <c r="R185">
        <v>0</v>
      </c>
      <c r="S185" s="18">
        <v>0</v>
      </c>
      <c r="T185">
        <v>0</v>
      </c>
      <c r="U185" s="18">
        <v>0</v>
      </c>
      <c r="AB185" t="s">
        <v>443</v>
      </c>
    </row>
    <row r="186" spans="1:28" x14ac:dyDescent="0.3">
      <c r="A186" s="7">
        <v>44820</v>
      </c>
      <c r="B186">
        <v>3</v>
      </c>
      <c r="C186" t="s">
        <v>26</v>
      </c>
      <c r="D186">
        <v>2</v>
      </c>
      <c r="E186">
        <v>3</v>
      </c>
      <c r="F186" t="s">
        <v>27</v>
      </c>
      <c r="G186">
        <v>1</v>
      </c>
      <c r="H186" s="8">
        <v>0.27083333333333331</v>
      </c>
      <c r="I186" s="8">
        <v>0.375</v>
      </c>
      <c r="J186" s="8">
        <f t="shared" si="6"/>
        <v>0.10416666666666669</v>
      </c>
      <c r="K186" s="12">
        <f t="shared" si="7"/>
        <v>2.5000000000000004</v>
      </c>
      <c r="L186" s="12">
        <f t="shared" si="8"/>
        <v>2.5000000000000004</v>
      </c>
      <c r="M186" t="s">
        <v>28</v>
      </c>
      <c r="N186" t="s">
        <v>411</v>
      </c>
      <c r="O186" s="18" t="s">
        <v>410</v>
      </c>
      <c r="P186">
        <v>2</v>
      </c>
      <c r="Q186" s="18">
        <v>0</v>
      </c>
      <c r="R186">
        <v>0</v>
      </c>
      <c r="S186" s="18">
        <v>0</v>
      </c>
      <c r="T186">
        <v>0</v>
      </c>
      <c r="U186" s="18">
        <v>0</v>
      </c>
      <c r="V186">
        <v>2</v>
      </c>
      <c r="AB186" t="s">
        <v>442</v>
      </c>
    </row>
    <row r="187" spans="1:28" x14ac:dyDescent="0.3">
      <c r="A187" s="7">
        <v>44820</v>
      </c>
      <c r="B187">
        <v>3</v>
      </c>
      <c r="C187" t="s">
        <v>26</v>
      </c>
      <c r="D187">
        <v>2</v>
      </c>
      <c r="E187">
        <v>3</v>
      </c>
      <c r="F187" t="s">
        <v>27</v>
      </c>
      <c r="G187">
        <v>1</v>
      </c>
      <c r="H187" s="8">
        <v>0.27083333333333331</v>
      </c>
      <c r="I187" s="8">
        <v>0.375</v>
      </c>
      <c r="J187" s="8">
        <f t="shared" si="6"/>
        <v>0.10416666666666669</v>
      </c>
      <c r="K187" s="12">
        <f t="shared" si="7"/>
        <v>2.5000000000000004</v>
      </c>
      <c r="L187" s="12">
        <f t="shared" si="8"/>
        <v>2.5000000000000004</v>
      </c>
      <c r="M187" t="s">
        <v>25</v>
      </c>
      <c r="N187" t="s">
        <v>411</v>
      </c>
      <c r="O187" s="18" t="s">
        <v>410</v>
      </c>
      <c r="P187">
        <v>3</v>
      </c>
      <c r="Q187" s="18">
        <v>0</v>
      </c>
      <c r="R187">
        <v>0</v>
      </c>
      <c r="S187" s="18">
        <v>0</v>
      </c>
      <c r="T187">
        <v>0</v>
      </c>
      <c r="U187" s="18">
        <v>0</v>
      </c>
      <c r="V187">
        <v>2</v>
      </c>
      <c r="AB187" t="s">
        <v>166</v>
      </c>
    </row>
    <row r="188" spans="1:28" x14ac:dyDescent="0.3">
      <c r="A188" s="7">
        <v>44820</v>
      </c>
      <c r="B188">
        <v>3</v>
      </c>
      <c r="C188" t="s">
        <v>26</v>
      </c>
      <c r="D188">
        <v>2</v>
      </c>
      <c r="E188">
        <v>2</v>
      </c>
      <c r="F188" t="s">
        <v>27</v>
      </c>
      <c r="G188">
        <v>1</v>
      </c>
      <c r="H188" s="8">
        <v>0.27083333333333331</v>
      </c>
      <c r="I188" s="8">
        <v>0.39583333333333331</v>
      </c>
      <c r="J188" s="8">
        <f t="shared" si="6"/>
        <v>0.125</v>
      </c>
      <c r="K188" s="12">
        <f t="shared" si="7"/>
        <v>3</v>
      </c>
      <c r="L188" s="12">
        <f t="shared" si="8"/>
        <v>3</v>
      </c>
      <c r="M188" t="s">
        <v>28</v>
      </c>
      <c r="N188" t="s">
        <v>411</v>
      </c>
      <c r="O188" s="18" t="s">
        <v>422</v>
      </c>
      <c r="P188">
        <v>0</v>
      </c>
      <c r="Q188" s="18">
        <v>0</v>
      </c>
      <c r="R188">
        <v>0</v>
      </c>
      <c r="S188" s="18">
        <v>0</v>
      </c>
      <c r="T188">
        <v>0</v>
      </c>
      <c r="U188" s="18">
        <v>0</v>
      </c>
    </row>
    <row r="189" spans="1:28" s="26" customFormat="1" x14ac:dyDescent="0.3">
      <c r="A189" s="25">
        <v>44820</v>
      </c>
      <c r="B189" s="26">
        <v>3</v>
      </c>
      <c r="C189" s="26" t="s">
        <v>26</v>
      </c>
      <c r="D189" s="26">
        <v>2</v>
      </c>
      <c r="E189" s="26">
        <v>2</v>
      </c>
      <c r="F189" s="26" t="s">
        <v>27</v>
      </c>
      <c r="G189" s="26">
        <v>1</v>
      </c>
      <c r="H189" s="27">
        <v>0.33333333333333331</v>
      </c>
      <c r="I189" s="27">
        <v>0.39930555555555558</v>
      </c>
      <c r="J189" s="8">
        <f t="shared" si="6"/>
        <v>6.5972222222222265E-2</v>
      </c>
      <c r="K189" s="12">
        <f t="shared" si="7"/>
        <v>1.5833333333333344</v>
      </c>
      <c r="L189" s="12">
        <f t="shared" si="8"/>
        <v>1.5833333333333344</v>
      </c>
      <c r="M189" s="26" t="s">
        <v>28</v>
      </c>
      <c r="N189" s="26" t="s">
        <v>411</v>
      </c>
      <c r="O189" s="28" t="s">
        <v>405</v>
      </c>
      <c r="P189" s="26">
        <v>0</v>
      </c>
      <c r="Q189" s="28">
        <v>0</v>
      </c>
      <c r="R189" s="26">
        <v>0</v>
      </c>
      <c r="S189" s="28">
        <v>0</v>
      </c>
      <c r="T189" s="26">
        <v>0</v>
      </c>
      <c r="U189" s="28">
        <v>0</v>
      </c>
    </row>
    <row r="190" spans="1:28" x14ac:dyDescent="0.3">
      <c r="A190" s="7">
        <v>44820</v>
      </c>
      <c r="B190">
        <v>3</v>
      </c>
      <c r="C190" t="s">
        <v>42</v>
      </c>
      <c r="D190">
        <v>2</v>
      </c>
      <c r="E190">
        <v>5</v>
      </c>
      <c r="F190" t="s">
        <v>27</v>
      </c>
      <c r="G190">
        <v>1</v>
      </c>
      <c r="H190" s="8">
        <v>0.5625</v>
      </c>
      <c r="I190" s="8">
        <v>0.63888888888888895</v>
      </c>
      <c r="J190" s="8">
        <f t="shared" si="6"/>
        <v>7.6388888888888951E-2</v>
      </c>
      <c r="K190" s="12">
        <f t="shared" si="7"/>
        <v>1.8333333333333348</v>
      </c>
      <c r="L190" s="12">
        <f t="shared" si="8"/>
        <v>1.8333333333333348</v>
      </c>
      <c r="M190" t="s">
        <v>25</v>
      </c>
      <c r="N190" t="s">
        <v>411</v>
      </c>
      <c r="O190" s="18" t="s">
        <v>422</v>
      </c>
      <c r="P190">
        <v>1</v>
      </c>
      <c r="Q190" s="18">
        <v>0</v>
      </c>
      <c r="R190">
        <v>0</v>
      </c>
      <c r="S190" s="18">
        <v>0</v>
      </c>
      <c r="T190">
        <v>0</v>
      </c>
      <c r="U190" s="18">
        <v>0</v>
      </c>
    </row>
    <row r="191" spans="1:28" x14ac:dyDescent="0.3">
      <c r="A191" s="7">
        <v>44820</v>
      </c>
      <c r="B191">
        <v>3</v>
      </c>
      <c r="C191" t="s">
        <v>42</v>
      </c>
      <c r="D191">
        <v>2</v>
      </c>
      <c r="E191">
        <v>5</v>
      </c>
      <c r="F191" t="s">
        <v>27</v>
      </c>
      <c r="G191">
        <v>1</v>
      </c>
      <c r="H191" s="8">
        <v>0.65625</v>
      </c>
      <c r="I191" s="8">
        <v>0.67361111111111116</v>
      </c>
      <c r="J191" s="8">
        <f t="shared" si="6"/>
        <v>1.736111111111116E-2</v>
      </c>
      <c r="K191" s="12">
        <f t="shared" si="7"/>
        <v>0.41666666666666785</v>
      </c>
      <c r="L191" s="12">
        <f t="shared" si="8"/>
        <v>0.41666666666666785</v>
      </c>
      <c r="M191" t="s">
        <v>28</v>
      </c>
      <c r="N191" t="s">
        <v>404</v>
      </c>
      <c r="O191" s="18" t="s">
        <v>405</v>
      </c>
      <c r="P191">
        <v>0</v>
      </c>
      <c r="Q191" s="18">
        <v>0</v>
      </c>
      <c r="R191">
        <v>0</v>
      </c>
      <c r="S191" s="18">
        <v>0</v>
      </c>
      <c r="T191">
        <v>0</v>
      </c>
      <c r="U191" s="18">
        <v>0</v>
      </c>
    </row>
    <row r="192" spans="1:28" x14ac:dyDescent="0.3">
      <c r="A192" s="7">
        <v>44820</v>
      </c>
      <c r="B192">
        <v>3</v>
      </c>
      <c r="C192" t="s">
        <v>42</v>
      </c>
      <c r="D192">
        <v>2</v>
      </c>
      <c r="E192">
        <v>4</v>
      </c>
      <c r="F192" t="s">
        <v>27</v>
      </c>
      <c r="G192">
        <v>2</v>
      </c>
      <c r="H192" s="8">
        <v>0.33333333333333331</v>
      </c>
      <c r="I192" s="8">
        <v>0.68055555555555547</v>
      </c>
      <c r="J192" s="8">
        <f t="shared" si="6"/>
        <v>0.34722222222222215</v>
      </c>
      <c r="K192" s="12">
        <f t="shared" si="7"/>
        <v>8.3333333333333321</v>
      </c>
      <c r="L192" s="12">
        <f t="shared" si="8"/>
        <v>16.666666666666664</v>
      </c>
      <c r="M192" t="s">
        <v>25</v>
      </c>
      <c r="N192" t="s">
        <v>415</v>
      </c>
      <c r="O192" s="18" t="s">
        <v>92</v>
      </c>
      <c r="P192">
        <v>1</v>
      </c>
      <c r="Q192" s="18">
        <v>0</v>
      </c>
      <c r="R192">
        <v>0</v>
      </c>
      <c r="S192" s="18">
        <v>0</v>
      </c>
      <c r="T192">
        <v>0</v>
      </c>
      <c r="U192" s="18">
        <v>0</v>
      </c>
    </row>
    <row r="193" spans="1:28" x14ac:dyDescent="0.3">
      <c r="A193" s="7">
        <v>44820</v>
      </c>
      <c r="B193">
        <v>3</v>
      </c>
      <c r="C193" t="s">
        <v>42</v>
      </c>
      <c r="D193">
        <v>2</v>
      </c>
      <c r="E193">
        <v>4</v>
      </c>
      <c r="F193" t="s">
        <v>27</v>
      </c>
      <c r="G193">
        <v>1</v>
      </c>
      <c r="H193" s="8">
        <v>0.5625</v>
      </c>
      <c r="I193" s="8">
        <v>0.70833333333333337</v>
      </c>
      <c r="J193" s="8">
        <f t="shared" si="6"/>
        <v>0.14583333333333337</v>
      </c>
      <c r="K193" s="12">
        <f t="shared" si="7"/>
        <v>3.5000000000000009</v>
      </c>
      <c r="L193" s="12">
        <f t="shared" si="8"/>
        <v>3.5000000000000009</v>
      </c>
      <c r="M193" t="s">
        <v>25</v>
      </c>
      <c r="N193" t="s">
        <v>411</v>
      </c>
      <c r="O193" s="18" t="s">
        <v>410</v>
      </c>
      <c r="P193">
        <v>0</v>
      </c>
      <c r="Q193" s="18">
        <v>0</v>
      </c>
      <c r="R193">
        <v>0</v>
      </c>
      <c r="S193" s="18">
        <v>0</v>
      </c>
      <c r="T193">
        <v>0</v>
      </c>
      <c r="U193" s="18">
        <v>0</v>
      </c>
    </row>
    <row r="194" spans="1:28" s="26" customFormat="1" x14ac:dyDescent="0.3">
      <c r="A194" s="25">
        <v>44820</v>
      </c>
      <c r="B194" s="26">
        <v>3</v>
      </c>
      <c r="C194" s="26" t="s">
        <v>42</v>
      </c>
      <c r="D194" s="26">
        <v>1</v>
      </c>
      <c r="E194" s="26">
        <v>1</v>
      </c>
      <c r="F194" s="26" t="s">
        <v>35</v>
      </c>
      <c r="G194" s="26">
        <v>1</v>
      </c>
      <c r="H194" s="27">
        <v>0.29166666666666669</v>
      </c>
      <c r="I194" s="27">
        <v>0.77083333333333337</v>
      </c>
      <c r="J194" s="8">
        <f t="shared" si="6"/>
        <v>0.47916666666666669</v>
      </c>
      <c r="K194" s="12">
        <f t="shared" si="7"/>
        <v>11.5</v>
      </c>
      <c r="L194" s="12">
        <f t="shared" si="8"/>
        <v>11.5</v>
      </c>
      <c r="M194" s="26" t="s">
        <v>25</v>
      </c>
      <c r="N194" s="26" t="s">
        <v>412</v>
      </c>
      <c r="O194" s="28" t="s">
        <v>92</v>
      </c>
      <c r="P194" s="26">
        <v>0</v>
      </c>
      <c r="Q194" s="28">
        <v>0</v>
      </c>
      <c r="R194" s="26">
        <v>0</v>
      </c>
      <c r="S194" s="28">
        <v>0</v>
      </c>
      <c r="T194" s="26">
        <v>0</v>
      </c>
      <c r="U194" s="28">
        <v>0</v>
      </c>
    </row>
    <row r="195" spans="1:28" x14ac:dyDescent="0.3">
      <c r="A195" s="7">
        <v>44821</v>
      </c>
      <c r="B195">
        <v>3</v>
      </c>
      <c r="C195" t="s">
        <v>42</v>
      </c>
      <c r="D195">
        <v>1</v>
      </c>
      <c r="E195">
        <v>1</v>
      </c>
      <c r="F195" t="s">
        <v>35</v>
      </c>
      <c r="G195">
        <v>2</v>
      </c>
      <c r="H195" s="8">
        <v>0.26041666666666669</v>
      </c>
      <c r="I195" s="8">
        <v>0.65277777777777779</v>
      </c>
      <c r="J195" s="8">
        <f t="shared" ref="J195:J258" si="9">I195-H195</f>
        <v>0.3923611111111111</v>
      </c>
      <c r="K195" s="12">
        <f t="shared" ref="K195:K258" si="10">(J195-INT(J195))*24</f>
        <v>9.4166666666666661</v>
      </c>
      <c r="L195" s="12">
        <f t="shared" si="8"/>
        <v>18.833333333333332</v>
      </c>
      <c r="M195" t="s">
        <v>25</v>
      </c>
      <c r="N195" t="s">
        <v>412</v>
      </c>
      <c r="O195" s="18" t="s">
        <v>92</v>
      </c>
      <c r="P195">
        <v>0</v>
      </c>
      <c r="Q195" s="18">
        <v>0</v>
      </c>
      <c r="R195">
        <v>6</v>
      </c>
      <c r="S195" s="18">
        <v>0</v>
      </c>
      <c r="T195">
        <v>0</v>
      </c>
      <c r="U195" s="18">
        <v>0</v>
      </c>
      <c r="AB195" t="s">
        <v>444</v>
      </c>
    </row>
    <row r="196" spans="1:28" x14ac:dyDescent="0.3">
      <c r="A196" s="7">
        <v>44821</v>
      </c>
      <c r="B196">
        <v>3</v>
      </c>
      <c r="C196" t="s">
        <v>42</v>
      </c>
      <c r="D196">
        <v>1</v>
      </c>
      <c r="E196">
        <v>1</v>
      </c>
      <c r="F196" t="s">
        <v>35</v>
      </c>
      <c r="G196">
        <v>2</v>
      </c>
      <c r="H196" s="8">
        <v>0.39583333333333331</v>
      </c>
      <c r="I196" s="8">
        <v>0.65277777777777779</v>
      </c>
      <c r="J196" s="8">
        <f t="shared" si="9"/>
        <v>0.25694444444444448</v>
      </c>
      <c r="K196" s="12">
        <f t="shared" si="10"/>
        <v>6.1666666666666679</v>
      </c>
      <c r="L196" s="12">
        <f t="shared" ref="L196:L259" si="11">G196*K196</f>
        <v>12.333333333333336</v>
      </c>
      <c r="M196" t="s">
        <v>25</v>
      </c>
      <c r="N196" t="s">
        <v>412</v>
      </c>
      <c r="O196" s="18" t="s">
        <v>422</v>
      </c>
      <c r="P196">
        <v>0</v>
      </c>
      <c r="Q196" s="18">
        <v>0</v>
      </c>
      <c r="R196">
        <v>0</v>
      </c>
      <c r="S196" s="18">
        <v>0</v>
      </c>
      <c r="T196">
        <v>0</v>
      </c>
      <c r="U196" s="18">
        <v>0</v>
      </c>
      <c r="AB196" t="s">
        <v>445</v>
      </c>
    </row>
    <row r="197" spans="1:28" x14ac:dyDescent="0.3">
      <c r="A197" s="7">
        <v>44821</v>
      </c>
      <c r="B197">
        <v>3</v>
      </c>
      <c r="C197" t="s">
        <v>42</v>
      </c>
      <c r="D197">
        <v>1</v>
      </c>
      <c r="E197">
        <v>2</v>
      </c>
      <c r="F197" t="s">
        <v>27</v>
      </c>
      <c r="G197">
        <v>1</v>
      </c>
      <c r="H197" s="8">
        <v>0.55208333333333337</v>
      </c>
      <c r="I197" s="8">
        <v>0.67013888888888884</v>
      </c>
      <c r="J197" s="8">
        <f t="shared" si="9"/>
        <v>0.11805555555555547</v>
      </c>
      <c r="K197" s="12">
        <f t="shared" si="10"/>
        <v>2.8333333333333313</v>
      </c>
      <c r="L197" s="12">
        <f t="shared" si="11"/>
        <v>2.8333333333333313</v>
      </c>
      <c r="M197" t="s">
        <v>25</v>
      </c>
      <c r="N197" t="s">
        <v>426</v>
      </c>
      <c r="O197" s="18" t="s">
        <v>446</v>
      </c>
      <c r="P197">
        <v>0</v>
      </c>
      <c r="Q197" s="18">
        <v>0</v>
      </c>
      <c r="R197">
        <v>0</v>
      </c>
      <c r="S197" s="18">
        <v>0</v>
      </c>
      <c r="T197">
        <v>0</v>
      </c>
      <c r="U197" s="18">
        <v>0</v>
      </c>
    </row>
    <row r="198" spans="1:28" x14ac:dyDescent="0.3">
      <c r="A198" s="7">
        <v>44821</v>
      </c>
      <c r="B198">
        <v>3</v>
      </c>
      <c r="C198" t="s">
        <v>42</v>
      </c>
      <c r="D198">
        <v>1</v>
      </c>
      <c r="E198">
        <v>2</v>
      </c>
      <c r="F198" t="s">
        <v>27</v>
      </c>
      <c r="G198">
        <v>1</v>
      </c>
      <c r="H198" s="8">
        <v>0.625</v>
      </c>
      <c r="I198" s="8">
        <v>0.68055555555555547</v>
      </c>
      <c r="J198" s="8">
        <f t="shared" si="9"/>
        <v>5.5555555555555469E-2</v>
      </c>
      <c r="K198" s="12">
        <f t="shared" si="10"/>
        <v>1.3333333333333313</v>
      </c>
      <c r="L198" s="12">
        <f t="shared" si="11"/>
        <v>1.3333333333333313</v>
      </c>
      <c r="M198" t="s">
        <v>28</v>
      </c>
      <c r="N198" t="s">
        <v>426</v>
      </c>
      <c r="O198" s="18" t="s">
        <v>92</v>
      </c>
      <c r="P198">
        <v>0</v>
      </c>
      <c r="Q198" s="18">
        <v>0</v>
      </c>
      <c r="R198">
        <v>0</v>
      </c>
      <c r="S198" s="18">
        <v>0</v>
      </c>
      <c r="T198">
        <v>0</v>
      </c>
      <c r="U198" s="18">
        <v>0</v>
      </c>
    </row>
    <row r="199" spans="1:28" x14ac:dyDescent="0.3">
      <c r="A199" s="7">
        <v>44821</v>
      </c>
      <c r="B199">
        <v>3</v>
      </c>
      <c r="C199" t="s">
        <v>42</v>
      </c>
      <c r="D199">
        <v>1</v>
      </c>
      <c r="E199">
        <v>2</v>
      </c>
      <c r="F199" t="s">
        <v>27</v>
      </c>
      <c r="G199">
        <v>1</v>
      </c>
      <c r="H199" s="8">
        <v>0.625</v>
      </c>
      <c r="I199" s="8">
        <v>0.68055555555555547</v>
      </c>
      <c r="J199" s="8">
        <f t="shared" si="9"/>
        <v>5.5555555555555469E-2</v>
      </c>
      <c r="K199" s="12">
        <f t="shared" si="10"/>
        <v>1.3333333333333313</v>
      </c>
      <c r="L199" s="12">
        <f t="shared" si="11"/>
        <v>1.3333333333333313</v>
      </c>
      <c r="M199" t="s">
        <v>28</v>
      </c>
      <c r="N199" t="s">
        <v>412</v>
      </c>
      <c r="O199" s="18" t="s">
        <v>92</v>
      </c>
      <c r="P199">
        <v>0</v>
      </c>
      <c r="Q199" s="18">
        <v>0</v>
      </c>
      <c r="R199">
        <v>0</v>
      </c>
      <c r="S199" s="18">
        <v>0</v>
      </c>
      <c r="T199">
        <v>0</v>
      </c>
      <c r="U199" s="18">
        <v>0</v>
      </c>
    </row>
    <row r="200" spans="1:28" x14ac:dyDescent="0.3">
      <c r="A200" s="7">
        <v>44821</v>
      </c>
      <c r="B200">
        <v>3</v>
      </c>
      <c r="C200" t="s">
        <v>42</v>
      </c>
      <c r="D200">
        <v>1</v>
      </c>
      <c r="E200">
        <v>2</v>
      </c>
      <c r="F200" t="s">
        <v>27</v>
      </c>
      <c r="G200">
        <v>1</v>
      </c>
      <c r="H200" s="8">
        <v>0.625</v>
      </c>
      <c r="I200" s="8">
        <v>0.68055555555555547</v>
      </c>
      <c r="J200" s="8">
        <f t="shared" si="9"/>
        <v>5.5555555555555469E-2</v>
      </c>
      <c r="K200" s="12">
        <f t="shared" si="10"/>
        <v>1.3333333333333313</v>
      </c>
      <c r="L200" s="12">
        <f t="shared" si="11"/>
        <v>1.3333333333333313</v>
      </c>
      <c r="M200" t="s">
        <v>28</v>
      </c>
      <c r="N200" t="s">
        <v>415</v>
      </c>
      <c r="O200" s="18" t="s">
        <v>407</v>
      </c>
      <c r="P200">
        <v>0</v>
      </c>
      <c r="Q200" s="18">
        <v>0</v>
      </c>
      <c r="R200">
        <v>0</v>
      </c>
      <c r="S200" s="18">
        <v>0</v>
      </c>
      <c r="T200">
        <v>0</v>
      </c>
      <c r="U200" s="18">
        <v>0</v>
      </c>
    </row>
    <row r="201" spans="1:28" x14ac:dyDescent="0.3">
      <c r="A201" s="7">
        <v>44821</v>
      </c>
      <c r="B201">
        <v>3</v>
      </c>
      <c r="C201" t="s">
        <v>42</v>
      </c>
      <c r="D201">
        <v>1</v>
      </c>
      <c r="E201">
        <v>2</v>
      </c>
      <c r="F201" t="s">
        <v>27</v>
      </c>
      <c r="G201">
        <v>1</v>
      </c>
      <c r="H201" s="8">
        <v>0.25</v>
      </c>
      <c r="I201" s="8">
        <v>0.69097222222222221</v>
      </c>
      <c r="J201" s="8">
        <f t="shared" si="9"/>
        <v>0.44097222222222221</v>
      </c>
      <c r="K201" s="12">
        <f t="shared" si="10"/>
        <v>10.583333333333332</v>
      </c>
      <c r="L201" s="12">
        <f t="shared" si="11"/>
        <v>10.583333333333332</v>
      </c>
      <c r="M201" t="s">
        <v>25</v>
      </c>
      <c r="N201" t="s">
        <v>412</v>
      </c>
      <c r="O201" s="18" t="s">
        <v>92</v>
      </c>
      <c r="P201">
        <v>0</v>
      </c>
      <c r="Q201" s="18">
        <v>0</v>
      </c>
      <c r="R201">
        <v>0</v>
      </c>
      <c r="S201" s="18">
        <v>0</v>
      </c>
      <c r="T201">
        <v>0</v>
      </c>
      <c r="U201" s="18">
        <v>0</v>
      </c>
    </row>
    <row r="202" spans="1:28" x14ac:dyDescent="0.3">
      <c r="A202" s="7">
        <v>44821</v>
      </c>
      <c r="B202">
        <v>3</v>
      </c>
      <c r="C202" t="s">
        <v>42</v>
      </c>
      <c r="D202">
        <v>1</v>
      </c>
      <c r="E202">
        <v>2</v>
      </c>
      <c r="F202" t="s">
        <v>27</v>
      </c>
      <c r="G202">
        <v>1</v>
      </c>
      <c r="H202" s="8">
        <v>0.68055555555555547</v>
      </c>
      <c r="I202" s="8">
        <v>0.69097222222222221</v>
      </c>
      <c r="J202" s="8">
        <f t="shared" si="9"/>
        <v>1.0416666666666741E-2</v>
      </c>
      <c r="K202" s="12">
        <f t="shared" si="10"/>
        <v>0.25000000000000178</v>
      </c>
      <c r="L202" s="12">
        <f t="shared" si="11"/>
        <v>0.25000000000000178</v>
      </c>
      <c r="M202" t="s">
        <v>25</v>
      </c>
      <c r="N202" t="s">
        <v>415</v>
      </c>
      <c r="O202" s="18" t="s">
        <v>446</v>
      </c>
      <c r="P202">
        <v>0</v>
      </c>
      <c r="Q202" s="18">
        <v>0</v>
      </c>
      <c r="R202">
        <v>0</v>
      </c>
      <c r="S202" s="18">
        <v>0</v>
      </c>
      <c r="T202">
        <v>0</v>
      </c>
      <c r="U202" s="18">
        <v>0</v>
      </c>
    </row>
    <row r="203" spans="1:28" x14ac:dyDescent="0.3">
      <c r="A203" s="7">
        <v>44821</v>
      </c>
      <c r="B203">
        <v>3</v>
      </c>
      <c r="C203" t="s">
        <v>42</v>
      </c>
      <c r="D203">
        <v>1</v>
      </c>
      <c r="E203">
        <v>2</v>
      </c>
      <c r="F203" t="s">
        <v>27</v>
      </c>
      <c r="G203">
        <v>1</v>
      </c>
      <c r="H203" s="8">
        <v>0.26041666666666669</v>
      </c>
      <c r="I203" s="8">
        <v>0.69097222222222221</v>
      </c>
      <c r="J203" s="8">
        <f t="shared" si="9"/>
        <v>0.43055555555555552</v>
      </c>
      <c r="K203" s="12">
        <f t="shared" si="10"/>
        <v>10.333333333333332</v>
      </c>
      <c r="L203" s="12">
        <f t="shared" si="11"/>
        <v>10.333333333333332</v>
      </c>
      <c r="M203" t="s">
        <v>28</v>
      </c>
      <c r="N203" t="s">
        <v>436</v>
      </c>
      <c r="O203" s="18" t="s">
        <v>92</v>
      </c>
      <c r="P203">
        <v>0</v>
      </c>
      <c r="Q203" s="18">
        <v>0</v>
      </c>
      <c r="R203">
        <v>1</v>
      </c>
      <c r="S203" s="18">
        <v>0</v>
      </c>
      <c r="T203">
        <v>0</v>
      </c>
      <c r="U203" s="18">
        <v>0</v>
      </c>
    </row>
    <row r="204" spans="1:28" x14ac:dyDescent="0.3">
      <c r="A204" s="7">
        <v>44821</v>
      </c>
      <c r="B204">
        <v>3</v>
      </c>
      <c r="C204" t="s">
        <v>42</v>
      </c>
      <c r="D204">
        <v>2</v>
      </c>
      <c r="E204">
        <v>2</v>
      </c>
      <c r="F204" t="s">
        <v>27</v>
      </c>
      <c r="G204">
        <v>2</v>
      </c>
      <c r="H204" s="8">
        <v>0.33333333333333331</v>
      </c>
      <c r="I204" s="8">
        <v>0.70833333333333337</v>
      </c>
      <c r="J204" s="8">
        <f t="shared" si="9"/>
        <v>0.37500000000000006</v>
      </c>
      <c r="K204" s="12">
        <f t="shared" si="10"/>
        <v>9.0000000000000018</v>
      </c>
      <c r="L204" s="12">
        <f t="shared" si="11"/>
        <v>18.000000000000004</v>
      </c>
      <c r="M204" t="s">
        <v>28</v>
      </c>
      <c r="N204" t="s">
        <v>411</v>
      </c>
      <c r="O204" s="18" t="s">
        <v>92</v>
      </c>
      <c r="P204">
        <v>0</v>
      </c>
      <c r="Q204" s="18">
        <v>0</v>
      </c>
      <c r="R204">
        <v>0</v>
      </c>
      <c r="S204" s="18">
        <v>0</v>
      </c>
      <c r="T204">
        <v>0</v>
      </c>
      <c r="U204" s="18">
        <v>0</v>
      </c>
    </row>
    <row r="205" spans="1:28" x14ac:dyDescent="0.3">
      <c r="A205" s="7">
        <v>44821</v>
      </c>
      <c r="B205">
        <v>3</v>
      </c>
      <c r="C205" t="s">
        <v>42</v>
      </c>
      <c r="D205">
        <v>2</v>
      </c>
      <c r="E205">
        <v>2</v>
      </c>
      <c r="F205" t="s">
        <v>27</v>
      </c>
      <c r="G205">
        <v>1</v>
      </c>
      <c r="H205" s="8">
        <v>0.70833333333333337</v>
      </c>
      <c r="I205" s="8">
        <v>0.71527777777777779</v>
      </c>
      <c r="J205" s="8">
        <f t="shared" si="9"/>
        <v>6.9444444444444198E-3</v>
      </c>
      <c r="K205" s="12">
        <f t="shared" si="10"/>
        <v>0.16666666666666607</v>
      </c>
      <c r="L205" s="12">
        <f t="shared" si="11"/>
        <v>0.16666666666666607</v>
      </c>
      <c r="M205" t="s">
        <v>28</v>
      </c>
      <c r="N205" t="s">
        <v>408</v>
      </c>
      <c r="O205" s="18" t="s">
        <v>407</v>
      </c>
      <c r="P205">
        <v>0</v>
      </c>
      <c r="Q205" s="18">
        <v>0</v>
      </c>
      <c r="R205">
        <v>0</v>
      </c>
      <c r="S205" s="18">
        <v>0</v>
      </c>
      <c r="T205">
        <v>0</v>
      </c>
      <c r="U205" s="18">
        <v>0</v>
      </c>
    </row>
    <row r="206" spans="1:28" x14ac:dyDescent="0.3">
      <c r="A206" s="7">
        <v>44821</v>
      </c>
      <c r="B206">
        <v>3</v>
      </c>
      <c r="C206" t="s">
        <v>42</v>
      </c>
      <c r="D206">
        <v>2</v>
      </c>
      <c r="E206">
        <v>2</v>
      </c>
      <c r="F206" t="s">
        <v>35</v>
      </c>
      <c r="G206">
        <v>3</v>
      </c>
      <c r="H206" s="8">
        <v>0.71527777777777779</v>
      </c>
      <c r="I206" s="8">
        <v>0.72569444444444453</v>
      </c>
      <c r="J206" s="8">
        <f t="shared" si="9"/>
        <v>1.0416666666666741E-2</v>
      </c>
      <c r="K206" s="12">
        <f t="shared" si="10"/>
        <v>0.25000000000000178</v>
      </c>
      <c r="L206" s="12">
        <f t="shared" si="11"/>
        <v>0.75000000000000533</v>
      </c>
      <c r="M206" t="s">
        <v>28</v>
      </c>
      <c r="N206" t="s">
        <v>415</v>
      </c>
      <c r="O206" s="18" t="s">
        <v>407</v>
      </c>
      <c r="P206">
        <v>0</v>
      </c>
      <c r="Q206" s="18">
        <v>0</v>
      </c>
      <c r="R206">
        <v>0</v>
      </c>
      <c r="S206" s="18">
        <v>0</v>
      </c>
      <c r="T206">
        <v>0</v>
      </c>
      <c r="U206" s="18">
        <v>0</v>
      </c>
    </row>
    <row r="207" spans="1:28" x14ac:dyDescent="0.3">
      <c r="A207" s="7">
        <v>44821</v>
      </c>
      <c r="B207">
        <v>3</v>
      </c>
      <c r="C207" t="s">
        <v>42</v>
      </c>
      <c r="D207">
        <v>2</v>
      </c>
      <c r="E207">
        <v>2</v>
      </c>
      <c r="F207" t="s">
        <v>27</v>
      </c>
      <c r="G207">
        <v>3</v>
      </c>
      <c r="H207" s="8">
        <v>0.69097222222222221</v>
      </c>
      <c r="I207" s="8">
        <v>0.73263888888888884</v>
      </c>
      <c r="J207" s="8">
        <f t="shared" si="9"/>
        <v>4.166666666666663E-2</v>
      </c>
      <c r="K207" s="12">
        <f t="shared" si="10"/>
        <v>0.99999999999999911</v>
      </c>
      <c r="L207" s="12">
        <f t="shared" si="11"/>
        <v>2.9999999999999973</v>
      </c>
      <c r="M207" t="s">
        <v>25</v>
      </c>
      <c r="N207" t="s">
        <v>411</v>
      </c>
      <c r="O207" s="18" t="s">
        <v>422</v>
      </c>
      <c r="P207">
        <v>0</v>
      </c>
      <c r="Q207" s="18">
        <v>0</v>
      </c>
      <c r="R207">
        <v>0</v>
      </c>
      <c r="S207" s="18">
        <v>0</v>
      </c>
      <c r="T207">
        <v>0</v>
      </c>
      <c r="U207" s="18">
        <v>0</v>
      </c>
    </row>
    <row r="208" spans="1:28" x14ac:dyDescent="0.3">
      <c r="A208" s="7">
        <v>44821</v>
      </c>
      <c r="B208">
        <v>3</v>
      </c>
      <c r="C208" t="s">
        <v>42</v>
      </c>
      <c r="D208">
        <v>2</v>
      </c>
      <c r="E208">
        <v>3</v>
      </c>
      <c r="F208" t="s">
        <v>27</v>
      </c>
      <c r="G208">
        <v>2</v>
      </c>
      <c r="H208" s="8">
        <v>0.69791666666666663</v>
      </c>
      <c r="I208" s="8">
        <v>0.74305555555555547</v>
      </c>
      <c r="J208" s="8">
        <f t="shared" si="9"/>
        <v>4.513888888888884E-2</v>
      </c>
      <c r="K208" s="12">
        <f t="shared" si="10"/>
        <v>1.0833333333333321</v>
      </c>
      <c r="L208" s="12">
        <f t="shared" si="11"/>
        <v>2.1666666666666643</v>
      </c>
      <c r="M208" t="s">
        <v>28</v>
      </c>
      <c r="N208" t="s">
        <v>411</v>
      </c>
      <c r="O208" s="18" t="s">
        <v>405</v>
      </c>
      <c r="P208">
        <v>0</v>
      </c>
      <c r="Q208" s="18">
        <v>0</v>
      </c>
      <c r="R208">
        <v>0</v>
      </c>
      <c r="S208" s="18">
        <v>0</v>
      </c>
      <c r="T208">
        <v>0</v>
      </c>
      <c r="U208" s="18">
        <v>0</v>
      </c>
    </row>
    <row r="209" spans="1:28" x14ac:dyDescent="0.3">
      <c r="A209" s="7">
        <v>44821</v>
      </c>
      <c r="B209">
        <v>3</v>
      </c>
      <c r="C209" t="s">
        <v>42</v>
      </c>
      <c r="D209">
        <v>2</v>
      </c>
      <c r="E209">
        <v>3</v>
      </c>
      <c r="F209" t="s">
        <v>27</v>
      </c>
      <c r="G209">
        <v>2</v>
      </c>
      <c r="H209" s="8">
        <v>0.61458333333333337</v>
      </c>
      <c r="I209" s="8">
        <v>0.74305555555555547</v>
      </c>
      <c r="J209" s="8">
        <f t="shared" si="9"/>
        <v>0.1284722222222221</v>
      </c>
      <c r="K209" s="12">
        <f t="shared" si="10"/>
        <v>3.0833333333333304</v>
      </c>
      <c r="L209" s="12">
        <f t="shared" si="11"/>
        <v>6.1666666666666607</v>
      </c>
      <c r="M209" t="s">
        <v>28</v>
      </c>
      <c r="N209" t="s">
        <v>411</v>
      </c>
      <c r="O209" s="18" t="s">
        <v>407</v>
      </c>
      <c r="P209">
        <v>3</v>
      </c>
      <c r="Q209" s="18">
        <v>0</v>
      </c>
      <c r="R209">
        <v>0</v>
      </c>
      <c r="S209" s="18">
        <v>0</v>
      </c>
      <c r="T209">
        <v>0</v>
      </c>
      <c r="U209" s="18">
        <v>0</v>
      </c>
      <c r="V209">
        <v>3</v>
      </c>
      <c r="AB209" t="s">
        <v>442</v>
      </c>
    </row>
    <row r="210" spans="1:28" x14ac:dyDescent="0.3">
      <c r="A210" s="7">
        <v>44821</v>
      </c>
      <c r="B210">
        <v>3</v>
      </c>
      <c r="C210" t="s">
        <v>42</v>
      </c>
      <c r="D210">
        <v>2</v>
      </c>
      <c r="E210">
        <v>4</v>
      </c>
      <c r="F210" t="s">
        <v>27</v>
      </c>
      <c r="G210">
        <v>3</v>
      </c>
      <c r="H210" s="8">
        <v>0.66666666666666663</v>
      </c>
      <c r="I210" s="8">
        <v>0.75</v>
      </c>
      <c r="J210" s="8">
        <f t="shared" si="9"/>
        <v>8.333333333333337E-2</v>
      </c>
      <c r="K210" s="12">
        <f t="shared" si="10"/>
        <v>2.0000000000000009</v>
      </c>
      <c r="L210" s="12">
        <f t="shared" si="11"/>
        <v>6.0000000000000027</v>
      </c>
      <c r="M210" t="s">
        <v>25</v>
      </c>
      <c r="N210" t="s">
        <v>411</v>
      </c>
      <c r="O210" s="18" t="s">
        <v>422</v>
      </c>
      <c r="P210">
        <v>0</v>
      </c>
      <c r="Q210" s="18">
        <v>0</v>
      </c>
      <c r="R210">
        <v>0</v>
      </c>
      <c r="S210" s="18">
        <v>0</v>
      </c>
      <c r="T210">
        <v>0</v>
      </c>
      <c r="U210" s="18">
        <v>0</v>
      </c>
    </row>
    <row r="211" spans="1:28" x14ac:dyDescent="0.3">
      <c r="A211" s="7">
        <v>44821</v>
      </c>
      <c r="B211">
        <v>3</v>
      </c>
      <c r="C211" t="s">
        <v>42</v>
      </c>
      <c r="D211">
        <v>2</v>
      </c>
      <c r="E211">
        <v>5</v>
      </c>
      <c r="F211" t="s">
        <v>27</v>
      </c>
      <c r="G211">
        <v>3</v>
      </c>
      <c r="H211" s="8">
        <v>0.68055555555555547</v>
      </c>
      <c r="I211" s="8">
        <v>0.76736111111111116</v>
      </c>
      <c r="J211" s="8">
        <f t="shared" si="9"/>
        <v>8.6805555555555691E-2</v>
      </c>
      <c r="K211" s="12">
        <f t="shared" si="10"/>
        <v>2.0833333333333366</v>
      </c>
      <c r="L211" s="12">
        <f t="shared" si="11"/>
        <v>6.2500000000000098</v>
      </c>
      <c r="M211" t="s">
        <v>28</v>
      </c>
      <c r="N211" t="s">
        <v>406</v>
      </c>
      <c r="O211" s="18" t="s">
        <v>92</v>
      </c>
      <c r="P211">
        <v>1</v>
      </c>
      <c r="Q211" s="18">
        <v>0</v>
      </c>
      <c r="R211">
        <v>0</v>
      </c>
      <c r="S211" s="18">
        <v>0</v>
      </c>
      <c r="T211">
        <v>0</v>
      </c>
      <c r="U211" s="18">
        <v>0</v>
      </c>
    </row>
    <row r="212" spans="1:28" s="26" customFormat="1" x14ac:dyDescent="0.3">
      <c r="A212" s="25">
        <v>44821</v>
      </c>
      <c r="B212" s="26">
        <v>3</v>
      </c>
      <c r="C212" s="26" t="s">
        <v>42</v>
      </c>
      <c r="D212" s="26">
        <v>2</v>
      </c>
      <c r="E212" s="26">
        <v>5</v>
      </c>
      <c r="F212" s="26" t="s">
        <v>27</v>
      </c>
      <c r="G212" s="26">
        <v>1</v>
      </c>
      <c r="H212" s="27">
        <v>0.52083333333333337</v>
      </c>
      <c r="I212" s="27">
        <v>0.77083333333333337</v>
      </c>
      <c r="J212" s="8">
        <f t="shared" si="9"/>
        <v>0.25</v>
      </c>
      <c r="K212" s="12">
        <f t="shared" si="10"/>
        <v>6</v>
      </c>
      <c r="L212" s="12">
        <f t="shared" si="11"/>
        <v>6</v>
      </c>
      <c r="M212" s="26" t="s">
        <v>28</v>
      </c>
      <c r="N212" s="26" t="s">
        <v>447</v>
      </c>
      <c r="O212" s="28" t="s">
        <v>422</v>
      </c>
      <c r="P212" s="26">
        <v>0</v>
      </c>
      <c r="Q212" s="28">
        <v>0</v>
      </c>
      <c r="R212" s="26">
        <v>0</v>
      </c>
      <c r="S212" s="28">
        <v>0</v>
      </c>
      <c r="T212" s="26">
        <v>0</v>
      </c>
      <c r="U212" s="28">
        <v>0</v>
      </c>
    </row>
    <row r="213" spans="1:28" x14ac:dyDescent="0.3">
      <c r="A213" s="7">
        <v>44825</v>
      </c>
      <c r="B213">
        <v>4</v>
      </c>
      <c r="C213" t="s">
        <v>26</v>
      </c>
      <c r="D213">
        <v>2</v>
      </c>
      <c r="E213">
        <v>5</v>
      </c>
      <c r="F213" t="s">
        <v>27</v>
      </c>
      <c r="G213">
        <v>1</v>
      </c>
      <c r="H213" s="8">
        <v>0.29166666666666669</v>
      </c>
      <c r="I213" s="8">
        <v>0.40972222222222227</v>
      </c>
      <c r="J213" s="8">
        <f t="shared" si="9"/>
        <v>0.11805555555555558</v>
      </c>
      <c r="K213" s="12">
        <f t="shared" si="10"/>
        <v>2.8333333333333339</v>
      </c>
      <c r="L213" s="12">
        <f t="shared" si="11"/>
        <v>2.8333333333333339</v>
      </c>
      <c r="M213" t="s">
        <v>28</v>
      </c>
      <c r="N213" t="s">
        <v>411</v>
      </c>
      <c r="O213" s="18" t="s">
        <v>422</v>
      </c>
      <c r="P213">
        <v>0</v>
      </c>
      <c r="Q213" s="18">
        <v>0</v>
      </c>
      <c r="R213">
        <v>0</v>
      </c>
      <c r="S213" s="18">
        <v>0</v>
      </c>
      <c r="T213">
        <v>0</v>
      </c>
      <c r="U213" s="18">
        <v>0</v>
      </c>
      <c r="AB213" t="s">
        <v>448</v>
      </c>
    </row>
    <row r="214" spans="1:28" x14ac:dyDescent="0.3">
      <c r="A214" s="7">
        <v>44825</v>
      </c>
      <c r="B214">
        <v>4</v>
      </c>
      <c r="C214" t="s">
        <v>26</v>
      </c>
      <c r="D214">
        <v>2</v>
      </c>
      <c r="E214">
        <v>5</v>
      </c>
      <c r="F214" t="s">
        <v>27</v>
      </c>
      <c r="G214">
        <v>2</v>
      </c>
      <c r="H214" s="8">
        <v>0.29166666666666669</v>
      </c>
      <c r="I214" s="8">
        <v>0.33333333333333331</v>
      </c>
      <c r="J214" s="8">
        <f t="shared" si="9"/>
        <v>4.166666666666663E-2</v>
      </c>
      <c r="K214" s="12">
        <f t="shared" si="10"/>
        <v>0.99999999999999911</v>
      </c>
      <c r="L214" s="12">
        <f t="shared" si="11"/>
        <v>1.9999999999999982</v>
      </c>
      <c r="M214" t="s">
        <v>28</v>
      </c>
      <c r="N214" t="s">
        <v>411</v>
      </c>
      <c r="O214" s="18" t="s">
        <v>422</v>
      </c>
      <c r="P214">
        <v>0</v>
      </c>
      <c r="Q214" s="18">
        <v>0</v>
      </c>
      <c r="R214">
        <v>0</v>
      </c>
      <c r="S214" s="18">
        <v>0</v>
      </c>
      <c r="T214">
        <v>0</v>
      </c>
      <c r="U214" s="18">
        <v>0</v>
      </c>
    </row>
    <row r="215" spans="1:28" x14ac:dyDescent="0.3">
      <c r="A215" s="7">
        <v>44825</v>
      </c>
      <c r="B215">
        <v>4</v>
      </c>
      <c r="C215" t="s">
        <v>26</v>
      </c>
      <c r="D215">
        <v>2</v>
      </c>
      <c r="E215">
        <v>5</v>
      </c>
      <c r="F215" t="s">
        <v>27</v>
      </c>
      <c r="G215">
        <v>2</v>
      </c>
      <c r="H215" s="8">
        <v>0.24305555555555555</v>
      </c>
      <c r="I215" s="8">
        <v>0.33333333333333331</v>
      </c>
      <c r="J215" s="8">
        <f t="shared" si="9"/>
        <v>9.0277777777777762E-2</v>
      </c>
      <c r="K215" s="12">
        <f t="shared" si="10"/>
        <v>2.1666666666666661</v>
      </c>
      <c r="L215" s="12">
        <f t="shared" si="11"/>
        <v>4.3333333333333321</v>
      </c>
      <c r="M215" t="s">
        <v>28</v>
      </c>
      <c r="N215" t="s">
        <v>411</v>
      </c>
      <c r="O215" s="18" t="s">
        <v>410</v>
      </c>
      <c r="P215">
        <v>0</v>
      </c>
      <c r="Q215" s="18">
        <v>0</v>
      </c>
      <c r="R215">
        <v>0</v>
      </c>
      <c r="S215" s="18">
        <v>0</v>
      </c>
      <c r="T215">
        <v>0</v>
      </c>
      <c r="U215" s="18">
        <v>0</v>
      </c>
    </row>
    <row r="216" spans="1:28" x14ac:dyDescent="0.3">
      <c r="A216" s="7">
        <v>44825</v>
      </c>
      <c r="B216">
        <v>4</v>
      </c>
      <c r="C216" t="s">
        <v>26</v>
      </c>
      <c r="D216">
        <v>2</v>
      </c>
      <c r="E216">
        <v>5</v>
      </c>
      <c r="F216" t="s">
        <v>27</v>
      </c>
      <c r="G216">
        <v>1</v>
      </c>
      <c r="H216" s="8">
        <v>0.27083333333333331</v>
      </c>
      <c r="I216" s="8">
        <v>0.33333333333333331</v>
      </c>
      <c r="J216" s="8">
        <f t="shared" si="9"/>
        <v>6.25E-2</v>
      </c>
      <c r="K216" s="12">
        <f t="shared" si="10"/>
        <v>1.5</v>
      </c>
      <c r="L216" s="12">
        <f t="shared" si="11"/>
        <v>1.5</v>
      </c>
      <c r="M216" t="s">
        <v>28</v>
      </c>
      <c r="N216" t="s">
        <v>406</v>
      </c>
      <c r="O216" s="18" t="s">
        <v>410</v>
      </c>
      <c r="P216">
        <v>0</v>
      </c>
      <c r="Q216" s="18">
        <v>0</v>
      </c>
      <c r="R216">
        <v>0</v>
      </c>
      <c r="S216" s="18">
        <v>0</v>
      </c>
      <c r="T216">
        <v>0</v>
      </c>
      <c r="U216" s="18">
        <v>0</v>
      </c>
    </row>
    <row r="217" spans="1:28" x14ac:dyDescent="0.3">
      <c r="A217" s="7">
        <v>44825</v>
      </c>
      <c r="B217">
        <v>4</v>
      </c>
      <c r="C217" t="s">
        <v>26</v>
      </c>
      <c r="D217">
        <v>2</v>
      </c>
      <c r="E217">
        <v>4</v>
      </c>
      <c r="F217" t="s">
        <v>27</v>
      </c>
      <c r="G217">
        <v>2</v>
      </c>
      <c r="H217" s="8">
        <v>0.25</v>
      </c>
      <c r="I217" s="8">
        <v>0.35069444444444442</v>
      </c>
      <c r="J217" s="8">
        <f t="shared" si="9"/>
        <v>0.10069444444444442</v>
      </c>
      <c r="K217" s="12">
        <f t="shared" si="10"/>
        <v>2.4166666666666661</v>
      </c>
      <c r="L217" s="12">
        <f t="shared" si="11"/>
        <v>4.8333333333333321</v>
      </c>
      <c r="M217" t="s">
        <v>28</v>
      </c>
      <c r="N217" t="s">
        <v>411</v>
      </c>
      <c r="O217" s="18" t="s">
        <v>422</v>
      </c>
      <c r="P217">
        <v>2</v>
      </c>
      <c r="Q217" s="18">
        <v>0</v>
      </c>
      <c r="R217">
        <v>0</v>
      </c>
      <c r="S217" s="18">
        <v>0</v>
      </c>
      <c r="T217">
        <v>0</v>
      </c>
      <c r="U217" s="18">
        <v>0</v>
      </c>
      <c r="V217">
        <v>1</v>
      </c>
      <c r="AB217" t="s">
        <v>184</v>
      </c>
    </row>
    <row r="218" spans="1:28" x14ac:dyDescent="0.3">
      <c r="A218" s="7">
        <v>44825</v>
      </c>
      <c r="B218">
        <v>4</v>
      </c>
      <c r="C218" t="s">
        <v>26</v>
      </c>
      <c r="D218">
        <v>2</v>
      </c>
      <c r="E218">
        <v>4</v>
      </c>
      <c r="F218" t="s">
        <v>27</v>
      </c>
      <c r="G218">
        <v>3</v>
      </c>
      <c r="H218" s="8">
        <v>0.3125</v>
      </c>
      <c r="I218" s="8">
        <v>0.3576388888888889</v>
      </c>
      <c r="J218" s="8">
        <f t="shared" si="9"/>
        <v>4.5138888888888895E-2</v>
      </c>
      <c r="K218" s="12">
        <f t="shared" si="10"/>
        <v>1.0833333333333335</v>
      </c>
      <c r="L218" s="12">
        <f t="shared" si="11"/>
        <v>3.2500000000000004</v>
      </c>
      <c r="M218" t="s">
        <v>28</v>
      </c>
      <c r="N218" t="s">
        <v>411</v>
      </c>
      <c r="O218" s="18" t="s">
        <v>422</v>
      </c>
      <c r="P218">
        <v>2</v>
      </c>
      <c r="Q218" s="18">
        <v>0</v>
      </c>
      <c r="R218">
        <v>0</v>
      </c>
      <c r="S218" s="18">
        <v>0</v>
      </c>
      <c r="T218">
        <v>0</v>
      </c>
      <c r="U218" s="18">
        <v>0</v>
      </c>
    </row>
    <row r="219" spans="1:28" x14ac:dyDescent="0.3">
      <c r="A219" s="7">
        <v>44825</v>
      </c>
      <c r="B219">
        <v>4</v>
      </c>
      <c r="C219" t="s">
        <v>26</v>
      </c>
      <c r="D219">
        <v>2</v>
      </c>
      <c r="E219">
        <v>4</v>
      </c>
      <c r="F219" t="s">
        <v>27</v>
      </c>
      <c r="G219">
        <v>1</v>
      </c>
      <c r="H219" s="8">
        <v>0.29166666666666669</v>
      </c>
      <c r="I219" s="8">
        <v>0.3576388888888889</v>
      </c>
      <c r="J219" s="8">
        <f t="shared" si="9"/>
        <v>6.597222222222221E-2</v>
      </c>
      <c r="K219" s="12">
        <f t="shared" si="10"/>
        <v>1.583333333333333</v>
      </c>
      <c r="L219" s="12">
        <f t="shared" si="11"/>
        <v>1.583333333333333</v>
      </c>
      <c r="M219" t="s">
        <v>28</v>
      </c>
      <c r="N219" t="s">
        <v>411</v>
      </c>
      <c r="O219" s="18" t="s">
        <v>422</v>
      </c>
      <c r="P219">
        <v>0</v>
      </c>
      <c r="Q219" s="18">
        <v>1</v>
      </c>
      <c r="R219">
        <v>0</v>
      </c>
      <c r="S219" s="18">
        <v>0</v>
      </c>
      <c r="T219">
        <v>0</v>
      </c>
      <c r="U219" s="18">
        <v>0</v>
      </c>
      <c r="W219">
        <v>1</v>
      </c>
      <c r="AB219" t="s">
        <v>427</v>
      </c>
    </row>
    <row r="220" spans="1:28" x14ac:dyDescent="0.3">
      <c r="A220" s="7">
        <v>44825</v>
      </c>
      <c r="B220">
        <v>4</v>
      </c>
      <c r="C220" t="s">
        <v>26</v>
      </c>
      <c r="D220">
        <v>2</v>
      </c>
      <c r="E220">
        <v>3</v>
      </c>
      <c r="F220" t="s">
        <v>27</v>
      </c>
      <c r="G220">
        <v>1</v>
      </c>
      <c r="H220" s="8">
        <v>0.27083333333333331</v>
      </c>
      <c r="I220" s="8">
        <v>0.375</v>
      </c>
      <c r="J220" s="8">
        <f t="shared" si="9"/>
        <v>0.10416666666666669</v>
      </c>
      <c r="K220" s="12">
        <f t="shared" si="10"/>
        <v>2.5000000000000004</v>
      </c>
      <c r="L220" s="12">
        <f t="shared" si="11"/>
        <v>2.5000000000000004</v>
      </c>
      <c r="M220" t="s">
        <v>28</v>
      </c>
      <c r="N220" t="s">
        <v>408</v>
      </c>
      <c r="O220" s="18" t="s">
        <v>422</v>
      </c>
      <c r="P220">
        <v>1</v>
      </c>
      <c r="Q220" s="18">
        <v>0</v>
      </c>
      <c r="R220">
        <v>0</v>
      </c>
      <c r="S220" s="18">
        <v>0</v>
      </c>
      <c r="T220">
        <v>0</v>
      </c>
      <c r="U220" s="18">
        <v>0</v>
      </c>
      <c r="V220">
        <v>1</v>
      </c>
      <c r="AB220" t="s">
        <v>427</v>
      </c>
    </row>
    <row r="221" spans="1:28" x14ac:dyDescent="0.3">
      <c r="A221" s="7">
        <v>44825</v>
      </c>
      <c r="B221">
        <v>4</v>
      </c>
      <c r="C221" t="s">
        <v>26</v>
      </c>
      <c r="D221">
        <v>2</v>
      </c>
      <c r="E221">
        <v>3</v>
      </c>
      <c r="F221" t="s">
        <v>27</v>
      </c>
      <c r="G221">
        <v>1</v>
      </c>
      <c r="H221" s="8">
        <v>0.26041666666666669</v>
      </c>
      <c r="I221" s="8">
        <v>0.375</v>
      </c>
      <c r="J221" s="8">
        <f t="shared" si="9"/>
        <v>0.11458333333333331</v>
      </c>
      <c r="K221" s="12">
        <f t="shared" si="10"/>
        <v>2.7499999999999996</v>
      </c>
      <c r="L221" s="12">
        <f t="shared" si="11"/>
        <v>2.7499999999999996</v>
      </c>
      <c r="M221" t="s">
        <v>28</v>
      </c>
      <c r="N221" t="s">
        <v>411</v>
      </c>
      <c r="O221" s="18" t="s">
        <v>422</v>
      </c>
      <c r="P221">
        <v>2</v>
      </c>
      <c r="Q221" s="18">
        <v>0</v>
      </c>
      <c r="R221">
        <v>1</v>
      </c>
      <c r="S221" s="18">
        <v>0</v>
      </c>
      <c r="T221">
        <v>0</v>
      </c>
      <c r="U221" s="18">
        <v>0</v>
      </c>
    </row>
    <row r="222" spans="1:28" x14ac:dyDescent="0.3">
      <c r="A222" s="7">
        <v>44825</v>
      </c>
      <c r="B222">
        <v>4</v>
      </c>
      <c r="C222" t="s">
        <v>26</v>
      </c>
      <c r="D222">
        <v>2</v>
      </c>
      <c r="E222">
        <v>3</v>
      </c>
      <c r="F222" t="s">
        <v>27</v>
      </c>
      <c r="G222">
        <v>2</v>
      </c>
      <c r="H222" s="8">
        <v>0.33055555555555555</v>
      </c>
      <c r="I222" s="8">
        <v>0.375</v>
      </c>
      <c r="J222" s="8">
        <f t="shared" si="9"/>
        <v>4.4444444444444453E-2</v>
      </c>
      <c r="K222" s="12">
        <f t="shared" si="10"/>
        <v>1.0666666666666669</v>
      </c>
      <c r="L222" s="12">
        <f t="shared" si="11"/>
        <v>2.1333333333333337</v>
      </c>
      <c r="M222" t="s">
        <v>28</v>
      </c>
      <c r="N222" t="s">
        <v>411</v>
      </c>
      <c r="O222" s="18" t="s">
        <v>422</v>
      </c>
      <c r="P222">
        <v>0</v>
      </c>
      <c r="Q222" s="18">
        <v>0</v>
      </c>
      <c r="R222">
        <v>1</v>
      </c>
      <c r="S222" s="18">
        <v>0</v>
      </c>
      <c r="T222">
        <v>0</v>
      </c>
      <c r="U222" s="18">
        <v>0</v>
      </c>
    </row>
    <row r="223" spans="1:28" x14ac:dyDescent="0.3">
      <c r="A223" s="7">
        <v>44825</v>
      </c>
      <c r="B223">
        <v>4</v>
      </c>
      <c r="C223" t="s">
        <v>26</v>
      </c>
      <c r="D223">
        <v>2</v>
      </c>
      <c r="E223">
        <v>3</v>
      </c>
      <c r="F223" t="s">
        <v>27</v>
      </c>
      <c r="G223">
        <v>1</v>
      </c>
      <c r="H223" s="8">
        <v>0.33333333333333331</v>
      </c>
      <c r="I223" s="8">
        <v>0.37847222222222227</v>
      </c>
      <c r="J223" s="8">
        <f t="shared" si="9"/>
        <v>4.5138888888888951E-2</v>
      </c>
      <c r="K223" s="12">
        <f t="shared" si="10"/>
        <v>1.0833333333333348</v>
      </c>
      <c r="L223" s="12">
        <f t="shared" si="11"/>
        <v>1.0833333333333348</v>
      </c>
      <c r="M223" t="s">
        <v>28</v>
      </c>
      <c r="N223" t="s">
        <v>411</v>
      </c>
      <c r="O223" s="18" t="s">
        <v>92</v>
      </c>
      <c r="P223">
        <v>0</v>
      </c>
      <c r="Q223" s="18">
        <v>0</v>
      </c>
      <c r="R223">
        <v>0</v>
      </c>
      <c r="S223" s="18">
        <v>0</v>
      </c>
      <c r="T223">
        <v>0</v>
      </c>
      <c r="U223" s="18">
        <v>0</v>
      </c>
    </row>
    <row r="224" spans="1:28" x14ac:dyDescent="0.3">
      <c r="A224" s="7">
        <v>44825</v>
      </c>
      <c r="B224">
        <v>4</v>
      </c>
      <c r="C224" t="s">
        <v>26</v>
      </c>
      <c r="D224">
        <v>2</v>
      </c>
      <c r="E224">
        <v>2</v>
      </c>
      <c r="F224" t="s">
        <v>27</v>
      </c>
      <c r="G224">
        <v>1</v>
      </c>
      <c r="H224" s="8">
        <v>0.3611111111111111</v>
      </c>
      <c r="I224" s="8">
        <v>0.39583333333333331</v>
      </c>
      <c r="J224" s="8">
        <f t="shared" si="9"/>
        <v>3.472222222222221E-2</v>
      </c>
      <c r="K224" s="12">
        <f t="shared" si="10"/>
        <v>0.83333333333333304</v>
      </c>
      <c r="L224" s="12">
        <f t="shared" si="11"/>
        <v>0.83333333333333304</v>
      </c>
      <c r="M224" t="s">
        <v>28</v>
      </c>
      <c r="N224" t="s">
        <v>411</v>
      </c>
      <c r="O224" s="18" t="s">
        <v>92</v>
      </c>
      <c r="P224">
        <v>0</v>
      </c>
      <c r="Q224" s="18">
        <v>0</v>
      </c>
      <c r="R224">
        <v>0</v>
      </c>
      <c r="S224" s="18">
        <v>0</v>
      </c>
      <c r="T224">
        <v>0</v>
      </c>
      <c r="U224" s="18">
        <v>0</v>
      </c>
    </row>
    <row r="225" spans="1:28" x14ac:dyDescent="0.3">
      <c r="A225" s="7">
        <v>44825</v>
      </c>
      <c r="B225">
        <v>4</v>
      </c>
      <c r="C225" t="s">
        <v>26</v>
      </c>
      <c r="D225">
        <v>2</v>
      </c>
      <c r="E225">
        <v>2</v>
      </c>
      <c r="F225" t="s">
        <v>27</v>
      </c>
      <c r="G225">
        <v>1</v>
      </c>
      <c r="H225" s="8">
        <v>0.29166666666666669</v>
      </c>
      <c r="I225" s="8">
        <v>0.39583333333333331</v>
      </c>
      <c r="J225" s="8">
        <f t="shared" si="9"/>
        <v>0.10416666666666663</v>
      </c>
      <c r="K225" s="12">
        <f t="shared" si="10"/>
        <v>2.4999999999999991</v>
      </c>
      <c r="L225" s="12">
        <f t="shared" si="11"/>
        <v>2.4999999999999991</v>
      </c>
      <c r="M225" t="s">
        <v>28</v>
      </c>
      <c r="N225" t="s">
        <v>415</v>
      </c>
      <c r="O225" s="18" t="s">
        <v>405</v>
      </c>
      <c r="P225">
        <v>0</v>
      </c>
      <c r="Q225" s="18">
        <v>0</v>
      </c>
      <c r="R225">
        <v>0</v>
      </c>
      <c r="S225" s="18">
        <v>0</v>
      </c>
      <c r="T225">
        <v>0</v>
      </c>
      <c r="U225" s="18">
        <v>0</v>
      </c>
    </row>
    <row r="226" spans="1:28" x14ac:dyDescent="0.3">
      <c r="A226" s="7">
        <v>44825</v>
      </c>
      <c r="B226">
        <v>4</v>
      </c>
      <c r="C226" t="s">
        <v>26</v>
      </c>
      <c r="D226">
        <v>2</v>
      </c>
      <c r="E226">
        <v>2</v>
      </c>
      <c r="F226" t="s">
        <v>27</v>
      </c>
      <c r="G226">
        <v>1</v>
      </c>
      <c r="H226" s="8">
        <v>0.26041666666666669</v>
      </c>
      <c r="I226" s="8">
        <v>0.39583333333333331</v>
      </c>
      <c r="J226" s="8">
        <f t="shared" si="9"/>
        <v>0.13541666666666663</v>
      </c>
      <c r="K226" s="12">
        <f t="shared" si="10"/>
        <v>3.2499999999999991</v>
      </c>
      <c r="L226" s="12">
        <f t="shared" si="11"/>
        <v>3.2499999999999991</v>
      </c>
      <c r="M226" t="s">
        <v>28</v>
      </c>
      <c r="N226" t="s">
        <v>411</v>
      </c>
      <c r="O226" s="18" t="s">
        <v>92</v>
      </c>
      <c r="P226">
        <v>0</v>
      </c>
      <c r="Q226" s="18">
        <v>0</v>
      </c>
      <c r="R226">
        <v>1</v>
      </c>
      <c r="S226" s="18">
        <v>0</v>
      </c>
      <c r="T226">
        <v>0</v>
      </c>
      <c r="U226" s="18">
        <v>0</v>
      </c>
    </row>
    <row r="227" spans="1:28" x14ac:dyDescent="0.3">
      <c r="A227" s="7">
        <v>44825</v>
      </c>
      <c r="B227">
        <v>4</v>
      </c>
      <c r="C227" t="s">
        <v>26</v>
      </c>
      <c r="D227">
        <v>2</v>
      </c>
      <c r="E227">
        <v>1</v>
      </c>
      <c r="F227" t="s">
        <v>27</v>
      </c>
      <c r="G227">
        <v>1</v>
      </c>
      <c r="H227" s="8">
        <v>0.31944444444444448</v>
      </c>
      <c r="I227" s="8">
        <v>0.39583333333333331</v>
      </c>
      <c r="J227" s="8">
        <f t="shared" si="9"/>
        <v>7.638888888888884E-2</v>
      </c>
      <c r="K227" s="12">
        <f t="shared" si="10"/>
        <v>1.8333333333333321</v>
      </c>
      <c r="L227" s="12">
        <f t="shared" si="11"/>
        <v>1.8333333333333321</v>
      </c>
      <c r="M227" t="s">
        <v>28</v>
      </c>
      <c r="N227" t="s">
        <v>411</v>
      </c>
      <c r="O227" s="18" t="s">
        <v>405</v>
      </c>
      <c r="P227">
        <v>0</v>
      </c>
      <c r="Q227" s="18">
        <v>0</v>
      </c>
      <c r="R227">
        <v>0</v>
      </c>
      <c r="S227" s="18">
        <v>0</v>
      </c>
      <c r="T227">
        <v>0</v>
      </c>
      <c r="U227" s="18">
        <v>0</v>
      </c>
    </row>
    <row r="228" spans="1:28" x14ac:dyDescent="0.3">
      <c r="A228" s="7">
        <v>44825</v>
      </c>
      <c r="B228">
        <v>4</v>
      </c>
      <c r="C228" t="s">
        <v>26</v>
      </c>
      <c r="D228">
        <v>2</v>
      </c>
      <c r="E228">
        <v>1</v>
      </c>
      <c r="F228" t="s">
        <v>27</v>
      </c>
      <c r="G228">
        <v>1</v>
      </c>
      <c r="H228" s="8">
        <v>0.29166666666666669</v>
      </c>
      <c r="I228" s="8">
        <v>0.40972222222222227</v>
      </c>
      <c r="J228" s="8">
        <f t="shared" si="9"/>
        <v>0.11805555555555558</v>
      </c>
      <c r="K228" s="12">
        <f t="shared" si="10"/>
        <v>2.8333333333333339</v>
      </c>
      <c r="L228" s="12">
        <f t="shared" si="11"/>
        <v>2.8333333333333339</v>
      </c>
      <c r="M228" t="s">
        <v>28</v>
      </c>
      <c r="N228" t="s">
        <v>404</v>
      </c>
      <c r="O228" s="18" t="s">
        <v>422</v>
      </c>
      <c r="P228">
        <v>0</v>
      </c>
      <c r="Q228" s="18">
        <v>0</v>
      </c>
      <c r="R228">
        <v>0</v>
      </c>
      <c r="S228" s="18">
        <v>0</v>
      </c>
      <c r="T228">
        <v>0</v>
      </c>
      <c r="U228" s="18">
        <v>0</v>
      </c>
    </row>
    <row r="229" spans="1:28" x14ac:dyDescent="0.3">
      <c r="A229" s="7">
        <v>44825</v>
      </c>
      <c r="B229">
        <v>4</v>
      </c>
      <c r="C229" t="s">
        <v>26</v>
      </c>
      <c r="D229">
        <v>2</v>
      </c>
      <c r="E229">
        <v>1</v>
      </c>
      <c r="F229" t="s">
        <v>27</v>
      </c>
      <c r="G229">
        <v>1</v>
      </c>
      <c r="H229" s="8">
        <v>0.36458333333333331</v>
      </c>
      <c r="I229" s="8">
        <v>0.40972222222222227</v>
      </c>
      <c r="J229" s="8">
        <f t="shared" si="9"/>
        <v>4.5138888888888951E-2</v>
      </c>
      <c r="K229" s="12">
        <f t="shared" si="10"/>
        <v>1.0833333333333348</v>
      </c>
      <c r="L229" s="12">
        <f t="shared" si="11"/>
        <v>1.0833333333333348</v>
      </c>
      <c r="M229" t="s">
        <v>28</v>
      </c>
      <c r="N229" t="s">
        <v>411</v>
      </c>
      <c r="O229" s="18" t="s">
        <v>405</v>
      </c>
      <c r="P229">
        <v>0</v>
      </c>
      <c r="Q229" s="18">
        <v>0</v>
      </c>
      <c r="R229">
        <v>0</v>
      </c>
      <c r="S229" s="18">
        <v>0</v>
      </c>
      <c r="T229">
        <v>0</v>
      </c>
      <c r="U229" s="18">
        <v>0</v>
      </c>
    </row>
    <row r="230" spans="1:28" x14ac:dyDescent="0.3">
      <c r="A230" s="7">
        <v>44825</v>
      </c>
      <c r="B230">
        <v>4</v>
      </c>
      <c r="C230" t="s">
        <v>26</v>
      </c>
      <c r="D230">
        <v>2</v>
      </c>
      <c r="E230">
        <v>1</v>
      </c>
      <c r="F230" t="s">
        <v>27</v>
      </c>
      <c r="G230">
        <v>1</v>
      </c>
      <c r="H230" s="8">
        <v>0.29166666666666669</v>
      </c>
      <c r="I230" s="8">
        <v>0.40972222222222227</v>
      </c>
      <c r="J230" s="8">
        <f t="shared" si="9"/>
        <v>0.11805555555555558</v>
      </c>
      <c r="K230" s="12">
        <f t="shared" si="10"/>
        <v>2.8333333333333339</v>
      </c>
      <c r="L230" s="12">
        <f t="shared" si="11"/>
        <v>2.8333333333333339</v>
      </c>
      <c r="M230" t="s">
        <v>25</v>
      </c>
      <c r="N230" t="s">
        <v>411</v>
      </c>
      <c r="O230" s="18" t="s">
        <v>422</v>
      </c>
      <c r="P230">
        <v>0</v>
      </c>
      <c r="Q230" s="18">
        <v>0</v>
      </c>
      <c r="R230">
        <v>1</v>
      </c>
      <c r="S230" s="18">
        <v>0</v>
      </c>
      <c r="T230">
        <v>0</v>
      </c>
      <c r="U230" s="18">
        <v>0</v>
      </c>
    </row>
    <row r="231" spans="1:28" x14ac:dyDescent="0.3">
      <c r="A231" s="7">
        <v>44825</v>
      </c>
      <c r="B231">
        <v>4</v>
      </c>
      <c r="C231" t="s">
        <v>26</v>
      </c>
      <c r="D231">
        <v>2</v>
      </c>
      <c r="E231">
        <v>1</v>
      </c>
      <c r="F231" t="s">
        <v>27</v>
      </c>
      <c r="G231">
        <v>1</v>
      </c>
      <c r="H231" s="8">
        <v>0.29166666666666669</v>
      </c>
      <c r="I231" s="8">
        <v>0.4201388888888889</v>
      </c>
      <c r="J231" s="8">
        <f t="shared" si="9"/>
        <v>0.12847222222222221</v>
      </c>
      <c r="K231" s="12">
        <f t="shared" si="10"/>
        <v>3.083333333333333</v>
      </c>
      <c r="L231" s="12">
        <f t="shared" si="11"/>
        <v>3.083333333333333</v>
      </c>
      <c r="M231" t="s">
        <v>28</v>
      </c>
      <c r="N231" t="s">
        <v>411</v>
      </c>
      <c r="O231" s="18" t="s">
        <v>422</v>
      </c>
      <c r="P231">
        <v>0</v>
      </c>
      <c r="Q231" s="18">
        <v>0</v>
      </c>
      <c r="R231">
        <v>0</v>
      </c>
      <c r="S231" s="18">
        <v>0</v>
      </c>
      <c r="T231">
        <v>0</v>
      </c>
      <c r="U231" s="18">
        <v>0</v>
      </c>
    </row>
    <row r="232" spans="1:28" x14ac:dyDescent="0.3">
      <c r="A232" s="7">
        <v>44825</v>
      </c>
      <c r="B232">
        <v>4</v>
      </c>
      <c r="C232" t="s">
        <v>26</v>
      </c>
      <c r="D232">
        <v>2</v>
      </c>
      <c r="E232">
        <v>1</v>
      </c>
      <c r="F232" t="s">
        <v>27</v>
      </c>
      <c r="G232">
        <v>1</v>
      </c>
      <c r="H232" s="8">
        <v>0.25</v>
      </c>
      <c r="I232" s="8">
        <v>0.42708333333333331</v>
      </c>
      <c r="J232" s="8">
        <f t="shared" si="9"/>
        <v>0.17708333333333331</v>
      </c>
      <c r="K232" s="12">
        <f t="shared" si="10"/>
        <v>4.25</v>
      </c>
      <c r="L232" s="12">
        <f t="shared" si="11"/>
        <v>4.25</v>
      </c>
      <c r="M232" t="s">
        <v>28</v>
      </c>
      <c r="N232" t="s">
        <v>411</v>
      </c>
      <c r="O232" s="18" t="s">
        <v>422</v>
      </c>
      <c r="P232">
        <v>0</v>
      </c>
      <c r="Q232" s="18">
        <v>0</v>
      </c>
      <c r="R232">
        <v>3</v>
      </c>
      <c r="S232" s="18">
        <v>0</v>
      </c>
      <c r="T232">
        <v>0</v>
      </c>
      <c r="U232" s="18">
        <v>0</v>
      </c>
      <c r="X232">
        <v>1</v>
      </c>
      <c r="AB232" t="s">
        <v>184</v>
      </c>
    </row>
    <row r="233" spans="1:28" x14ac:dyDescent="0.3">
      <c r="A233" s="7">
        <v>44825</v>
      </c>
      <c r="B233">
        <v>4</v>
      </c>
      <c r="C233" t="s">
        <v>26</v>
      </c>
      <c r="D233">
        <v>2</v>
      </c>
      <c r="E233">
        <v>1</v>
      </c>
      <c r="F233" t="s">
        <v>27</v>
      </c>
      <c r="G233">
        <v>1</v>
      </c>
      <c r="H233" s="8">
        <v>0.29166666666666669</v>
      </c>
      <c r="I233" s="8">
        <v>0.43055555555555558</v>
      </c>
      <c r="J233" s="8">
        <f t="shared" si="9"/>
        <v>0.1388888888888889</v>
      </c>
      <c r="K233" s="12">
        <f t="shared" si="10"/>
        <v>3.3333333333333335</v>
      </c>
      <c r="L233" s="12">
        <f t="shared" si="11"/>
        <v>3.3333333333333335</v>
      </c>
      <c r="M233" t="s">
        <v>28</v>
      </c>
      <c r="N233" t="s">
        <v>411</v>
      </c>
      <c r="O233" s="18" t="s">
        <v>422</v>
      </c>
      <c r="P233">
        <v>0</v>
      </c>
      <c r="Q233" s="18">
        <v>0</v>
      </c>
      <c r="R233">
        <v>1</v>
      </c>
      <c r="S233" s="18">
        <v>0</v>
      </c>
      <c r="T233">
        <v>0</v>
      </c>
      <c r="U233" s="18">
        <v>0</v>
      </c>
    </row>
    <row r="234" spans="1:28" x14ac:dyDescent="0.3">
      <c r="A234" s="7">
        <v>44825</v>
      </c>
      <c r="B234">
        <v>4</v>
      </c>
      <c r="C234" t="s">
        <v>26</v>
      </c>
      <c r="D234">
        <v>2</v>
      </c>
      <c r="E234">
        <v>2</v>
      </c>
      <c r="F234" t="s">
        <v>27</v>
      </c>
      <c r="G234">
        <v>1</v>
      </c>
      <c r="H234" s="8">
        <v>0.35416666666666669</v>
      </c>
      <c r="I234" s="8">
        <v>0.43055555555555558</v>
      </c>
      <c r="J234" s="8">
        <f t="shared" si="9"/>
        <v>7.6388888888888895E-2</v>
      </c>
      <c r="K234" s="12">
        <f t="shared" si="10"/>
        <v>1.8333333333333335</v>
      </c>
      <c r="L234" s="12">
        <f t="shared" si="11"/>
        <v>1.8333333333333335</v>
      </c>
      <c r="M234" t="s">
        <v>25</v>
      </c>
      <c r="N234" t="s">
        <v>411</v>
      </c>
      <c r="O234" s="18" t="s">
        <v>422</v>
      </c>
      <c r="P234">
        <v>1</v>
      </c>
      <c r="Q234" s="18">
        <v>0</v>
      </c>
      <c r="R234">
        <v>0</v>
      </c>
      <c r="S234" s="18">
        <v>0</v>
      </c>
      <c r="T234">
        <v>0</v>
      </c>
      <c r="U234" s="18">
        <v>0</v>
      </c>
    </row>
    <row r="235" spans="1:28" x14ac:dyDescent="0.3">
      <c r="A235" s="7">
        <v>44825</v>
      </c>
      <c r="B235">
        <v>4</v>
      </c>
      <c r="C235" t="s">
        <v>26</v>
      </c>
      <c r="D235">
        <v>2</v>
      </c>
      <c r="E235">
        <v>2</v>
      </c>
      <c r="F235" t="s">
        <v>27</v>
      </c>
      <c r="G235">
        <v>1</v>
      </c>
      <c r="H235" s="8">
        <v>0.41666666666666669</v>
      </c>
      <c r="I235" s="8">
        <v>0.4513888888888889</v>
      </c>
      <c r="J235" s="8">
        <f t="shared" si="9"/>
        <v>3.472222222222221E-2</v>
      </c>
      <c r="K235" s="12">
        <f t="shared" si="10"/>
        <v>0.83333333333333304</v>
      </c>
      <c r="L235" s="12">
        <f t="shared" si="11"/>
        <v>0.83333333333333304</v>
      </c>
      <c r="M235" t="s">
        <v>28</v>
      </c>
      <c r="N235" t="s">
        <v>415</v>
      </c>
      <c r="O235" s="18" t="s">
        <v>422</v>
      </c>
      <c r="P235">
        <v>0</v>
      </c>
      <c r="Q235" s="18">
        <v>0</v>
      </c>
      <c r="R235">
        <v>0</v>
      </c>
      <c r="S235" s="18">
        <v>0</v>
      </c>
      <c r="T235">
        <v>0</v>
      </c>
      <c r="U235" s="18">
        <v>0</v>
      </c>
    </row>
    <row r="236" spans="1:28" x14ac:dyDescent="0.3">
      <c r="A236" s="7">
        <v>44825</v>
      </c>
      <c r="B236">
        <v>4</v>
      </c>
      <c r="C236" t="s">
        <v>26</v>
      </c>
      <c r="D236">
        <v>2</v>
      </c>
      <c r="E236">
        <v>2</v>
      </c>
      <c r="F236" t="s">
        <v>27</v>
      </c>
      <c r="G236">
        <v>1</v>
      </c>
      <c r="H236" s="8">
        <v>0.375</v>
      </c>
      <c r="I236" s="8">
        <v>0.4513888888888889</v>
      </c>
      <c r="J236" s="8">
        <f t="shared" si="9"/>
        <v>7.6388888888888895E-2</v>
      </c>
      <c r="K236" s="12">
        <f t="shared" si="10"/>
        <v>1.8333333333333335</v>
      </c>
      <c r="L236" s="12">
        <f t="shared" si="11"/>
        <v>1.8333333333333335</v>
      </c>
      <c r="M236" t="s">
        <v>28</v>
      </c>
      <c r="N236" t="s">
        <v>411</v>
      </c>
      <c r="O236" s="18" t="s">
        <v>422</v>
      </c>
      <c r="P236">
        <v>0</v>
      </c>
      <c r="Q236" s="18">
        <v>0</v>
      </c>
      <c r="R236">
        <v>0</v>
      </c>
      <c r="S236" s="18">
        <v>0</v>
      </c>
      <c r="T236">
        <v>0</v>
      </c>
      <c r="U236" s="18">
        <v>0</v>
      </c>
    </row>
    <row r="237" spans="1:28" s="26" customFormat="1" x14ac:dyDescent="0.3">
      <c r="A237" s="25">
        <v>44825</v>
      </c>
      <c r="B237" s="26">
        <v>4</v>
      </c>
      <c r="C237" s="26" t="s">
        <v>26</v>
      </c>
      <c r="D237" s="26">
        <v>2</v>
      </c>
      <c r="E237" s="26">
        <v>2</v>
      </c>
      <c r="F237" s="26" t="s">
        <v>27</v>
      </c>
      <c r="G237" s="26">
        <v>1</v>
      </c>
      <c r="H237" s="27">
        <v>0.33333333333333331</v>
      </c>
      <c r="I237" s="27">
        <v>0.45833333333333331</v>
      </c>
      <c r="J237" s="8">
        <f t="shared" si="9"/>
        <v>0.125</v>
      </c>
      <c r="K237" s="12">
        <f t="shared" si="10"/>
        <v>3</v>
      </c>
      <c r="L237" s="12">
        <f t="shared" si="11"/>
        <v>3</v>
      </c>
      <c r="M237" s="26" t="s">
        <v>25</v>
      </c>
      <c r="N237" s="26" t="s">
        <v>415</v>
      </c>
      <c r="O237" s="28" t="s">
        <v>422</v>
      </c>
      <c r="P237" s="26">
        <v>0</v>
      </c>
      <c r="Q237" s="28">
        <v>0</v>
      </c>
      <c r="R237" s="26">
        <v>0</v>
      </c>
      <c r="S237" s="28">
        <v>0</v>
      </c>
      <c r="T237" s="26">
        <v>0</v>
      </c>
      <c r="U237" s="28">
        <v>0</v>
      </c>
    </row>
    <row r="238" spans="1:28" x14ac:dyDescent="0.3">
      <c r="A238" s="7">
        <v>44826</v>
      </c>
      <c r="B238">
        <v>4</v>
      </c>
      <c r="C238" t="s">
        <v>42</v>
      </c>
      <c r="D238">
        <v>2</v>
      </c>
      <c r="E238">
        <v>4</v>
      </c>
      <c r="F238" t="s">
        <v>27</v>
      </c>
      <c r="G238">
        <v>1</v>
      </c>
      <c r="H238" s="8">
        <v>0.60416666666666663</v>
      </c>
      <c r="I238" s="8">
        <v>0.6875</v>
      </c>
      <c r="J238" s="8">
        <f t="shared" si="9"/>
        <v>8.333333333333337E-2</v>
      </c>
      <c r="K238" s="12">
        <f t="shared" si="10"/>
        <v>2.0000000000000009</v>
      </c>
      <c r="L238" s="12">
        <f t="shared" si="11"/>
        <v>2.0000000000000009</v>
      </c>
      <c r="M238" t="s">
        <v>28</v>
      </c>
      <c r="N238" t="s">
        <v>411</v>
      </c>
      <c r="O238" s="18" t="s">
        <v>407</v>
      </c>
      <c r="P238">
        <v>0</v>
      </c>
      <c r="Q238" s="18">
        <v>0</v>
      </c>
      <c r="R238">
        <v>0</v>
      </c>
      <c r="S238" s="18">
        <v>0</v>
      </c>
      <c r="T238">
        <v>0</v>
      </c>
      <c r="U238" s="18">
        <v>0</v>
      </c>
      <c r="AB238" t="s">
        <v>449</v>
      </c>
    </row>
    <row r="239" spans="1:28" x14ac:dyDescent="0.3">
      <c r="A239" s="7">
        <v>44826</v>
      </c>
      <c r="B239">
        <v>4</v>
      </c>
      <c r="C239" t="s">
        <v>42</v>
      </c>
      <c r="D239">
        <v>2</v>
      </c>
      <c r="E239">
        <v>4</v>
      </c>
      <c r="F239" t="s">
        <v>27</v>
      </c>
      <c r="G239">
        <v>1</v>
      </c>
      <c r="H239" s="8">
        <v>0.64583333333333337</v>
      </c>
      <c r="I239" s="8">
        <v>0.69444444444444453</v>
      </c>
      <c r="J239" s="8">
        <f t="shared" si="9"/>
        <v>4.861111111111116E-2</v>
      </c>
      <c r="K239" s="12">
        <f t="shared" si="10"/>
        <v>1.1666666666666679</v>
      </c>
      <c r="L239" s="12">
        <f t="shared" si="11"/>
        <v>1.1666666666666679</v>
      </c>
      <c r="M239" t="s">
        <v>25</v>
      </c>
      <c r="N239" t="s">
        <v>415</v>
      </c>
      <c r="O239" s="18" t="s">
        <v>405</v>
      </c>
      <c r="P239">
        <v>0</v>
      </c>
      <c r="Q239" s="18">
        <v>0</v>
      </c>
      <c r="R239">
        <v>0</v>
      </c>
      <c r="S239" s="18">
        <v>0</v>
      </c>
      <c r="T239">
        <v>0</v>
      </c>
      <c r="U239" s="18">
        <v>0</v>
      </c>
    </row>
    <row r="240" spans="1:28" x14ac:dyDescent="0.3">
      <c r="A240" s="7">
        <v>44826</v>
      </c>
      <c r="B240">
        <v>4</v>
      </c>
      <c r="C240" t="s">
        <v>42</v>
      </c>
      <c r="D240">
        <v>2</v>
      </c>
      <c r="E240">
        <v>3</v>
      </c>
      <c r="F240" t="s">
        <v>27</v>
      </c>
      <c r="G240">
        <v>1</v>
      </c>
      <c r="H240" s="8">
        <v>0.27083333333333331</v>
      </c>
      <c r="I240" s="8">
        <v>0.71875</v>
      </c>
      <c r="J240" s="8">
        <f t="shared" si="9"/>
        <v>0.44791666666666669</v>
      </c>
      <c r="K240" s="12">
        <f t="shared" si="10"/>
        <v>10.75</v>
      </c>
      <c r="L240" s="12">
        <f t="shared" si="11"/>
        <v>10.75</v>
      </c>
      <c r="M240" t="s">
        <v>28</v>
      </c>
      <c r="N240" t="s">
        <v>411</v>
      </c>
      <c r="O240" s="18" t="s">
        <v>422</v>
      </c>
      <c r="P240">
        <v>2</v>
      </c>
      <c r="Q240" s="18">
        <v>0</v>
      </c>
      <c r="R240">
        <v>1</v>
      </c>
      <c r="S240" s="18">
        <v>0</v>
      </c>
      <c r="T240">
        <v>0</v>
      </c>
      <c r="U240" s="18">
        <v>0</v>
      </c>
      <c r="V240">
        <v>1</v>
      </c>
      <c r="AB240" t="s">
        <v>450</v>
      </c>
    </row>
    <row r="241" spans="1:28" x14ac:dyDescent="0.3">
      <c r="A241" s="7">
        <v>44826</v>
      </c>
      <c r="B241">
        <v>4</v>
      </c>
      <c r="C241" t="s">
        <v>42</v>
      </c>
      <c r="D241">
        <v>2</v>
      </c>
      <c r="E241">
        <v>2</v>
      </c>
      <c r="F241" t="s">
        <v>27</v>
      </c>
      <c r="G241">
        <v>2</v>
      </c>
      <c r="H241" s="8">
        <v>0.6875</v>
      </c>
      <c r="I241" s="8">
        <v>0.73611111111111116</v>
      </c>
      <c r="J241" s="8">
        <f t="shared" si="9"/>
        <v>4.861111111111116E-2</v>
      </c>
      <c r="K241" s="12">
        <f t="shared" si="10"/>
        <v>1.1666666666666679</v>
      </c>
      <c r="L241" s="12">
        <f t="shared" si="11"/>
        <v>2.3333333333333357</v>
      </c>
      <c r="M241" t="s">
        <v>28</v>
      </c>
      <c r="N241" t="s">
        <v>408</v>
      </c>
      <c r="O241" s="18" t="s">
        <v>410</v>
      </c>
      <c r="P241">
        <v>0</v>
      </c>
      <c r="Q241" s="18">
        <v>0</v>
      </c>
      <c r="R241">
        <v>0</v>
      </c>
      <c r="S241" s="18">
        <v>0</v>
      </c>
      <c r="T241">
        <v>0</v>
      </c>
      <c r="U241" s="18">
        <v>0</v>
      </c>
    </row>
    <row r="242" spans="1:28" s="26" customFormat="1" x14ac:dyDescent="0.3">
      <c r="A242" s="25">
        <v>44826</v>
      </c>
      <c r="B242" s="26">
        <v>4</v>
      </c>
      <c r="C242" s="26" t="s">
        <v>42</v>
      </c>
      <c r="D242" s="26">
        <v>2</v>
      </c>
      <c r="E242" s="26">
        <v>2</v>
      </c>
      <c r="F242" s="26" t="s">
        <v>27</v>
      </c>
      <c r="G242" s="26">
        <v>1</v>
      </c>
      <c r="H242" s="27">
        <v>0.72222222222222221</v>
      </c>
      <c r="I242" s="27">
        <v>0.74305555555555547</v>
      </c>
      <c r="J242" s="8">
        <f t="shared" si="9"/>
        <v>2.0833333333333259E-2</v>
      </c>
      <c r="K242" s="12">
        <f t="shared" si="10"/>
        <v>0.49999999999999822</v>
      </c>
      <c r="L242" s="12">
        <f t="shared" si="11"/>
        <v>0.49999999999999822</v>
      </c>
      <c r="M242" s="26" t="s">
        <v>28</v>
      </c>
      <c r="N242" s="26" t="s">
        <v>408</v>
      </c>
      <c r="O242" s="28" t="s">
        <v>407</v>
      </c>
      <c r="P242" s="26">
        <v>0</v>
      </c>
      <c r="Q242" s="28">
        <v>0</v>
      </c>
      <c r="R242" s="26">
        <v>0</v>
      </c>
      <c r="S242" s="28">
        <v>0</v>
      </c>
      <c r="T242" s="26">
        <v>0</v>
      </c>
      <c r="U242" s="28">
        <v>0</v>
      </c>
    </row>
    <row r="243" spans="1:28" x14ac:dyDescent="0.3">
      <c r="A243" s="7">
        <v>44827</v>
      </c>
      <c r="B243">
        <v>4</v>
      </c>
      <c r="C243" t="s">
        <v>26</v>
      </c>
      <c r="D243">
        <v>1</v>
      </c>
      <c r="E243">
        <v>4</v>
      </c>
      <c r="F243" t="s">
        <v>27</v>
      </c>
      <c r="G243">
        <v>1</v>
      </c>
      <c r="H243" s="8">
        <v>0.3125</v>
      </c>
      <c r="I243" s="8">
        <v>0.3576388888888889</v>
      </c>
      <c r="J243" s="8">
        <f t="shared" si="9"/>
        <v>4.5138888888888895E-2</v>
      </c>
      <c r="K243" s="12">
        <f t="shared" si="10"/>
        <v>1.0833333333333335</v>
      </c>
      <c r="L243" s="12">
        <f t="shared" si="11"/>
        <v>1.0833333333333335</v>
      </c>
      <c r="M243" t="s">
        <v>28</v>
      </c>
      <c r="N243" t="s">
        <v>408</v>
      </c>
      <c r="O243" s="18" t="s">
        <v>405</v>
      </c>
      <c r="P243">
        <v>0</v>
      </c>
      <c r="Q243" s="18">
        <v>0</v>
      </c>
      <c r="R243">
        <v>0</v>
      </c>
      <c r="S243" s="18">
        <v>0</v>
      </c>
      <c r="T243">
        <v>0</v>
      </c>
      <c r="U243" s="18">
        <v>0</v>
      </c>
      <c r="AB243" t="s">
        <v>451</v>
      </c>
    </row>
    <row r="244" spans="1:28" x14ac:dyDescent="0.3">
      <c r="A244" s="7">
        <v>44827</v>
      </c>
      <c r="B244">
        <v>4</v>
      </c>
      <c r="C244" t="s">
        <v>26</v>
      </c>
      <c r="D244">
        <v>1</v>
      </c>
      <c r="E244">
        <v>4</v>
      </c>
      <c r="F244" t="s">
        <v>27</v>
      </c>
      <c r="G244">
        <v>2</v>
      </c>
      <c r="H244" s="8">
        <v>0.29166666666666669</v>
      </c>
      <c r="I244" s="8">
        <v>0.3611111111111111</v>
      </c>
      <c r="J244" s="8">
        <f t="shared" si="9"/>
        <v>6.944444444444442E-2</v>
      </c>
      <c r="K244" s="12">
        <f t="shared" si="10"/>
        <v>1.6666666666666661</v>
      </c>
      <c r="L244" s="12">
        <f t="shared" si="11"/>
        <v>3.3333333333333321</v>
      </c>
      <c r="M244" t="s">
        <v>28</v>
      </c>
      <c r="N244" t="s">
        <v>408</v>
      </c>
      <c r="O244" s="18" t="s">
        <v>405</v>
      </c>
      <c r="P244">
        <v>0</v>
      </c>
      <c r="Q244" s="18">
        <v>0</v>
      </c>
      <c r="R244">
        <v>0</v>
      </c>
      <c r="S244" s="18">
        <v>0</v>
      </c>
      <c r="T244">
        <v>0</v>
      </c>
      <c r="U244" s="18">
        <v>0</v>
      </c>
    </row>
    <row r="245" spans="1:28" x14ac:dyDescent="0.3">
      <c r="A245" s="7">
        <v>44827</v>
      </c>
      <c r="B245">
        <v>4</v>
      </c>
      <c r="C245" t="s">
        <v>26</v>
      </c>
      <c r="D245">
        <v>1</v>
      </c>
      <c r="E245">
        <v>4</v>
      </c>
      <c r="F245" t="s">
        <v>27</v>
      </c>
      <c r="G245">
        <v>1</v>
      </c>
      <c r="H245" s="8">
        <v>0.29166666666666669</v>
      </c>
      <c r="I245" s="8">
        <v>0.36458333333333331</v>
      </c>
      <c r="J245" s="8">
        <f t="shared" si="9"/>
        <v>7.291666666666663E-2</v>
      </c>
      <c r="K245" s="12">
        <f t="shared" si="10"/>
        <v>1.7499999999999991</v>
      </c>
      <c r="L245" s="12">
        <f t="shared" si="11"/>
        <v>1.7499999999999991</v>
      </c>
      <c r="M245" t="s">
        <v>28</v>
      </c>
      <c r="N245" t="s">
        <v>411</v>
      </c>
      <c r="O245" s="18" t="s">
        <v>405</v>
      </c>
      <c r="P245">
        <v>0</v>
      </c>
      <c r="Q245" s="18">
        <v>0</v>
      </c>
      <c r="R245">
        <v>0</v>
      </c>
      <c r="S245" s="18">
        <v>0</v>
      </c>
      <c r="T245">
        <v>0</v>
      </c>
      <c r="U245" s="18">
        <v>0</v>
      </c>
    </row>
    <row r="246" spans="1:28" x14ac:dyDescent="0.3">
      <c r="A246" s="7">
        <v>44827</v>
      </c>
      <c r="B246">
        <v>4</v>
      </c>
      <c r="C246" t="s">
        <v>26</v>
      </c>
      <c r="D246">
        <v>1</v>
      </c>
      <c r="E246">
        <v>4</v>
      </c>
      <c r="F246" t="s">
        <v>27</v>
      </c>
      <c r="G246">
        <v>1</v>
      </c>
      <c r="H246" s="8">
        <v>0.35416666666666669</v>
      </c>
      <c r="I246" s="8">
        <v>0.36458333333333331</v>
      </c>
      <c r="J246" s="8">
        <f t="shared" si="9"/>
        <v>1.041666666666663E-2</v>
      </c>
      <c r="K246" s="12">
        <f t="shared" si="10"/>
        <v>0.24999999999999911</v>
      </c>
      <c r="L246" s="12">
        <f t="shared" si="11"/>
        <v>0.24999999999999911</v>
      </c>
      <c r="M246" t="s">
        <v>28</v>
      </c>
      <c r="N246" t="s">
        <v>411</v>
      </c>
      <c r="O246" s="18" t="s">
        <v>405</v>
      </c>
      <c r="P246">
        <v>0</v>
      </c>
      <c r="Q246" s="18">
        <v>0</v>
      </c>
      <c r="R246">
        <v>0</v>
      </c>
      <c r="S246" s="18">
        <v>0</v>
      </c>
      <c r="T246">
        <v>0</v>
      </c>
      <c r="U246" s="18">
        <v>0</v>
      </c>
    </row>
    <row r="247" spans="1:28" x14ac:dyDescent="0.3">
      <c r="A247" s="7">
        <v>44827</v>
      </c>
      <c r="B247">
        <v>4</v>
      </c>
      <c r="C247" t="s">
        <v>26</v>
      </c>
      <c r="D247">
        <v>1</v>
      </c>
      <c r="E247">
        <v>4</v>
      </c>
      <c r="F247" t="s">
        <v>27</v>
      </c>
      <c r="G247">
        <v>1</v>
      </c>
      <c r="H247" s="8">
        <v>0.32291666666666669</v>
      </c>
      <c r="I247" s="8">
        <v>0.36805555555555558</v>
      </c>
      <c r="J247" s="8">
        <f t="shared" si="9"/>
        <v>4.5138888888888895E-2</v>
      </c>
      <c r="K247" s="12">
        <f t="shared" si="10"/>
        <v>1.0833333333333335</v>
      </c>
      <c r="L247" s="12">
        <f t="shared" si="11"/>
        <v>1.0833333333333335</v>
      </c>
      <c r="M247" t="s">
        <v>28</v>
      </c>
      <c r="N247" t="s">
        <v>426</v>
      </c>
      <c r="O247" s="18" t="s">
        <v>92</v>
      </c>
      <c r="P247">
        <v>0</v>
      </c>
      <c r="Q247" s="18">
        <v>0</v>
      </c>
      <c r="R247">
        <v>0</v>
      </c>
      <c r="S247" s="18">
        <v>0</v>
      </c>
      <c r="T247">
        <v>0</v>
      </c>
      <c r="U247" s="18">
        <v>0</v>
      </c>
    </row>
    <row r="248" spans="1:28" x14ac:dyDescent="0.3">
      <c r="A248" s="7">
        <v>44827</v>
      </c>
      <c r="B248">
        <v>4</v>
      </c>
      <c r="C248" t="s">
        <v>26</v>
      </c>
      <c r="D248">
        <v>1</v>
      </c>
      <c r="E248">
        <v>4</v>
      </c>
      <c r="F248" t="s">
        <v>27</v>
      </c>
      <c r="G248">
        <v>1</v>
      </c>
      <c r="H248" s="8">
        <v>0.29166666666666669</v>
      </c>
      <c r="I248" s="8">
        <v>0.37291666666666662</v>
      </c>
      <c r="J248" s="8">
        <f t="shared" si="9"/>
        <v>8.1249999999999933E-2</v>
      </c>
      <c r="K248" s="12">
        <f t="shared" si="10"/>
        <v>1.9499999999999984</v>
      </c>
      <c r="L248" s="12">
        <f t="shared" si="11"/>
        <v>1.9499999999999984</v>
      </c>
      <c r="M248" t="s">
        <v>28</v>
      </c>
      <c r="N248" t="s">
        <v>411</v>
      </c>
      <c r="O248" s="18" t="s">
        <v>405</v>
      </c>
      <c r="P248">
        <v>0</v>
      </c>
      <c r="Q248" s="18">
        <v>0</v>
      </c>
      <c r="R248">
        <v>0</v>
      </c>
      <c r="S248" s="18">
        <v>0</v>
      </c>
      <c r="T248">
        <v>0</v>
      </c>
      <c r="U248" s="18">
        <v>0</v>
      </c>
    </row>
    <row r="249" spans="1:28" x14ac:dyDescent="0.3">
      <c r="A249" s="7">
        <v>44827</v>
      </c>
      <c r="B249">
        <v>4</v>
      </c>
      <c r="C249" t="s">
        <v>26</v>
      </c>
      <c r="D249">
        <v>1</v>
      </c>
      <c r="E249">
        <v>4</v>
      </c>
      <c r="F249" t="s">
        <v>27</v>
      </c>
      <c r="G249">
        <v>1</v>
      </c>
      <c r="H249" s="8">
        <v>0.3125</v>
      </c>
      <c r="I249" s="8">
        <v>0.37291666666666662</v>
      </c>
      <c r="J249" s="8">
        <f t="shared" si="9"/>
        <v>6.0416666666666619E-2</v>
      </c>
      <c r="K249" s="12">
        <f t="shared" si="10"/>
        <v>1.4499999999999988</v>
      </c>
      <c r="L249" s="12">
        <f t="shared" si="11"/>
        <v>1.4499999999999988</v>
      </c>
      <c r="M249" t="s">
        <v>25</v>
      </c>
      <c r="N249" t="s">
        <v>404</v>
      </c>
      <c r="O249" s="18" t="s">
        <v>92</v>
      </c>
      <c r="P249">
        <v>0</v>
      </c>
      <c r="Q249" s="18">
        <v>0</v>
      </c>
      <c r="R249">
        <v>1</v>
      </c>
      <c r="S249" s="18">
        <v>0</v>
      </c>
      <c r="T249">
        <v>0</v>
      </c>
      <c r="U249" s="18">
        <v>0</v>
      </c>
    </row>
    <row r="250" spans="1:28" x14ac:dyDescent="0.3">
      <c r="A250" s="7">
        <v>44827</v>
      </c>
      <c r="B250">
        <v>4</v>
      </c>
      <c r="C250" t="s">
        <v>26</v>
      </c>
      <c r="D250">
        <v>1</v>
      </c>
      <c r="E250">
        <v>4</v>
      </c>
      <c r="F250" t="s">
        <v>27</v>
      </c>
      <c r="G250">
        <v>1</v>
      </c>
      <c r="H250" s="8">
        <v>0.3125</v>
      </c>
      <c r="I250" s="8">
        <v>0.37361111111111112</v>
      </c>
      <c r="J250" s="8">
        <f t="shared" si="9"/>
        <v>6.1111111111111116E-2</v>
      </c>
      <c r="K250" s="12">
        <f t="shared" si="10"/>
        <v>1.4666666666666668</v>
      </c>
      <c r="L250" s="12">
        <f t="shared" si="11"/>
        <v>1.4666666666666668</v>
      </c>
      <c r="M250" t="s">
        <v>28</v>
      </c>
      <c r="N250" t="s">
        <v>404</v>
      </c>
      <c r="O250" s="18" t="s">
        <v>92</v>
      </c>
      <c r="P250">
        <v>0</v>
      </c>
      <c r="Q250" s="18">
        <v>0</v>
      </c>
      <c r="R250">
        <v>1</v>
      </c>
      <c r="S250" s="18">
        <v>0</v>
      </c>
      <c r="T250">
        <v>0</v>
      </c>
      <c r="U250" s="18">
        <v>0</v>
      </c>
      <c r="X250">
        <v>1</v>
      </c>
      <c r="AB250" t="s">
        <v>427</v>
      </c>
    </row>
    <row r="251" spans="1:28" x14ac:dyDescent="0.3">
      <c r="A251" s="7">
        <v>44827</v>
      </c>
      <c r="B251">
        <v>4</v>
      </c>
      <c r="C251" t="s">
        <v>26</v>
      </c>
      <c r="D251">
        <v>1</v>
      </c>
      <c r="E251">
        <v>4</v>
      </c>
      <c r="F251" t="s">
        <v>27</v>
      </c>
      <c r="G251">
        <v>1</v>
      </c>
      <c r="H251" s="8">
        <v>0.25</v>
      </c>
      <c r="I251" s="8">
        <v>0.37847222222222227</v>
      </c>
      <c r="J251" s="8">
        <f t="shared" si="9"/>
        <v>0.12847222222222227</v>
      </c>
      <c r="K251" s="12">
        <f t="shared" si="10"/>
        <v>3.0833333333333344</v>
      </c>
      <c r="L251" s="12">
        <f t="shared" si="11"/>
        <v>3.0833333333333344</v>
      </c>
      <c r="M251" t="s">
        <v>28</v>
      </c>
      <c r="N251" t="s">
        <v>404</v>
      </c>
      <c r="O251" s="18" t="s">
        <v>92</v>
      </c>
      <c r="P251">
        <v>0</v>
      </c>
      <c r="Q251" s="18">
        <v>0</v>
      </c>
      <c r="R251">
        <v>0</v>
      </c>
      <c r="S251" s="18">
        <v>0</v>
      </c>
      <c r="T251">
        <v>0</v>
      </c>
      <c r="U251" s="18">
        <v>0</v>
      </c>
    </row>
    <row r="252" spans="1:28" x14ac:dyDescent="0.3">
      <c r="A252" s="7">
        <v>44827</v>
      </c>
      <c r="B252">
        <v>4</v>
      </c>
      <c r="C252" t="s">
        <v>26</v>
      </c>
      <c r="D252">
        <v>1</v>
      </c>
      <c r="E252">
        <v>4</v>
      </c>
      <c r="F252" t="s">
        <v>27</v>
      </c>
      <c r="G252">
        <v>1</v>
      </c>
      <c r="H252" s="8">
        <v>0.3125</v>
      </c>
      <c r="I252" s="8">
        <v>0.37847222222222227</v>
      </c>
      <c r="J252" s="8">
        <f t="shared" si="9"/>
        <v>6.5972222222222265E-2</v>
      </c>
      <c r="K252" s="12">
        <f t="shared" si="10"/>
        <v>1.5833333333333344</v>
      </c>
      <c r="L252" s="12">
        <f t="shared" si="11"/>
        <v>1.5833333333333344</v>
      </c>
      <c r="M252" t="s">
        <v>28</v>
      </c>
      <c r="N252" t="s">
        <v>404</v>
      </c>
      <c r="O252" s="18" t="s">
        <v>92</v>
      </c>
      <c r="P252">
        <v>0</v>
      </c>
      <c r="Q252" s="18">
        <v>0</v>
      </c>
      <c r="R252">
        <v>1</v>
      </c>
      <c r="S252" s="18">
        <v>0</v>
      </c>
      <c r="T252">
        <v>0</v>
      </c>
      <c r="U252" s="18">
        <v>0</v>
      </c>
    </row>
    <row r="253" spans="1:28" x14ac:dyDescent="0.3">
      <c r="A253" s="7">
        <v>44827</v>
      </c>
      <c r="B253">
        <v>4</v>
      </c>
      <c r="C253" t="s">
        <v>26</v>
      </c>
      <c r="D253">
        <v>1</v>
      </c>
      <c r="E253">
        <v>4</v>
      </c>
      <c r="F253" t="s">
        <v>27</v>
      </c>
      <c r="G253">
        <v>1</v>
      </c>
      <c r="H253" s="8">
        <v>0.29166666666666669</v>
      </c>
      <c r="I253" s="8">
        <v>0.37847222222222227</v>
      </c>
      <c r="J253" s="8">
        <f t="shared" si="9"/>
        <v>8.680555555555558E-2</v>
      </c>
      <c r="K253" s="12">
        <f t="shared" si="10"/>
        <v>2.0833333333333339</v>
      </c>
      <c r="L253" s="12">
        <f t="shared" si="11"/>
        <v>2.0833333333333339</v>
      </c>
      <c r="M253" t="s">
        <v>28</v>
      </c>
      <c r="N253" t="s">
        <v>404</v>
      </c>
      <c r="O253" s="18" t="s">
        <v>92</v>
      </c>
      <c r="P253">
        <v>0</v>
      </c>
      <c r="Q253" s="18">
        <v>0</v>
      </c>
      <c r="R253">
        <v>0</v>
      </c>
      <c r="S253" s="18">
        <v>0</v>
      </c>
      <c r="T253">
        <v>0</v>
      </c>
      <c r="U253" s="18">
        <v>0</v>
      </c>
    </row>
    <row r="254" spans="1:28" x14ac:dyDescent="0.3">
      <c r="A254" s="7">
        <v>44827</v>
      </c>
      <c r="B254">
        <v>4</v>
      </c>
      <c r="C254" t="s">
        <v>26</v>
      </c>
      <c r="D254">
        <v>1</v>
      </c>
      <c r="E254">
        <v>4</v>
      </c>
      <c r="F254" t="s">
        <v>27</v>
      </c>
      <c r="G254">
        <v>1</v>
      </c>
      <c r="H254" s="8">
        <v>0.3125</v>
      </c>
      <c r="I254" s="8">
        <v>0.37847222222222227</v>
      </c>
      <c r="J254" s="8">
        <f t="shared" si="9"/>
        <v>6.5972222222222265E-2</v>
      </c>
      <c r="K254" s="12">
        <f t="shared" si="10"/>
        <v>1.5833333333333344</v>
      </c>
      <c r="L254" s="12">
        <f t="shared" si="11"/>
        <v>1.5833333333333344</v>
      </c>
      <c r="M254" t="s">
        <v>28</v>
      </c>
      <c r="N254" t="s">
        <v>411</v>
      </c>
      <c r="O254" s="18" t="s">
        <v>92</v>
      </c>
      <c r="P254">
        <v>0</v>
      </c>
      <c r="Q254" s="18">
        <v>0</v>
      </c>
      <c r="R254">
        <v>1</v>
      </c>
      <c r="S254" s="18">
        <v>1</v>
      </c>
      <c r="T254">
        <v>0</v>
      </c>
      <c r="U254" s="18">
        <v>0</v>
      </c>
      <c r="Y254">
        <v>1</v>
      </c>
      <c r="AB254" t="s">
        <v>452</v>
      </c>
    </row>
    <row r="255" spans="1:28" x14ac:dyDescent="0.3">
      <c r="A255" s="7">
        <v>44827</v>
      </c>
      <c r="B255">
        <v>4</v>
      </c>
      <c r="C255" t="s">
        <v>26</v>
      </c>
      <c r="D255">
        <v>1</v>
      </c>
      <c r="E255">
        <v>4</v>
      </c>
      <c r="F255" t="s">
        <v>27</v>
      </c>
      <c r="G255">
        <v>3</v>
      </c>
      <c r="H255" s="8">
        <v>0.3125</v>
      </c>
      <c r="I255" s="8">
        <v>0.37847222222222227</v>
      </c>
      <c r="J255" s="8">
        <f t="shared" si="9"/>
        <v>6.5972222222222265E-2</v>
      </c>
      <c r="K255" s="12">
        <f t="shared" si="10"/>
        <v>1.5833333333333344</v>
      </c>
      <c r="L255" s="12">
        <f t="shared" si="11"/>
        <v>4.7500000000000036</v>
      </c>
      <c r="M255" t="s">
        <v>28</v>
      </c>
      <c r="N255" t="s">
        <v>411</v>
      </c>
      <c r="O255" s="18" t="s">
        <v>92</v>
      </c>
      <c r="P255">
        <v>0</v>
      </c>
      <c r="Q255" s="18">
        <v>0</v>
      </c>
      <c r="R255">
        <v>4</v>
      </c>
      <c r="S255" s="18">
        <v>0</v>
      </c>
      <c r="T255">
        <v>0</v>
      </c>
      <c r="U255" s="18">
        <v>0</v>
      </c>
      <c r="X255">
        <v>2</v>
      </c>
      <c r="AB255" t="s">
        <v>166</v>
      </c>
    </row>
    <row r="256" spans="1:28" x14ac:dyDescent="0.3">
      <c r="A256" s="7">
        <v>44827</v>
      </c>
      <c r="B256">
        <v>4</v>
      </c>
      <c r="C256" t="s">
        <v>26</v>
      </c>
      <c r="D256">
        <v>2</v>
      </c>
      <c r="E256">
        <v>1</v>
      </c>
      <c r="F256" t="s">
        <v>27</v>
      </c>
      <c r="G256">
        <v>1</v>
      </c>
      <c r="H256" s="8">
        <v>0.25</v>
      </c>
      <c r="I256" s="8">
        <v>0.3888888888888889</v>
      </c>
      <c r="J256" s="8">
        <f t="shared" si="9"/>
        <v>0.1388888888888889</v>
      </c>
      <c r="K256" s="12">
        <f t="shared" si="10"/>
        <v>3.3333333333333335</v>
      </c>
      <c r="L256" s="12">
        <f t="shared" si="11"/>
        <v>3.3333333333333335</v>
      </c>
      <c r="M256" t="s">
        <v>28</v>
      </c>
      <c r="N256" t="s">
        <v>426</v>
      </c>
      <c r="O256" s="18" t="s">
        <v>407</v>
      </c>
      <c r="P256">
        <v>0</v>
      </c>
      <c r="Q256" s="18">
        <v>0</v>
      </c>
      <c r="R256">
        <v>0</v>
      </c>
      <c r="S256" s="18">
        <v>0</v>
      </c>
      <c r="T256">
        <v>0</v>
      </c>
      <c r="U256" s="18">
        <v>0</v>
      </c>
    </row>
    <row r="257" spans="1:28" x14ac:dyDescent="0.3">
      <c r="A257" s="7">
        <v>44827</v>
      </c>
      <c r="B257">
        <v>4</v>
      </c>
      <c r="C257" t="s">
        <v>26</v>
      </c>
      <c r="D257">
        <v>2</v>
      </c>
      <c r="E257">
        <v>1</v>
      </c>
      <c r="F257" t="s">
        <v>27</v>
      </c>
      <c r="G257">
        <v>3</v>
      </c>
      <c r="H257" s="8">
        <v>0.29166666666666669</v>
      </c>
      <c r="I257" s="8">
        <v>0.3923611111111111</v>
      </c>
      <c r="J257" s="8">
        <f t="shared" si="9"/>
        <v>0.10069444444444442</v>
      </c>
      <c r="K257" s="12">
        <f t="shared" si="10"/>
        <v>2.4166666666666661</v>
      </c>
      <c r="L257" s="12">
        <f t="shared" si="11"/>
        <v>7.2499999999999982</v>
      </c>
      <c r="M257" t="s">
        <v>28</v>
      </c>
      <c r="N257" t="s">
        <v>411</v>
      </c>
      <c r="O257" s="18" t="s">
        <v>405</v>
      </c>
      <c r="P257">
        <v>0</v>
      </c>
      <c r="Q257" s="18">
        <v>0</v>
      </c>
      <c r="R257">
        <v>2</v>
      </c>
      <c r="S257" s="18">
        <v>0</v>
      </c>
      <c r="T257">
        <v>0</v>
      </c>
      <c r="U257" s="18">
        <v>0</v>
      </c>
      <c r="X257">
        <v>1</v>
      </c>
      <c r="AB257" t="s">
        <v>184</v>
      </c>
    </row>
    <row r="258" spans="1:28" x14ac:dyDescent="0.3">
      <c r="A258" s="7">
        <v>44827</v>
      </c>
      <c r="B258">
        <v>4</v>
      </c>
      <c r="C258" t="s">
        <v>26</v>
      </c>
      <c r="D258">
        <v>2</v>
      </c>
      <c r="E258">
        <v>1</v>
      </c>
      <c r="F258" t="s">
        <v>27</v>
      </c>
      <c r="G258">
        <v>1</v>
      </c>
      <c r="H258" s="8">
        <v>0.27083333333333331</v>
      </c>
      <c r="I258" s="8">
        <v>0.3923611111111111</v>
      </c>
      <c r="J258" s="8">
        <f t="shared" si="9"/>
        <v>0.12152777777777779</v>
      </c>
      <c r="K258" s="12">
        <f t="shared" si="10"/>
        <v>2.916666666666667</v>
      </c>
      <c r="L258" s="12">
        <f t="shared" si="11"/>
        <v>2.916666666666667</v>
      </c>
      <c r="M258" t="s">
        <v>25</v>
      </c>
      <c r="N258" t="s">
        <v>411</v>
      </c>
      <c r="O258" s="18" t="s">
        <v>405</v>
      </c>
      <c r="P258">
        <v>0</v>
      </c>
      <c r="Q258" s="18">
        <v>0</v>
      </c>
      <c r="R258">
        <v>0</v>
      </c>
      <c r="S258" s="18">
        <v>0</v>
      </c>
      <c r="T258">
        <v>0</v>
      </c>
      <c r="U258" s="18">
        <v>0</v>
      </c>
    </row>
    <row r="259" spans="1:28" x14ac:dyDescent="0.3">
      <c r="A259" s="7">
        <v>44827</v>
      </c>
      <c r="B259">
        <v>4</v>
      </c>
      <c r="C259" t="s">
        <v>26</v>
      </c>
      <c r="D259">
        <v>2</v>
      </c>
      <c r="E259">
        <v>1</v>
      </c>
      <c r="F259" t="s">
        <v>27</v>
      </c>
      <c r="G259">
        <v>1</v>
      </c>
      <c r="H259" s="8">
        <v>0.3125</v>
      </c>
      <c r="I259" s="8">
        <v>0.40972222222222227</v>
      </c>
      <c r="J259" s="8">
        <f t="shared" ref="J259:J322" si="12">I259-H259</f>
        <v>9.7222222222222265E-2</v>
      </c>
      <c r="K259" s="12">
        <f t="shared" ref="K259:K322" si="13">(J259-INT(J259))*24</f>
        <v>2.3333333333333344</v>
      </c>
      <c r="L259" s="12">
        <f t="shared" si="11"/>
        <v>2.3333333333333344</v>
      </c>
      <c r="M259" t="s">
        <v>28</v>
      </c>
      <c r="N259" t="s">
        <v>411</v>
      </c>
      <c r="O259" s="18" t="s">
        <v>92</v>
      </c>
      <c r="P259">
        <v>0</v>
      </c>
      <c r="Q259" s="18">
        <v>0</v>
      </c>
      <c r="R259">
        <v>0</v>
      </c>
      <c r="S259" s="18">
        <v>0</v>
      </c>
      <c r="T259">
        <v>0</v>
      </c>
      <c r="U259" s="18">
        <v>0</v>
      </c>
    </row>
    <row r="260" spans="1:28" x14ac:dyDescent="0.3">
      <c r="A260" s="7">
        <v>44827</v>
      </c>
      <c r="B260">
        <v>4</v>
      </c>
      <c r="C260" t="s">
        <v>26</v>
      </c>
      <c r="D260">
        <v>2</v>
      </c>
      <c r="E260">
        <v>1</v>
      </c>
      <c r="F260" t="s">
        <v>27</v>
      </c>
      <c r="G260">
        <v>2</v>
      </c>
      <c r="H260" s="8">
        <v>0.3125</v>
      </c>
      <c r="I260" s="8">
        <v>0.40972222222222227</v>
      </c>
      <c r="J260" s="8">
        <f t="shared" si="12"/>
        <v>9.7222222222222265E-2</v>
      </c>
      <c r="K260" s="12">
        <f t="shared" si="13"/>
        <v>2.3333333333333344</v>
      </c>
      <c r="L260" s="12">
        <f t="shared" ref="L260:L323" si="14">G260*K260</f>
        <v>4.6666666666666687</v>
      </c>
      <c r="M260" t="s">
        <v>28</v>
      </c>
      <c r="N260" t="s">
        <v>411</v>
      </c>
      <c r="O260" s="18" t="s">
        <v>92</v>
      </c>
      <c r="P260">
        <v>0</v>
      </c>
      <c r="Q260" s="18">
        <v>0</v>
      </c>
      <c r="R260">
        <v>3</v>
      </c>
      <c r="S260" s="18">
        <v>0</v>
      </c>
      <c r="T260">
        <v>0</v>
      </c>
      <c r="U260" s="18">
        <v>0</v>
      </c>
      <c r="X260">
        <v>2</v>
      </c>
      <c r="AB260" t="s">
        <v>166</v>
      </c>
    </row>
    <row r="261" spans="1:28" x14ac:dyDescent="0.3">
      <c r="A261" s="7">
        <v>44827</v>
      </c>
      <c r="B261">
        <v>4</v>
      </c>
      <c r="C261" t="s">
        <v>26</v>
      </c>
      <c r="D261">
        <v>2</v>
      </c>
      <c r="E261">
        <v>1</v>
      </c>
      <c r="F261" t="s">
        <v>27</v>
      </c>
      <c r="G261">
        <v>1</v>
      </c>
      <c r="H261" s="8">
        <v>0.30208333333333331</v>
      </c>
      <c r="I261" s="8">
        <v>0.4236111111111111</v>
      </c>
      <c r="J261" s="8">
        <f t="shared" si="12"/>
        <v>0.12152777777777779</v>
      </c>
      <c r="K261" s="12">
        <f t="shared" si="13"/>
        <v>2.916666666666667</v>
      </c>
      <c r="L261" s="12">
        <f t="shared" si="14"/>
        <v>2.916666666666667</v>
      </c>
      <c r="M261" t="s">
        <v>28</v>
      </c>
      <c r="N261" t="s">
        <v>411</v>
      </c>
      <c r="O261" s="18" t="s">
        <v>92</v>
      </c>
      <c r="P261">
        <v>0</v>
      </c>
      <c r="Q261" s="18">
        <v>0</v>
      </c>
      <c r="R261">
        <v>0</v>
      </c>
      <c r="S261" s="18">
        <v>0</v>
      </c>
      <c r="T261">
        <v>0</v>
      </c>
      <c r="U261" s="18">
        <v>0</v>
      </c>
    </row>
    <row r="262" spans="1:28" x14ac:dyDescent="0.3">
      <c r="A262" s="7">
        <v>44827</v>
      </c>
      <c r="B262">
        <v>4</v>
      </c>
      <c r="C262" t="s">
        <v>26</v>
      </c>
      <c r="D262">
        <v>2</v>
      </c>
      <c r="E262">
        <v>1</v>
      </c>
      <c r="F262" t="s">
        <v>27</v>
      </c>
      <c r="G262">
        <v>1</v>
      </c>
      <c r="H262" s="8">
        <v>0.30208333333333331</v>
      </c>
      <c r="I262" s="8">
        <v>0.4236111111111111</v>
      </c>
      <c r="J262" s="8">
        <f t="shared" si="12"/>
        <v>0.12152777777777779</v>
      </c>
      <c r="K262" s="12">
        <f t="shared" si="13"/>
        <v>2.916666666666667</v>
      </c>
      <c r="L262" s="12">
        <f t="shared" si="14"/>
        <v>2.916666666666667</v>
      </c>
      <c r="M262" t="s">
        <v>28</v>
      </c>
      <c r="N262" t="s">
        <v>411</v>
      </c>
      <c r="O262" s="18" t="s">
        <v>422</v>
      </c>
      <c r="P262">
        <v>0</v>
      </c>
      <c r="Q262" s="18">
        <v>0</v>
      </c>
      <c r="R262">
        <v>1</v>
      </c>
      <c r="S262" s="18">
        <v>0</v>
      </c>
      <c r="T262">
        <v>0</v>
      </c>
      <c r="U262" s="18">
        <v>0</v>
      </c>
    </row>
    <row r="263" spans="1:28" x14ac:dyDescent="0.3">
      <c r="A263" s="7">
        <v>44827</v>
      </c>
      <c r="B263">
        <v>4</v>
      </c>
      <c r="C263" t="s">
        <v>26</v>
      </c>
      <c r="D263">
        <v>2</v>
      </c>
      <c r="E263">
        <v>1</v>
      </c>
      <c r="F263" t="s">
        <v>27</v>
      </c>
      <c r="G263">
        <v>1</v>
      </c>
      <c r="H263" s="8">
        <v>0.29166666666666669</v>
      </c>
      <c r="I263" s="8">
        <v>0.4236111111111111</v>
      </c>
      <c r="J263" s="8">
        <f t="shared" si="12"/>
        <v>0.13194444444444442</v>
      </c>
      <c r="K263" s="12">
        <f t="shared" si="13"/>
        <v>3.1666666666666661</v>
      </c>
      <c r="L263" s="12">
        <f t="shared" si="14"/>
        <v>3.1666666666666661</v>
      </c>
      <c r="M263" t="s">
        <v>28</v>
      </c>
      <c r="N263" t="s">
        <v>411</v>
      </c>
      <c r="O263" s="18" t="s">
        <v>405</v>
      </c>
      <c r="P263">
        <v>0</v>
      </c>
      <c r="Q263" s="18">
        <v>0</v>
      </c>
      <c r="R263">
        <v>0</v>
      </c>
      <c r="S263" s="18">
        <v>0</v>
      </c>
      <c r="T263">
        <v>0</v>
      </c>
      <c r="U263" s="18">
        <v>0</v>
      </c>
    </row>
    <row r="264" spans="1:28" x14ac:dyDescent="0.3">
      <c r="A264" s="7">
        <v>44827</v>
      </c>
      <c r="B264">
        <v>4</v>
      </c>
      <c r="C264" t="s">
        <v>26</v>
      </c>
      <c r="D264">
        <v>2</v>
      </c>
      <c r="E264">
        <v>1</v>
      </c>
      <c r="F264" t="s">
        <v>27</v>
      </c>
      <c r="G264">
        <v>1</v>
      </c>
      <c r="H264" s="8">
        <v>0.3125</v>
      </c>
      <c r="I264" s="8">
        <v>0.4236111111111111</v>
      </c>
      <c r="J264" s="8">
        <f t="shared" si="12"/>
        <v>0.1111111111111111</v>
      </c>
      <c r="K264" s="12">
        <f t="shared" si="13"/>
        <v>2.6666666666666665</v>
      </c>
      <c r="L264" s="12">
        <f t="shared" si="14"/>
        <v>2.6666666666666665</v>
      </c>
      <c r="M264" t="s">
        <v>28</v>
      </c>
      <c r="N264" t="s">
        <v>411</v>
      </c>
      <c r="O264" s="18" t="s">
        <v>92</v>
      </c>
      <c r="P264">
        <v>0</v>
      </c>
      <c r="Q264" s="18">
        <v>0</v>
      </c>
      <c r="R264">
        <v>1</v>
      </c>
      <c r="S264" s="18">
        <v>0</v>
      </c>
      <c r="T264">
        <v>0</v>
      </c>
      <c r="U264" s="18">
        <v>0</v>
      </c>
    </row>
    <row r="265" spans="1:28" x14ac:dyDescent="0.3">
      <c r="A265" s="7">
        <v>44827</v>
      </c>
      <c r="B265">
        <v>4</v>
      </c>
      <c r="C265" t="s">
        <v>26</v>
      </c>
      <c r="D265">
        <v>2</v>
      </c>
      <c r="E265">
        <v>1</v>
      </c>
      <c r="F265" t="s">
        <v>27</v>
      </c>
      <c r="G265">
        <v>1</v>
      </c>
      <c r="H265" s="8">
        <v>0.27083333333333331</v>
      </c>
      <c r="I265" s="8">
        <v>0.4236111111111111</v>
      </c>
      <c r="J265" s="8">
        <f t="shared" si="12"/>
        <v>0.15277777777777779</v>
      </c>
      <c r="K265" s="12">
        <f t="shared" si="13"/>
        <v>3.666666666666667</v>
      </c>
      <c r="L265" s="12">
        <f t="shared" si="14"/>
        <v>3.666666666666667</v>
      </c>
      <c r="M265" t="s">
        <v>28</v>
      </c>
      <c r="N265" t="s">
        <v>411</v>
      </c>
      <c r="O265" s="18" t="s">
        <v>92</v>
      </c>
      <c r="P265">
        <v>0</v>
      </c>
      <c r="Q265" s="18">
        <v>0</v>
      </c>
      <c r="R265">
        <v>2</v>
      </c>
      <c r="S265" s="18">
        <v>0</v>
      </c>
      <c r="T265">
        <v>0</v>
      </c>
      <c r="U265" s="18">
        <v>0</v>
      </c>
    </row>
    <row r="266" spans="1:28" x14ac:dyDescent="0.3">
      <c r="A266" s="7">
        <v>44827</v>
      </c>
      <c r="B266">
        <v>4</v>
      </c>
      <c r="C266" t="s">
        <v>26</v>
      </c>
      <c r="D266">
        <v>2</v>
      </c>
      <c r="E266">
        <v>1</v>
      </c>
      <c r="F266" t="s">
        <v>27</v>
      </c>
      <c r="G266">
        <v>1</v>
      </c>
      <c r="H266" s="8">
        <v>0.30208333333333331</v>
      </c>
      <c r="I266" s="8">
        <v>0.4236111111111111</v>
      </c>
      <c r="J266" s="8">
        <f t="shared" si="12"/>
        <v>0.12152777777777779</v>
      </c>
      <c r="K266" s="12">
        <f t="shared" si="13"/>
        <v>2.916666666666667</v>
      </c>
      <c r="L266" s="12">
        <f t="shared" si="14"/>
        <v>2.916666666666667</v>
      </c>
      <c r="M266" t="s">
        <v>28</v>
      </c>
      <c r="N266" t="s">
        <v>411</v>
      </c>
      <c r="O266" s="18" t="s">
        <v>405</v>
      </c>
      <c r="P266">
        <v>0</v>
      </c>
      <c r="Q266" s="18">
        <v>0</v>
      </c>
      <c r="R266">
        <v>2</v>
      </c>
      <c r="S266" s="18">
        <v>0</v>
      </c>
      <c r="T266">
        <v>0</v>
      </c>
      <c r="U266" s="18">
        <v>0</v>
      </c>
    </row>
    <row r="267" spans="1:28" x14ac:dyDescent="0.3">
      <c r="A267" s="7">
        <v>44827</v>
      </c>
      <c r="B267">
        <v>4</v>
      </c>
      <c r="C267" t="s">
        <v>26</v>
      </c>
      <c r="D267">
        <v>2</v>
      </c>
      <c r="E267">
        <v>1</v>
      </c>
      <c r="F267" t="s">
        <v>27</v>
      </c>
      <c r="G267">
        <v>1</v>
      </c>
      <c r="H267" s="8">
        <v>0.29166666666666669</v>
      </c>
      <c r="I267" s="8">
        <v>0.4236111111111111</v>
      </c>
      <c r="J267" s="8">
        <f t="shared" si="12"/>
        <v>0.13194444444444442</v>
      </c>
      <c r="K267" s="12">
        <f t="shared" si="13"/>
        <v>3.1666666666666661</v>
      </c>
      <c r="L267" s="12">
        <f t="shared" si="14"/>
        <v>3.1666666666666661</v>
      </c>
      <c r="M267" t="s">
        <v>28</v>
      </c>
      <c r="N267" t="s">
        <v>411</v>
      </c>
      <c r="O267" s="18" t="s">
        <v>422</v>
      </c>
      <c r="P267">
        <v>0</v>
      </c>
      <c r="Q267" s="18">
        <v>0</v>
      </c>
      <c r="R267">
        <v>2</v>
      </c>
      <c r="S267" s="18">
        <v>0</v>
      </c>
      <c r="T267">
        <v>0</v>
      </c>
      <c r="U267" s="18">
        <v>0</v>
      </c>
    </row>
    <row r="268" spans="1:28" x14ac:dyDescent="0.3">
      <c r="A268" s="7">
        <v>44827</v>
      </c>
      <c r="B268">
        <v>4</v>
      </c>
      <c r="C268" t="s">
        <v>26</v>
      </c>
      <c r="D268">
        <v>2</v>
      </c>
      <c r="E268">
        <v>1</v>
      </c>
      <c r="F268" t="s">
        <v>27</v>
      </c>
      <c r="G268">
        <v>1</v>
      </c>
      <c r="H268" s="8">
        <v>0.27083333333333331</v>
      </c>
      <c r="I268" s="8">
        <v>0.4236111111111111</v>
      </c>
      <c r="J268" s="8">
        <f t="shared" si="12"/>
        <v>0.15277777777777779</v>
      </c>
      <c r="K268" s="12">
        <f t="shared" si="13"/>
        <v>3.666666666666667</v>
      </c>
      <c r="L268" s="12">
        <f t="shared" si="14"/>
        <v>3.666666666666667</v>
      </c>
      <c r="M268" t="s">
        <v>28</v>
      </c>
      <c r="N268" t="s">
        <v>411</v>
      </c>
      <c r="O268" s="18" t="s">
        <v>405</v>
      </c>
      <c r="P268">
        <v>0</v>
      </c>
      <c r="Q268" s="18">
        <v>0</v>
      </c>
      <c r="R268">
        <v>0</v>
      </c>
      <c r="S268" s="18">
        <v>0</v>
      </c>
      <c r="T268">
        <v>0</v>
      </c>
      <c r="U268" s="18">
        <v>0</v>
      </c>
    </row>
    <row r="269" spans="1:28" x14ac:dyDescent="0.3">
      <c r="A269" s="7">
        <v>44827</v>
      </c>
      <c r="B269">
        <v>4</v>
      </c>
      <c r="C269" t="s">
        <v>26</v>
      </c>
      <c r="D269">
        <v>2</v>
      </c>
      <c r="E269">
        <v>1</v>
      </c>
      <c r="F269" t="s">
        <v>27</v>
      </c>
      <c r="G269">
        <v>2</v>
      </c>
      <c r="H269" s="8">
        <v>0.27083333333333331</v>
      </c>
      <c r="I269" s="8">
        <v>0.4236111111111111</v>
      </c>
      <c r="J269" s="8">
        <f t="shared" si="12"/>
        <v>0.15277777777777779</v>
      </c>
      <c r="K269" s="12">
        <f t="shared" si="13"/>
        <v>3.666666666666667</v>
      </c>
      <c r="L269" s="12">
        <f t="shared" si="14"/>
        <v>7.3333333333333339</v>
      </c>
      <c r="M269" t="s">
        <v>28</v>
      </c>
      <c r="N269" t="s">
        <v>411</v>
      </c>
      <c r="O269" s="18" t="s">
        <v>92</v>
      </c>
      <c r="P269">
        <v>0</v>
      </c>
      <c r="Q269" s="18">
        <v>0</v>
      </c>
      <c r="R269">
        <v>4</v>
      </c>
      <c r="S269" s="18">
        <v>0</v>
      </c>
      <c r="T269">
        <v>0</v>
      </c>
      <c r="U269" s="18">
        <v>0</v>
      </c>
    </row>
    <row r="270" spans="1:28" x14ac:dyDescent="0.3">
      <c r="A270" s="7">
        <v>44827</v>
      </c>
      <c r="B270">
        <v>4</v>
      </c>
      <c r="C270" t="s">
        <v>26</v>
      </c>
      <c r="D270">
        <v>2</v>
      </c>
      <c r="E270">
        <v>1</v>
      </c>
      <c r="F270" t="s">
        <v>27</v>
      </c>
      <c r="G270">
        <v>1</v>
      </c>
      <c r="H270" s="8">
        <v>0.29166666666666669</v>
      </c>
      <c r="I270" s="8">
        <v>0.4236111111111111</v>
      </c>
      <c r="J270" s="8">
        <f t="shared" si="12"/>
        <v>0.13194444444444442</v>
      </c>
      <c r="K270" s="12">
        <f t="shared" si="13"/>
        <v>3.1666666666666661</v>
      </c>
      <c r="L270" s="12">
        <f t="shared" si="14"/>
        <v>3.1666666666666661</v>
      </c>
      <c r="M270" t="s">
        <v>28</v>
      </c>
      <c r="N270" t="s">
        <v>408</v>
      </c>
      <c r="O270" s="18" t="s">
        <v>422</v>
      </c>
      <c r="P270">
        <v>0</v>
      </c>
      <c r="Q270" s="18">
        <v>0</v>
      </c>
      <c r="R270">
        <v>1</v>
      </c>
      <c r="S270" s="18">
        <v>0</v>
      </c>
      <c r="T270">
        <v>0</v>
      </c>
      <c r="U270" s="18">
        <v>0</v>
      </c>
    </row>
    <row r="271" spans="1:28" x14ac:dyDescent="0.3">
      <c r="A271" s="7">
        <v>44827</v>
      </c>
      <c r="B271">
        <v>4</v>
      </c>
      <c r="C271" t="s">
        <v>26</v>
      </c>
      <c r="D271">
        <v>2</v>
      </c>
      <c r="E271">
        <v>1</v>
      </c>
      <c r="F271" t="s">
        <v>27</v>
      </c>
      <c r="G271">
        <v>2</v>
      </c>
      <c r="H271" s="8">
        <v>0.29166666666666669</v>
      </c>
      <c r="I271" s="8">
        <v>0.4236111111111111</v>
      </c>
      <c r="J271" s="8">
        <f t="shared" si="12"/>
        <v>0.13194444444444442</v>
      </c>
      <c r="K271" s="12">
        <f t="shared" si="13"/>
        <v>3.1666666666666661</v>
      </c>
      <c r="L271" s="12">
        <f t="shared" si="14"/>
        <v>6.3333333333333321</v>
      </c>
      <c r="M271" t="s">
        <v>28</v>
      </c>
      <c r="N271" t="s">
        <v>411</v>
      </c>
      <c r="O271" s="18" t="s">
        <v>422</v>
      </c>
      <c r="P271">
        <v>0</v>
      </c>
      <c r="Q271" s="18">
        <v>0</v>
      </c>
      <c r="R271">
        <v>2</v>
      </c>
      <c r="S271" s="18">
        <v>0</v>
      </c>
      <c r="T271">
        <v>0</v>
      </c>
      <c r="U271" s="18">
        <v>0</v>
      </c>
    </row>
    <row r="272" spans="1:28" x14ac:dyDescent="0.3">
      <c r="A272" s="7">
        <v>44827</v>
      </c>
      <c r="B272">
        <v>4</v>
      </c>
      <c r="C272" t="s">
        <v>26</v>
      </c>
      <c r="D272">
        <v>2</v>
      </c>
      <c r="E272">
        <v>2</v>
      </c>
      <c r="F272" t="s">
        <v>27</v>
      </c>
      <c r="G272">
        <v>1</v>
      </c>
      <c r="H272" s="8">
        <v>0.375</v>
      </c>
      <c r="I272" s="8">
        <v>0.4236111111111111</v>
      </c>
      <c r="J272" s="8">
        <f t="shared" si="12"/>
        <v>4.8611111111111105E-2</v>
      </c>
      <c r="K272" s="12">
        <f t="shared" si="13"/>
        <v>1.1666666666666665</v>
      </c>
      <c r="L272" s="12">
        <f t="shared" si="14"/>
        <v>1.1666666666666665</v>
      </c>
      <c r="M272" t="s">
        <v>28</v>
      </c>
      <c r="N272" t="s">
        <v>411</v>
      </c>
      <c r="O272" s="18" t="s">
        <v>405</v>
      </c>
      <c r="P272">
        <v>0</v>
      </c>
      <c r="Q272" s="18">
        <v>0</v>
      </c>
      <c r="R272">
        <v>0</v>
      </c>
      <c r="S272" s="18">
        <v>0</v>
      </c>
      <c r="T272">
        <v>0</v>
      </c>
      <c r="U272" s="18">
        <v>0</v>
      </c>
    </row>
    <row r="273" spans="1:28" x14ac:dyDescent="0.3">
      <c r="A273" s="7">
        <v>44827</v>
      </c>
      <c r="B273">
        <v>4</v>
      </c>
      <c r="C273" t="s">
        <v>26</v>
      </c>
      <c r="D273">
        <v>2</v>
      </c>
      <c r="E273">
        <v>2</v>
      </c>
      <c r="F273" t="s">
        <v>27</v>
      </c>
      <c r="G273">
        <v>1</v>
      </c>
      <c r="H273" s="8">
        <v>0.29166666666666669</v>
      </c>
      <c r="I273" s="8">
        <v>0.43055555555555558</v>
      </c>
      <c r="J273" s="8">
        <f t="shared" si="12"/>
        <v>0.1388888888888889</v>
      </c>
      <c r="K273" s="12">
        <f t="shared" si="13"/>
        <v>3.3333333333333335</v>
      </c>
      <c r="L273" s="12">
        <f t="shared" si="14"/>
        <v>3.3333333333333335</v>
      </c>
      <c r="M273" t="s">
        <v>28</v>
      </c>
      <c r="N273" t="s">
        <v>411</v>
      </c>
      <c r="O273" s="18" t="s">
        <v>422</v>
      </c>
      <c r="P273">
        <v>0</v>
      </c>
      <c r="Q273" s="18">
        <v>0</v>
      </c>
      <c r="R273">
        <v>0</v>
      </c>
      <c r="S273" s="18">
        <v>0</v>
      </c>
      <c r="T273">
        <v>0</v>
      </c>
      <c r="U273" s="18">
        <v>0</v>
      </c>
    </row>
    <row r="274" spans="1:28" x14ac:dyDescent="0.3">
      <c r="A274" s="7">
        <v>44827</v>
      </c>
      <c r="B274">
        <v>4</v>
      </c>
      <c r="C274" t="s">
        <v>26</v>
      </c>
      <c r="D274">
        <v>2</v>
      </c>
      <c r="E274">
        <v>2</v>
      </c>
      <c r="F274" t="s">
        <v>27</v>
      </c>
      <c r="G274">
        <v>1</v>
      </c>
      <c r="H274" s="8">
        <v>0.35416666666666669</v>
      </c>
      <c r="I274" s="8">
        <v>0.43055555555555558</v>
      </c>
      <c r="J274" s="8">
        <f t="shared" si="12"/>
        <v>7.6388888888888895E-2</v>
      </c>
      <c r="K274" s="12">
        <f t="shared" si="13"/>
        <v>1.8333333333333335</v>
      </c>
      <c r="L274" s="12">
        <f t="shared" si="14"/>
        <v>1.8333333333333335</v>
      </c>
      <c r="M274" t="s">
        <v>28</v>
      </c>
      <c r="N274" t="s">
        <v>408</v>
      </c>
      <c r="O274" s="18" t="s">
        <v>422</v>
      </c>
      <c r="P274">
        <v>0</v>
      </c>
      <c r="Q274" s="18">
        <v>0</v>
      </c>
      <c r="R274">
        <v>0</v>
      </c>
      <c r="S274" s="18">
        <v>0</v>
      </c>
      <c r="T274">
        <v>0</v>
      </c>
      <c r="U274" s="18">
        <v>0</v>
      </c>
    </row>
    <row r="275" spans="1:28" x14ac:dyDescent="0.3">
      <c r="A275" s="7">
        <v>44827</v>
      </c>
      <c r="B275">
        <v>4</v>
      </c>
      <c r="C275" t="s">
        <v>26</v>
      </c>
      <c r="D275">
        <v>2</v>
      </c>
      <c r="E275">
        <v>2</v>
      </c>
      <c r="F275" t="s">
        <v>27</v>
      </c>
      <c r="G275">
        <v>1</v>
      </c>
      <c r="H275" s="8">
        <v>0.3125</v>
      </c>
      <c r="I275" s="8">
        <v>0.4375</v>
      </c>
      <c r="J275" s="8">
        <f t="shared" si="12"/>
        <v>0.125</v>
      </c>
      <c r="K275" s="12">
        <f t="shared" si="13"/>
        <v>3</v>
      </c>
      <c r="L275" s="12">
        <f t="shared" si="14"/>
        <v>3</v>
      </c>
      <c r="M275" t="s">
        <v>28</v>
      </c>
      <c r="N275" t="s">
        <v>411</v>
      </c>
      <c r="O275" s="18" t="s">
        <v>422</v>
      </c>
      <c r="P275">
        <v>0</v>
      </c>
      <c r="Q275" s="18">
        <v>0</v>
      </c>
      <c r="R275">
        <v>2</v>
      </c>
      <c r="S275" s="18">
        <v>0</v>
      </c>
      <c r="T275">
        <v>0</v>
      </c>
      <c r="U275" s="18">
        <v>0</v>
      </c>
    </row>
    <row r="276" spans="1:28" x14ac:dyDescent="0.3">
      <c r="A276" s="7">
        <v>44827</v>
      </c>
      <c r="B276">
        <v>4</v>
      </c>
      <c r="C276" t="s">
        <v>26</v>
      </c>
      <c r="D276">
        <v>2</v>
      </c>
      <c r="E276">
        <v>2</v>
      </c>
      <c r="F276" t="s">
        <v>27</v>
      </c>
      <c r="G276">
        <v>1</v>
      </c>
      <c r="H276" s="8">
        <v>0.39583333333333331</v>
      </c>
      <c r="I276" s="8">
        <v>0.4375</v>
      </c>
      <c r="J276" s="8">
        <f t="shared" si="12"/>
        <v>4.1666666666666685E-2</v>
      </c>
      <c r="K276" s="12">
        <f t="shared" si="13"/>
        <v>1.0000000000000004</v>
      </c>
      <c r="L276" s="12">
        <f t="shared" si="14"/>
        <v>1.0000000000000004</v>
      </c>
      <c r="M276" t="s">
        <v>28</v>
      </c>
      <c r="N276" t="s">
        <v>411</v>
      </c>
      <c r="O276" s="18" t="s">
        <v>422</v>
      </c>
      <c r="P276">
        <v>0</v>
      </c>
      <c r="Q276" s="18">
        <v>0</v>
      </c>
      <c r="R276">
        <v>1</v>
      </c>
      <c r="S276" s="18">
        <v>0</v>
      </c>
      <c r="T276">
        <v>0</v>
      </c>
      <c r="U276" s="18">
        <v>0</v>
      </c>
    </row>
    <row r="277" spans="1:28" x14ac:dyDescent="0.3">
      <c r="A277" s="7">
        <v>44827</v>
      </c>
      <c r="B277">
        <v>4</v>
      </c>
      <c r="C277" t="s">
        <v>26</v>
      </c>
      <c r="D277">
        <v>2</v>
      </c>
      <c r="E277">
        <v>2</v>
      </c>
      <c r="F277" t="s">
        <v>27</v>
      </c>
      <c r="G277">
        <v>1</v>
      </c>
      <c r="H277" s="8">
        <v>0.3125</v>
      </c>
      <c r="I277" s="8">
        <v>0.4375</v>
      </c>
      <c r="J277" s="8">
        <f t="shared" si="12"/>
        <v>0.125</v>
      </c>
      <c r="K277" s="12">
        <f t="shared" si="13"/>
        <v>3</v>
      </c>
      <c r="L277" s="12">
        <f t="shared" si="14"/>
        <v>3</v>
      </c>
      <c r="M277" t="s">
        <v>28</v>
      </c>
      <c r="N277" t="s">
        <v>411</v>
      </c>
      <c r="O277" s="18" t="s">
        <v>422</v>
      </c>
      <c r="P277">
        <v>0</v>
      </c>
      <c r="Q277" s="18">
        <v>0</v>
      </c>
      <c r="R277">
        <v>1</v>
      </c>
      <c r="S277" s="18">
        <v>0</v>
      </c>
      <c r="T277">
        <v>0</v>
      </c>
      <c r="U277" s="18">
        <v>0</v>
      </c>
    </row>
    <row r="278" spans="1:28" x14ac:dyDescent="0.3">
      <c r="A278" s="7">
        <v>44827</v>
      </c>
      <c r="B278">
        <v>4</v>
      </c>
      <c r="C278" t="s">
        <v>26</v>
      </c>
      <c r="D278">
        <v>2</v>
      </c>
      <c r="E278">
        <v>2</v>
      </c>
      <c r="F278" t="s">
        <v>27</v>
      </c>
      <c r="G278">
        <v>1</v>
      </c>
      <c r="H278" s="8">
        <v>0.43055555555555558</v>
      </c>
      <c r="I278" s="8">
        <v>0.4375</v>
      </c>
      <c r="J278" s="8">
        <f t="shared" si="12"/>
        <v>6.9444444444444198E-3</v>
      </c>
      <c r="K278" s="12">
        <f t="shared" si="13"/>
        <v>0.16666666666666607</v>
      </c>
      <c r="L278" s="12">
        <f t="shared" si="14"/>
        <v>0.16666666666666607</v>
      </c>
      <c r="M278" t="s">
        <v>28</v>
      </c>
      <c r="N278" t="s">
        <v>411</v>
      </c>
      <c r="O278" s="18" t="s">
        <v>422</v>
      </c>
      <c r="P278">
        <v>0</v>
      </c>
      <c r="Q278" s="18">
        <v>0</v>
      </c>
      <c r="R278">
        <v>0</v>
      </c>
      <c r="S278" s="18">
        <v>0</v>
      </c>
      <c r="T278">
        <v>0</v>
      </c>
      <c r="U278" s="18">
        <v>0</v>
      </c>
    </row>
    <row r="279" spans="1:28" x14ac:dyDescent="0.3">
      <c r="A279" s="7">
        <v>44827</v>
      </c>
      <c r="B279">
        <v>4</v>
      </c>
      <c r="C279" t="s">
        <v>26</v>
      </c>
      <c r="D279">
        <v>2</v>
      </c>
      <c r="E279">
        <v>2</v>
      </c>
      <c r="F279" t="s">
        <v>27</v>
      </c>
      <c r="G279">
        <v>1</v>
      </c>
      <c r="H279" s="8">
        <v>0.33333333333333331</v>
      </c>
      <c r="I279" s="8">
        <v>0.45833333333333331</v>
      </c>
      <c r="J279" s="8">
        <f t="shared" si="12"/>
        <v>0.125</v>
      </c>
      <c r="K279" s="12">
        <f t="shared" si="13"/>
        <v>3</v>
      </c>
      <c r="L279" s="12">
        <f t="shared" si="14"/>
        <v>3</v>
      </c>
      <c r="M279" t="s">
        <v>28</v>
      </c>
      <c r="N279" t="s">
        <v>411</v>
      </c>
      <c r="O279" s="18" t="s">
        <v>405</v>
      </c>
      <c r="P279">
        <v>1</v>
      </c>
      <c r="Q279" s="18">
        <v>0</v>
      </c>
      <c r="R279">
        <v>1</v>
      </c>
      <c r="S279" s="18">
        <v>0</v>
      </c>
      <c r="T279">
        <v>0</v>
      </c>
      <c r="U279" s="18">
        <v>0</v>
      </c>
      <c r="V279">
        <v>1</v>
      </c>
      <c r="X279">
        <v>1</v>
      </c>
      <c r="AB279" t="s">
        <v>429</v>
      </c>
    </row>
    <row r="280" spans="1:28" x14ac:dyDescent="0.3">
      <c r="A280" s="7">
        <v>44827</v>
      </c>
      <c r="B280">
        <v>4</v>
      </c>
      <c r="C280" t="s">
        <v>26</v>
      </c>
      <c r="D280">
        <v>2</v>
      </c>
      <c r="E280">
        <v>3</v>
      </c>
      <c r="F280" t="s">
        <v>27</v>
      </c>
      <c r="G280">
        <v>1</v>
      </c>
      <c r="H280" s="8">
        <v>0.29166666666666669</v>
      </c>
      <c r="I280" s="8">
        <v>0.46597222222222223</v>
      </c>
      <c r="J280" s="8">
        <f t="shared" si="12"/>
        <v>0.17430555555555555</v>
      </c>
      <c r="K280" s="12">
        <f t="shared" si="13"/>
        <v>4.1833333333333336</v>
      </c>
      <c r="L280" s="12">
        <f t="shared" si="14"/>
        <v>4.1833333333333336</v>
      </c>
      <c r="M280" t="s">
        <v>25</v>
      </c>
      <c r="N280" t="s">
        <v>409</v>
      </c>
      <c r="O280" s="18" t="s">
        <v>92</v>
      </c>
      <c r="P280">
        <v>0</v>
      </c>
      <c r="Q280" s="18">
        <v>0</v>
      </c>
      <c r="R280">
        <v>1</v>
      </c>
      <c r="S280" s="18">
        <v>0</v>
      </c>
      <c r="T280">
        <v>0</v>
      </c>
      <c r="U280" s="18">
        <v>0</v>
      </c>
    </row>
    <row r="281" spans="1:28" x14ac:dyDescent="0.3">
      <c r="A281" s="7">
        <v>44827</v>
      </c>
      <c r="B281">
        <v>4</v>
      </c>
      <c r="C281" t="s">
        <v>26</v>
      </c>
      <c r="D281">
        <v>2</v>
      </c>
      <c r="E281">
        <v>4</v>
      </c>
      <c r="F281" t="s">
        <v>27</v>
      </c>
      <c r="G281">
        <v>1</v>
      </c>
      <c r="H281" s="8">
        <v>0.42708333333333331</v>
      </c>
      <c r="I281" s="8">
        <v>0.47569444444444442</v>
      </c>
      <c r="J281" s="8">
        <f t="shared" si="12"/>
        <v>4.8611111111111105E-2</v>
      </c>
      <c r="K281" s="12">
        <f t="shared" si="13"/>
        <v>1.1666666666666665</v>
      </c>
      <c r="L281" s="12">
        <f t="shared" si="14"/>
        <v>1.1666666666666665</v>
      </c>
      <c r="M281" t="s">
        <v>28</v>
      </c>
      <c r="N281" t="s">
        <v>411</v>
      </c>
      <c r="O281" s="18" t="s">
        <v>422</v>
      </c>
      <c r="P281">
        <v>0</v>
      </c>
      <c r="Q281" s="18">
        <v>0</v>
      </c>
      <c r="R281">
        <v>0</v>
      </c>
      <c r="S281" s="18">
        <v>0</v>
      </c>
      <c r="T281">
        <v>0</v>
      </c>
      <c r="U281" s="18">
        <v>0</v>
      </c>
    </row>
    <row r="282" spans="1:28" x14ac:dyDescent="0.3">
      <c r="A282" s="7">
        <v>44827</v>
      </c>
      <c r="B282">
        <v>4</v>
      </c>
      <c r="C282" t="s">
        <v>26</v>
      </c>
      <c r="D282">
        <v>2</v>
      </c>
      <c r="E282">
        <v>4</v>
      </c>
      <c r="F282" t="s">
        <v>27</v>
      </c>
      <c r="G282">
        <v>2</v>
      </c>
      <c r="H282" s="8">
        <v>0.4375</v>
      </c>
      <c r="I282" s="8">
        <v>0.47916666666666669</v>
      </c>
      <c r="J282" s="8">
        <f t="shared" si="12"/>
        <v>4.1666666666666685E-2</v>
      </c>
      <c r="K282" s="12">
        <f t="shared" si="13"/>
        <v>1.0000000000000004</v>
      </c>
      <c r="L282" s="12">
        <f t="shared" si="14"/>
        <v>2.0000000000000009</v>
      </c>
      <c r="M282" t="s">
        <v>28</v>
      </c>
      <c r="N282" t="s">
        <v>411</v>
      </c>
      <c r="O282" s="18" t="s">
        <v>422</v>
      </c>
      <c r="P282">
        <v>1</v>
      </c>
      <c r="Q282" s="18">
        <v>0</v>
      </c>
      <c r="R282">
        <v>0</v>
      </c>
      <c r="S282" s="18">
        <v>0</v>
      </c>
      <c r="T282">
        <v>0</v>
      </c>
      <c r="U282" s="18">
        <v>0</v>
      </c>
      <c r="V282">
        <v>1</v>
      </c>
      <c r="AB282" t="s">
        <v>427</v>
      </c>
    </row>
    <row r="283" spans="1:28" x14ac:dyDescent="0.3">
      <c r="A283" s="7">
        <v>44827</v>
      </c>
      <c r="B283">
        <v>4</v>
      </c>
      <c r="C283" t="s">
        <v>26</v>
      </c>
      <c r="D283">
        <v>2</v>
      </c>
      <c r="E283">
        <v>4</v>
      </c>
      <c r="F283" t="s">
        <v>27</v>
      </c>
      <c r="G283">
        <v>1</v>
      </c>
      <c r="H283" s="8">
        <v>0.4375</v>
      </c>
      <c r="I283" s="8">
        <v>0.47916666666666669</v>
      </c>
      <c r="J283" s="8">
        <f t="shared" si="12"/>
        <v>4.1666666666666685E-2</v>
      </c>
      <c r="K283" s="12">
        <f t="shared" si="13"/>
        <v>1.0000000000000004</v>
      </c>
      <c r="L283" s="12">
        <f t="shared" si="14"/>
        <v>1.0000000000000004</v>
      </c>
      <c r="M283" t="s">
        <v>25</v>
      </c>
      <c r="N283" t="s">
        <v>411</v>
      </c>
      <c r="O283" s="18" t="s">
        <v>422</v>
      </c>
      <c r="P283">
        <v>2</v>
      </c>
      <c r="Q283" s="18">
        <v>0</v>
      </c>
      <c r="R283">
        <v>0</v>
      </c>
      <c r="S283" s="18">
        <v>0</v>
      </c>
      <c r="T283">
        <v>0</v>
      </c>
      <c r="U283" s="18">
        <v>0</v>
      </c>
    </row>
    <row r="284" spans="1:28" x14ac:dyDescent="0.3">
      <c r="A284" s="7">
        <v>44827</v>
      </c>
      <c r="B284">
        <v>4</v>
      </c>
      <c r="C284" t="s">
        <v>26</v>
      </c>
      <c r="D284">
        <v>2</v>
      </c>
      <c r="E284">
        <v>4</v>
      </c>
      <c r="F284" t="s">
        <v>27</v>
      </c>
      <c r="G284">
        <v>3</v>
      </c>
      <c r="H284" s="8">
        <v>0.39583333333333331</v>
      </c>
      <c r="I284" s="8">
        <v>0.4861111111111111</v>
      </c>
      <c r="J284" s="8">
        <f t="shared" si="12"/>
        <v>9.027777777777779E-2</v>
      </c>
      <c r="K284" s="12">
        <f t="shared" si="13"/>
        <v>2.166666666666667</v>
      </c>
      <c r="L284" s="12">
        <f t="shared" si="14"/>
        <v>6.5000000000000009</v>
      </c>
      <c r="M284" t="s">
        <v>28</v>
      </c>
      <c r="N284" t="s">
        <v>411</v>
      </c>
      <c r="O284" s="18" t="s">
        <v>410</v>
      </c>
      <c r="P284">
        <v>0</v>
      </c>
      <c r="Q284" s="18">
        <v>0</v>
      </c>
      <c r="R284">
        <v>0</v>
      </c>
      <c r="S284" s="18">
        <v>0</v>
      </c>
      <c r="T284">
        <v>0</v>
      </c>
      <c r="U284" s="18">
        <v>0</v>
      </c>
    </row>
    <row r="285" spans="1:28" x14ac:dyDescent="0.3">
      <c r="A285" s="7">
        <v>44827</v>
      </c>
      <c r="B285">
        <v>4</v>
      </c>
      <c r="C285" t="s">
        <v>26</v>
      </c>
      <c r="D285">
        <v>2</v>
      </c>
      <c r="E285">
        <v>4</v>
      </c>
      <c r="F285" t="s">
        <v>27</v>
      </c>
      <c r="G285">
        <v>1</v>
      </c>
      <c r="H285" s="8">
        <v>0.45833333333333331</v>
      </c>
      <c r="I285" s="8">
        <v>0.50347222222222221</v>
      </c>
      <c r="J285" s="8">
        <f t="shared" si="12"/>
        <v>4.5138888888888895E-2</v>
      </c>
      <c r="K285" s="12">
        <f t="shared" si="13"/>
        <v>1.0833333333333335</v>
      </c>
      <c r="L285" s="12">
        <f t="shared" si="14"/>
        <v>1.0833333333333335</v>
      </c>
      <c r="M285" t="s">
        <v>25</v>
      </c>
      <c r="N285" t="s">
        <v>435</v>
      </c>
      <c r="O285" s="18" t="s">
        <v>92</v>
      </c>
      <c r="P285">
        <v>0</v>
      </c>
      <c r="Q285" s="18">
        <v>0</v>
      </c>
      <c r="R285">
        <v>0</v>
      </c>
      <c r="S285" s="18">
        <v>0</v>
      </c>
      <c r="T285">
        <v>0</v>
      </c>
      <c r="U285" s="18">
        <v>0</v>
      </c>
    </row>
    <row r="286" spans="1:28" s="26" customFormat="1" x14ac:dyDescent="0.3">
      <c r="A286" s="25">
        <v>44827</v>
      </c>
      <c r="B286" s="26">
        <v>4</v>
      </c>
      <c r="C286" s="26" t="s">
        <v>26</v>
      </c>
      <c r="D286" s="26">
        <v>2</v>
      </c>
      <c r="E286" s="26">
        <v>5</v>
      </c>
      <c r="F286" s="26" t="s">
        <v>27</v>
      </c>
      <c r="G286" s="26">
        <v>2</v>
      </c>
      <c r="H286" s="27">
        <v>0.39583333333333331</v>
      </c>
      <c r="I286" s="27">
        <v>0.51041666666666663</v>
      </c>
      <c r="J286" s="8">
        <f t="shared" si="12"/>
        <v>0.11458333333333331</v>
      </c>
      <c r="K286" s="12">
        <f t="shared" si="13"/>
        <v>2.7499999999999996</v>
      </c>
      <c r="L286" s="12">
        <f t="shared" si="14"/>
        <v>5.4999999999999991</v>
      </c>
      <c r="M286" s="26" t="s">
        <v>28</v>
      </c>
      <c r="N286" s="26" t="s">
        <v>411</v>
      </c>
      <c r="O286" s="28" t="s">
        <v>407</v>
      </c>
      <c r="P286" s="26">
        <v>0</v>
      </c>
      <c r="Q286" s="28">
        <v>0</v>
      </c>
      <c r="R286" s="26">
        <v>0</v>
      </c>
      <c r="S286" s="28">
        <v>0</v>
      </c>
      <c r="T286" s="26">
        <v>0</v>
      </c>
      <c r="U286" s="28">
        <v>0</v>
      </c>
    </row>
    <row r="287" spans="1:28" x14ac:dyDescent="0.3">
      <c r="A287" s="7">
        <v>44827</v>
      </c>
      <c r="B287">
        <v>4</v>
      </c>
      <c r="C287" t="s">
        <v>42</v>
      </c>
      <c r="D287">
        <v>1</v>
      </c>
      <c r="E287">
        <v>1</v>
      </c>
      <c r="F287" t="s">
        <v>35</v>
      </c>
      <c r="G287">
        <v>2</v>
      </c>
      <c r="H287" s="8">
        <v>0.5</v>
      </c>
      <c r="I287" s="8">
        <v>0.73611111111111116</v>
      </c>
      <c r="J287" s="8">
        <f t="shared" si="12"/>
        <v>0.23611111111111116</v>
      </c>
      <c r="K287" s="12">
        <f t="shared" si="13"/>
        <v>5.6666666666666679</v>
      </c>
      <c r="L287" s="12">
        <f t="shared" si="14"/>
        <v>11.333333333333336</v>
      </c>
      <c r="M287" t="s">
        <v>25</v>
      </c>
      <c r="N287" t="s">
        <v>423</v>
      </c>
      <c r="O287" s="18" t="s">
        <v>92</v>
      </c>
      <c r="P287">
        <v>0</v>
      </c>
      <c r="Q287" s="18">
        <v>0</v>
      </c>
      <c r="R287">
        <v>0</v>
      </c>
      <c r="S287" s="18">
        <v>0</v>
      </c>
      <c r="T287">
        <v>0</v>
      </c>
      <c r="U287" s="18">
        <v>0</v>
      </c>
    </row>
    <row r="288" spans="1:28" x14ac:dyDescent="0.3">
      <c r="A288" s="7">
        <v>44827</v>
      </c>
      <c r="B288">
        <v>4</v>
      </c>
      <c r="C288" t="s">
        <v>42</v>
      </c>
      <c r="D288">
        <v>1</v>
      </c>
      <c r="E288">
        <v>1</v>
      </c>
      <c r="F288" t="s">
        <v>35</v>
      </c>
      <c r="G288">
        <v>3</v>
      </c>
      <c r="H288" s="8">
        <v>0.58333333333333337</v>
      </c>
      <c r="I288" s="8">
        <v>0.75</v>
      </c>
      <c r="J288" s="8">
        <f t="shared" si="12"/>
        <v>0.16666666666666663</v>
      </c>
      <c r="K288" s="12">
        <f t="shared" si="13"/>
        <v>3.9999999999999991</v>
      </c>
      <c r="L288" s="12">
        <f t="shared" si="14"/>
        <v>11.999999999999996</v>
      </c>
      <c r="M288" t="s">
        <v>25</v>
      </c>
      <c r="N288" t="s">
        <v>438</v>
      </c>
      <c r="O288" s="18" t="s">
        <v>92</v>
      </c>
      <c r="P288">
        <v>0</v>
      </c>
      <c r="Q288" s="18">
        <v>0</v>
      </c>
      <c r="R288">
        <v>0</v>
      </c>
      <c r="S288" s="18">
        <v>0</v>
      </c>
      <c r="T288">
        <v>0</v>
      </c>
      <c r="U288" s="18">
        <v>0</v>
      </c>
    </row>
    <row r="289" spans="1:21" s="26" customFormat="1" x14ac:dyDescent="0.3">
      <c r="A289" s="25">
        <v>44827</v>
      </c>
      <c r="B289" s="26">
        <v>4</v>
      </c>
      <c r="C289" s="26" t="s">
        <v>42</v>
      </c>
      <c r="D289" s="26">
        <v>1</v>
      </c>
      <c r="E289" s="26">
        <v>1</v>
      </c>
      <c r="F289" s="26" t="s">
        <v>35</v>
      </c>
      <c r="G289" s="26">
        <v>2</v>
      </c>
      <c r="H289" s="27">
        <v>0.375</v>
      </c>
      <c r="I289" s="27">
        <v>0.75</v>
      </c>
      <c r="J289" s="8">
        <f t="shared" si="12"/>
        <v>0.375</v>
      </c>
      <c r="K289" s="12">
        <f t="shared" si="13"/>
        <v>9</v>
      </c>
      <c r="L289" s="12">
        <f t="shared" si="14"/>
        <v>18</v>
      </c>
      <c r="M289" s="26" t="s">
        <v>25</v>
      </c>
      <c r="N289" s="26" t="s">
        <v>412</v>
      </c>
      <c r="O289" s="28" t="s">
        <v>92</v>
      </c>
      <c r="P289" s="26">
        <v>0</v>
      </c>
      <c r="Q289" s="28">
        <v>0</v>
      </c>
      <c r="R289" s="26">
        <v>0</v>
      </c>
      <c r="S289" s="28">
        <v>0</v>
      </c>
      <c r="T289" s="26">
        <v>0</v>
      </c>
      <c r="U289" s="28">
        <v>0</v>
      </c>
    </row>
    <row r="290" spans="1:21" x14ac:dyDescent="0.3">
      <c r="A290" s="7">
        <v>44828</v>
      </c>
      <c r="B290">
        <v>4</v>
      </c>
      <c r="C290" t="s">
        <v>26</v>
      </c>
      <c r="D290">
        <v>2</v>
      </c>
      <c r="E290">
        <v>1</v>
      </c>
      <c r="F290" t="s">
        <v>27</v>
      </c>
      <c r="G290">
        <v>2</v>
      </c>
      <c r="H290" s="8">
        <v>0.27083333333333331</v>
      </c>
      <c r="I290" s="8">
        <v>0.34027777777777773</v>
      </c>
      <c r="J290" s="8">
        <f t="shared" si="12"/>
        <v>6.944444444444442E-2</v>
      </c>
      <c r="K290" s="12">
        <f t="shared" si="13"/>
        <v>1.6666666666666661</v>
      </c>
      <c r="L290" s="12">
        <f t="shared" si="14"/>
        <v>3.3333333333333321</v>
      </c>
      <c r="M290" t="s">
        <v>28</v>
      </c>
      <c r="N290" t="s">
        <v>453</v>
      </c>
      <c r="O290" s="18" t="s">
        <v>405</v>
      </c>
      <c r="P290">
        <v>0</v>
      </c>
      <c r="Q290" s="18">
        <v>0</v>
      </c>
      <c r="R290">
        <v>0</v>
      </c>
      <c r="S290" s="18">
        <v>0</v>
      </c>
      <c r="T290">
        <v>0</v>
      </c>
      <c r="U290" s="18">
        <v>0</v>
      </c>
    </row>
    <row r="291" spans="1:21" x14ac:dyDescent="0.3">
      <c r="A291" s="7">
        <v>44828</v>
      </c>
      <c r="B291">
        <v>4</v>
      </c>
      <c r="C291" t="s">
        <v>26</v>
      </c>
      <c r="D291">
        <v>2</v>
      </c>
      <c r="E291">
        <v>1</v>
      </c>
      <c r="F291" t="s">
        <v>27</v>
      </c>
      <c r="G291">
        <v>2</v>
      </c>
      <c r="H291" s="8">
        <v>0.33333333333333331</v>
      </c>
      <c r="I291" s="8">
        <v>0.34027777777777773</v>
      </c>
      <c r="J291" s="8">
        <f t="shared" si="12"/>
        <v>6.9444444444444198E-3</v>
      </c>
      <c r="K291" s="12">
        <f t="shared" si="13"/>
        <v>0.16666666666666607</v>
      </c>
      <c r="L291" s="12">
        <f t="shared" si="14"/>
        <v>0.33333333333333215</v>
      </c>
      <c r="M291" t="s">
        <v>28</v>
      </c>
      <c r="N291" t="s">
        <v>411</v>
      </c>
      <c r="O291" s="18" t="s">
        <v>405</v>
      </c>
      <c r="P291">
        <v>0</v>
      </c>
      <c r="Q291" s="18">
        <v>0</v>
      </c>
      <c r="R291">
        <v>0</v>
      </c>
      <c r="S291" s="18">
        <v>0</v>
      </c>
      <c r="T291">
        <v>0</v>
      </c>
      <c r="U291" s="18">
        <v>0</v>
      </c>
    </row>
    <row r="292" spans="1:21" x14ac:dyDescent="0.3">
      <c r="A292" s="7">
        <v>44828</v>
      </c>
      <c r="B292">
        <v>4</v>
      </c>
      <c r="C292" t="s">
        <v>26</v>
      </c>
      <c r="D292">
        <v>2</v>
      </c>
      <c r="E292">
        <v>1</v>
      </c>
      <c r="F292" t="s">
        <v>27</v>
      </c>
      <c r="G292">
        <v>1</v>
      </c>
      <c r="H292" s="8">
        <v>0.27777777777777779</v>
      </c>
      <c r="I292" s="8">
        <v>0.34027777777777773</v>
      </c>
      <c r="J292" s="8">
        <f t="shared" si="12"/>
        <v>6.2499999999999944E-2</v>
      </c>
      <c r="K292" s="12">
        <f t="shared" si="13"/>
        <v>1.4999999999999987</v>
      </c>
      <c r="L292" s="12">
        <f t="shared" si="14"/>
        <v>1.4999999999999987</v>
      </c>
      <c r="M292" t="s">
        <v>28</v>
      </c>
      <c r="N292" t="s">
        <v>408</v>
      </c>
      <c r="O292" s="18" t="s">
        <v>407</v>
      </c>
      <c r="P292">
        <v>0</v>
      </c>
      <c r="Q292" s="18">
        <v>0</v>
      </c>
      <c r="R292">
        <v>1</v>
      </c>
      <c r="S292" s="18">
        <v>0</v>
      </c>
      <c r="T292">
        <v>0</v>
      </c>
      <c r="U292" s="18">
        <v>0</v>
      </c>
    </row>
    <row r="293" spans="1:21" x14ac:dyDescent="0.3">
      <c r="A293" s="7">
        <v>44828</v>
      </c>
      <c r="B293">
        <v>4</v>
      </c>
      <c r="C293" t="s">
        <v>26</v>
      </c>
      <c r="D293">
        <v>2</v>
      </c>
      <c r="E293">
        <v>1</v>
      </c>
      <c r="F293" t="s">
        <v>27</v>
      </c>
      <c r="G293">
        <v>1</v>
      </c>
      <c r="H293" s="8">
        <v>0.32291666666666669</v>
      </c>
      <c r="I293" s="8">
        <v>0.34027777777777773</v>
      </c>
      <c r="J293" s="8">
        <f t="shared" si="12"/>
        <v>1.7361111111111049E-2</v>
      </c>
      <c r="K293" s="12">
        <f t="shared" si="13"/>
        <v>0.41666666666666519</v>
      </c>
      <c r="L293" s="12">
        <f t="shared" si="14"/>
        <v>0.41666666666666519</v>
      </c>
      <c r="M293" t="s">
        <v>28</v>
      </c>
      <c r="N293" t="s">
        <v>411</v>
      </c>
      <c r="O293" s="18" t="s">
        <v>422</v>
      </c>
      <c r="P293">
        <v>0</v>
      </c>
      <c r="Q293" s="18">
        <v>0</v>
      </c>
      <c r="R293">
        <v>0</v>
      </c>
      <c r="S293" s="18">
        <v>0</v>
      </c>
      <c r="T293">
        <v>0</v>
      </c>
      <c r="U293" s="18">
        <v>0</v>
      </c>
    </row>
    <row r="294" spans="1:21" x14ac:dyDescent="0.3">
      <c r="A294" s="7">
        <v>44828</v>
      </c>
      <c r="B294">
        <v>4</v>
      </c>
      <c r="C294" t="s">
        <v>26</v>
      </c>
      <c r="D294">
        <v>2</v>
      </c>
      <c r="E294">
        <v>1</v>
      </c>
      <c r="F294" t="s">
        <v>27</v>
      </c>
      <c r="G294">
        <v>2</v>
      </c>
      <c r="H294" s="8">
        <v>0.33333333333333331</v>
      </c>
      <c r="I294" s="8">
        <v>0.34375</v>
      </c>
      <c r="J294" s="8">
        <f t="shared" si="12"/>
        <v>1.0416666666666685E-2</v>
      </c>
      <c r="K294" s="12">
        <f t="shared" si="13"/>
        <v>0.25000000000000044</v>
      </c>
      <c r="L294" s="12">
        <f t="shared" si="14"/>
        <v>0.50000000000000089</v>
      </c>
      <c r="M294" t="s">
        <v>28</v>
      </c>
      <c r="N294" t="s">
        <v>453</v>
      </c>
      <c r="O294" s="18" t="s">
        <v>405</v>
      </c>
      <c r="P294">
        <v>0</v>
      </c>
      <c r="Q294" s="18">
        <v>0</v>
      </c>
      <c r="R294">
        <v>0</v>
      </c>
      <c r="S294" s="18">
        <v>0</v>
      </c>
      <c r="T294">
        <v>0</v>
      </c>
      <c r="U294" s="18">
        <v>0</v>
      </c>
    </row>
    <row r="295" spans="1:21" x14ac:dyDescent="0.3">
      <c r="A295" s="7">
        <v>44828</v>
      </c>
      <c r="B295">
        <v>4</v>
      </c>
      <c r="C295" t="s">
        <v>26</v>
      </c>
      <c r="D295">
        <v>2</v>
      </c>
      <c r="E295">
        <v>1</v>
      </c>
      <c r="F295" t="s">
        <v>27</v>
      </c>
      <c r="G295">
        <v>2</v>
      </c>
      <c r="H295" s="8">
        <v>0.30555555555555552</v>
      </c>
      <c r="I295" s="8">
        <v>0.34375</v>
      </c>
      <c r="J295" s="8">
        <f t="shared" si="12"/>
        <v>3.8194444444444475E-2</v>
      </c>
      <c r="K295" s="12">
        <f t="shared" si="13"/>
        <v>0.91666666666666741</v>
      </c>
      <c r="L295" s="12">
        <f t="shared" si="14"/>
        <v>1.8333333333333348</v>
      </c>
      <c r="M295" t="s">
        <v>28</v>
      </c>
      <c r="N295" t="s">
        <v>411</v>
      </c>
      <c r="O295" s="18" t="s">
        <v>92</v>
      </c>
      <c r="P295">
        <v>0</v>
      </c>
      <c r="Q295" s="18">
        <v>0</v>
      </c>
      <c r="R295">
        <v>0</v>
      </c>
      <c r="S295" s="18">
        <v>0</v>
      </c>
      <c r="T295">
        <v>0</v>
      </c>
      <c r="U295" s="18">
        <v>0</v>
      </c>
    </row>
    <row r="296" spans="1:21" x14ac:dyDescent="0.3">
      <c r="A296" s="7">
        <v>44828</v>
      </c>
      <c r="B296">
        <v>4</v>
      </c>
      <c r="C296" t="s">
        <v>26</v>
      </c>
      <c r="D296">
        <v>2</v>
      </c>
      <c r="E296">
        <v>1</v>
      </c>
      <c r="F296" t="s">
        <v>27</v>
      </c>
      <c r="G296">
        <v>1</v>
      </c>
      <c r="H296" s="8">
        <v>0.27083333333333331</v>
      </c>
      <c r="I296" s="8">
        <v>0.3611111111111111</v>
      </c>
      <c r="J296" s="8">
        <f t="shared" si="12"/>
        <v>9.027777777777779E-2</v>
      </c>
      <c r="K296" s="12">
        <f t="shared" si="13"/>
        <v>2.166666666666667</v>
      </c>
      <c r="L296" s="12">
        <f t="shared" si="14"/>
        <v>2.166666666666667</v>
      </c>
      <c r="M296" t="s">
        <v>28</v>
      </c>
      <c r="N296" t="s">
        <v>404</v>
      </c>
      <c r="O296" s="18" t="s">
        <v>92</v>
      </c>
      <c r="P296">
        <v>0</v>
      </c>
      <c r="Q296" s="18">
        <v>0</v>
      </c>
      <c r="R296">
        <v>0</v>
      </c>
      <c r="S296" s="18">
        <v>0</v>
      </c>
      <c r="T296">
        <v>0</v>
      </c>
      <c r="U296" s="18">
        <v>0</v>
      </c>
    </row>
    <row r="297" spans="1:21" x14ac:dyDescent="0.3">
      <c r="A297" s="7">
        <v>44828</v>
      </c>
      <c r="B297">
        <v>4</v>
      </c>
      <c r="C297" t="s">
        <v>26</v>
      </c>
      <c r="D297">
        <v>2</v>
      </c>
      <c r="E297">
        <v>1</v>
      </c>
      <c r="F297" t="s">
        <v>27</v>
      </c>
      <c r="G297">
        <v>2</v>
      </c>
      <c r="H297" s="8">
        <v>0.27083333333333331</v>
      </c>
      <c r="I297" s="8">
        <v>0.3611111111111111</v>
      </c>
      <c r="J297" s="8">
        <f t="shared" si="12"/>
        <v>9.027777777777779E-2</v>
      </c>
      <c r="K297" s="12">
        <f t="shared" si="13"/>
        <v>2.166666666666667</v>
      </c>
      <c r="L297" s="12">
        <f t="shared" si="14"/>
        <v>4.3333333333333339</v>
      </c>
      <c r="M297" t="s">
        <v>28</v>
      </c>
      <c r="N297" t="s">
        <v>404</v>
      </c>
      <c r="O297" s="18" t="s">
        <v>92</v>
      </c>
      <c r="P297">
        <v>0</v>
      </c>
      <c r="Q297" s="18">
        <v>0</v>
      </c>
      <c r="R297">
        <v>0</v>
      </c>
      <c r="S297" s="18">
        <v>0</v>
      </c>
      <c r="T297">
        <v>0</v>
      </c>
      <c r="U297" s="18">
        <v>0</v>
      </c>
    </row>
    <row r="298" spans="1:21" x14ac:dyDescent="0.3">
      <c r="A298" s="7">
        <v>44828</v>
      </c>
      <c r="B298">
        <v>4</v>
      </c>
      <c r="C298" t="s">
        <v>26</v>
      </c>
      <c r="D298">
        <v>2</v>
      </c>
      <c r="E298">
        <v>1</v>
      </c>
      <c r="F298" t="s">
        <v>27</v>
      </c>
      <c r="G298">
        <v>1</v>
      </c>
      <c r="H298" s="8">
        <v>0.3611111111111111</v>
      </c>
      <c r="I298" s="8">
        <v>0.36458333333333331</v>
      </c>
      <c r="J298" s="8">
        <f t="shared" si="12"/>
        <v>3.4722222222222099E-3</v>
      </c>
      <c r="K298" s="12">
        <f t="shared" si="13"/>
        <v>8.3333333333333037E-2</v>
      </c>
      <c r="L298" s="12">
        <f t="shared" si="14"/>
        <v>8.3333333333333037E-2</v>
      </c>
      <c r="M298" t="s">
        <v>28</v>
      </c>
      <c r="N298" t="s">
        <v>411</v>
      </c>
      <c r="O298" s="18" t="s">
        <v>92</v>
      </c>
      <c r="P298">
        <v>0</v>
      </c>
      <c r="Q298" s="18">
        <v>0</v>
      </c>
      <c r="R298">
        <v>0</v>
      </c>
      <c r="S298" s="18">
        <v>0</v>
      </c>
      <c r="T298">
        <v>0</v>
      </c>
      <c r="U298" s="18">
        <v>0</v>
      </c>
    </row>
    <row r="299" spans="1:21" x14ac:dyDescent="0.3">
      <c r="A299" s="7">
        <v>44828</v>
      </c>
      <c r="B299">
        <v>4</v>
      </c>
      <c r="C299" t="s">
        <v>26</v>
      </c>
      <c r="D299">
        <v>2</v>
      </c>
      <c r="E299">
        <v>1</v>
      </c>
      <c r="F299" t="s">
        <v>27</v>
      </c>
      <c r="G299">
        <v>3</v>
      </c>
      <c r="H299" s="8">
        <v>0.3125</v>
      </c>
      <c r="I299" s="8">
        <v>0.36458333333333331</v>
      </c>
      <c r="J299" s="8">
        <f t="shared" si="12"/>
        <v>5.2083333333333315E-2</v>
      </c>
      <c r="K299" s="12">
        <f t="shared" si="13"/>
        <v>1.2499999999999996</v>
      </c>
      <c r="L299" s="12">
        <f t="shared" si="14"/>
        <v>3.7499999999999987</v>
      </c>
      <c r="M299" t="s">
        <v>28</v>
      </c>
      <c r="N299" t="s">
        <v>411</v>
      </c>
      <c r="O299" s="18" t="s">
        <v>92</v>
      </c>
      <c r="P299">
        <v>0</v>
      </c>
      <c r="Q299" s="18">
        <v>0</v>
      </c>
      <c r="R299">
        <v>2</v>
      </c>
      <c r="S299" s="18">
        <v>0</v>
      </c>
      <c r="T299">
        <v>0</v>
      </c>
      <c r="U299" s="18">
        <v>0</v>
      </c>
    </row>
    <row r="300" spans="1:21" x14ac:dyDescent="0.3">
      <c r="A300" s="7">
        <v>44828</v>
      </c>
      <c r="B300">
        <v>4</v>
      </c>
      <c r="C300" t="s">
        <v>26</v>
      </c>
      <c r="D300">
        <v>2</v>
      </c>
      <c r="E300">
        <v>1</v>
      </c>
      <c r="F300" t="s">
        <v>27</v>
      </c>
      <c r="G300">
        <v>1</v>
      </c>
      <c r="H300" s="8">
        <v>0.3125</v>
      </c>
      <c r="I300" s="8">
        <v>0.37152777777777773</v>
      </c>
      <c r="J300" s="8">
        <f t="shared" si="12"/>
        <v>5.9027777777777735E-2</v>
      </c>
      <c r="K300" s="12">
        <f t="shared" si="13"/>
        <v>1.4166666666666656</v>
      </c>
      <c r="L300" s="12">
        <f t="shared" si="14"/>
        <v>1.4166666666666656</v>
      </c>
      <c r="M300" t="s">
        <v>28</v>
      </c>
      <c r="N300" t="s">
        <v>411</v>
      </c>
      <c r="O300" s="18" t="s">
        <v>92</v>
      </c>
      <c r="P300">
        <v>0</v>
      </c>
      <c r="Q300" s="18">
        <v>0</v>
      </c>
      <c r="R300">
        <v>0</v>
      </c>
      <c r="S300" s="18">
        <v>0</v>
      </c>
      <c r="T300">
        <v>0</v>
      </c>
      <c r="U300" s="18">
        <v>0</v>
      </c>
    </row>
    <row r="301" spans="1:21" x14ac:dyDescent="0.3">
      <c r="A301" s="7">
        <v>44828</v>
      </c>
      <c r="B301">
        <v>4</v>
      </c>
      <c r="C301" t="s">
        <v>26</v>
      </c>
      <c r="D301">
        <v>2</v>
      </c>
      <c r="E301">
        <v>1</v>
      </c>
      <c r="F301" t="s">
        <v>27</v>
      </c>
      <c r="G301">
        <v>1</v>
      </c>
      <c r="H301" s="8">
        <v>0.3263888888888889</v>
      </c>
      <c r="I301" s="8">
        <v>0.37152777777777773</v>
      </c>
      <c r="J301" s="8">
        <f t="shared" si="12"/>
        <v>4.513888888888884E-2</v>
      </c>
      <c r="K301" s="12">
        <f t="shared" si="13"/>
        <v>1.0833333333333321</v>
      </c>
      <c r="L301" s="12">
        <f t="shared" si="14"/>
        <v>1.0833333333333321</v>
      </c>
      <c r="M301" t="s">
        <v>28</v>
      </c>
      <c r="N301" t="s">
        <v>411</v>
      </c>
      <c r="O301" s="18" t="s">
        <v>92</v>
      </c>
      <c r="P301">
        <v>0</v>
      </c>
      <c r="Q301" s="18">
        <v>0</v>
      </c>
      <c r="R301">
        <v>1</v>
      </c>
      <c r="S301" s="18">
        <v>0</v>
      </c>
      <c r="T301">
        <v>0</v>
      </c>
      <c r="U301" s="18">
        <v>0</v>
      </c>
    </row>
    <row r="302" spans="1:21" x14ac:dyDescent="0.3">
      <c r="A302" s="7">
        <v>44828</v>
      </c>
      <c r="B302">
        <v>4</v>
      </c>
      <c r="C302" t="s">
        <v>26</v>
      </c>
      <c r="D302">
        <v>2</v>
      </c>
      <c r="E302">
        <v>1</v>
      </c>
      <c r="F302" t="s">
        <v>27</v>
      </c>
      <c r="G302">
        <v>1</v>
      </c>
      <c r="H302" s="8">
        <v>0.33333333333333331</v>
      </c>
      <c r="I302" s="8">
        <v>0.37152777777777773</v>
      </c>
      <c r="J302" s="8">
        <f t="shared" si="12"/>
        <v>3.819444444444442E-2</v>
      </c>
      <c r="K302" s="12">
        <f t="shared" si="13"/>
        <v>0.91666666666666607</v>
      </c>
      <c r="L302" s="12">
        <f t="shared" si="14"/>
        <v>0.91666666666666607</v>
      </c>
      <c r="M302" t="s">
        <v>28</v>
      </c>
      <c r="N302" t="s">
        <v>411</v>
      </c>
      <c r="O302" s="18" t="s">
        <v>92</v>
      </c>
      <c r="P302">
        <v>0</v>
      </c>
      <c r="Q302" s="18">
        <v>0</v>
      </c>
      <c r="R302">
        <v>0</v>
      </c>
      <c r="S302" s="18">
        <v>0</v>
      </c>
      <c r="T302">
        <v>0</v>
      </c>
      <c r="U302" s="18">
        <v>0</v>
      </c>
    </row>
    <row r="303" spans="1:21" x14ac:dyDescent="0.3">
      <c r="A303" s="7">
        <v>44828</v>
      </c>
      <c r="B303">
        <v>4</v>
      </c>
      <c r="C303" t="s">
        <v>26</v>
      </c>
      <c r="D303">
        <v>2</v>
      </c>
      <c r="E303">
        <v>1</v>
      </c>
      <c r="F303" t="s">
        <v>27</v>
      </c>
      <c r="G303">
        <v>3</v>
      </c>
      <c r="H303" s="8">
        <v>0.3125</v>
      </c>
      <c r="I303" s="8">
        <v>0.37152777777777773</v>
      </c>
      <c r="J303" s="8">
        <f t="shared" si="12"/>
        <v>5.9027777777777735E-2</v>
      </c>
      <c r="K303" s="12">
        <f t="shared" si="13"/>
        <v>1.4166666666666656</v>
      </c>
      <c r="L303" s="12">
        <f t="shared" si="14"/>
        <v>4.2499999999999964</v>
      </c>
      <c r="M303" t="s">
        <v>28</v>
      </c>
      <c r="N303" t="s">
        <v>411</v>
      </c>
      <c r="O303" s="18" t="s">
        <v>422</v>
      </c>
      <c r="P303">
        <v>0</v>
      </c>
      <c r="Q303" s="18">
        <v>0</v>
      </c>
      <c r="R303">
        <v>3</v>
      </c>
      <c r="S303" s="18">
        <v>0</v>
      </c>
      <c r="T303">
        <v>0</v>
      </c>
      <c r="U303" s="18">
        <v>0</v>
      </c>
    </row>
    <row r="304" spans="1:21" x14ac:dyDescent="0.3">
      <c r="A304" s="7">
        <v>44828</v>
      </c>
      <c r="B304">
        <v>4</v>
      </c>
      <c r="C304" t="s">
        <v>26</v>
      </c>
      <c r="D304">
        <v>2</v>
      </c>
      <c r="E304">
        <v>1</v>
      </c>
      <c r="F304" t="s">
        <v>27</v>
      </c>
      <c r="G304">
        <v>1</v>
      </c>
      <c r="H304" s="8">
        <v>0.3125</v>
      </c>
      <c r="I304" s="8">
        <v>0.37152777777777773</v>
      </c>
      <c r="J304" s="8">
        <f t="shared" si="12"/>
        <v>5.9027777777777735E-2</v>
      </c>
      <c r="K304" s="12">
        <f t="shared" si="13"/>
        <v>1.4166666666666656</v>
      </c>
      <c r="L304" s="12">
        <f t="shared" si="14"/>
        <v>1.4166666666666656</v>
      </c>
      <c r="M304" t="s">
        <v>28</v>
      </c>
      <c r="N304" t="s">
        <v>411</v>
      </c>
      <c r="O304" s="18" t="s">
        <v>92</v>
      </c>
      <c r="P304">
        <v>0</v>
      </c>
      <c r="Q304" s="18">
        <v>0</v>
      </c>
      <c r="R304">
        <v>1</v>
      </c>
      <c r="S304" s="18">
        <v>0</v>
      </c>
      <c r="T304">
        <v>0</v>
      </c>
      <c r="U304" s="18">
        <v>0</v>
      </c>
    </row>
    <row r="305" spans="1:28" x14ac:dyDescent="0.3">
      <c r="A305" s="7">
        <v>44828</v>
      </c>
      <c r="B305">
        <v>4</v>
      </c>
      <c r="C305" t="s">
        <v>26</v>
      </c>
      <c r="D305">
        <v>2</v>
      </c>
      <c r="E305">
        <v>1</v>
      </c>
      <c r="F305" t="s">
        <v>27</v>
      </c>
      <c r="G305">
        <v>2</v>
      </c>
      <c r="H305" s="8">
        <v>0.33333333333333331</v>
      </c>
      <c r="I305" s="8">
        <v>0.37847222222222227</v>
      </c>
      <c r="J305" s="8">
        <f t="shared" si="12"/>
        <v>4.5138888888888951E-2</v>
      </c>
      <c r="K305" s="12">
        <f t="shared" si="13"/>
        <v>1.0833333333333348</v>
      </c>
      <c r="L305" s="12">
        <f t="shared" si="14"/>
        <v>2.1666666666666696</v>
      </c>
      <c r="M305" t="s">
        <v>28</v>
      </c>
      <c r="N305" t="s">
        <v>411</v>
      </c>
      <c r="O305" s="18" t="s">
        <v>92</v>
      </c>
      <c r="P305">
        <v>0</v>
      </c>
      <c r="Q305" s="18">
        <v>1</v>
      </c>
      <c r="R305">
        <v>0</v>
      </c>
      <c r="S305" s="18">
        <v>0</v>
      </c>
      <c r="T305">
        <v>0</v>
      </c>
      <c r="U305" s="18">
        <v>0</v>
      </c>
      <c r="W305">
        <v>1</v>
      </c>
      <c r="AB305" t="s">
        <v>427</v>
      </c>
    </row>
    <row r="306" spans="1:28" x14ac:dyDescent="0.3">
      <c r="A306" s="7">
        <v>44828</v>
      </c>
      <c r="B306">
        <v>4</v>
      </c>
      <c r="C306" t="s">
        <v>26</v>
      </c>
      <c r="D306">
        <v>2</v>
      </c>
      <c r="E306">
        <v>1</v>
      </c>
      <c r="F306" t="s">
        <v>27</v>
      </c>
      <c r="G306">
        <v>2</v>
      </c>
      <c r="H306" s="8">
        <v>0.3125</v>
      </c>
      <c r="I306" s="8">
        <v>0.37847222222222227</v>
      </c>
      <c r="J306" s="8">
        <f t="shared" si="12"/>
        <v>6.5972222222222265E-2</v>
      </c>
      <c r="K306" s="12">
        <f t="shared" si="13"/>
        <v>1.5833333333333344</v>
      </c>
      <c r="L306" s="12">
        <f t="shared" si="14"/>
        <v>3.1666666666666687</v>
      </c>
      <c r="M306" t="s">
        <v>28</v>
      </c>
      <c r="N306" t="s">
        <v>411</v>
      </c>
      <c r="O306" s="18" t="s">
        <v>422</v>
      </c>
      <c r="P306">
        <v>0</v>
      </c>
      <c r="Q306" s="18">
        <v>0</v>
      </c>
      <c r="R306">
        <v>5</v>
      </c>
      <c r="S306" s="18">
        <v>0</v>
      </c>
      <c r="T306">
        <v>0</v>
      </c>
      <c r="U306" s="18">
        <v>0</v>
      </c>
    </row>
    <row r="307" spans="1:28" x14ac:dyDescent="0.3">
      <c r="A307" s="7">
        <v>44828</v>
      </c>
      <c r="B307">
        <v>4</v>
      </c>
      <c r="C307" t="s">
        <v>26</v>
      </c>
      <c r="D307">
        <v>2</v>
      </c>
      <c r="E307">
        <v>1</v>
      </c>
      <c r="F307" t="s">
        <v>27</v>
      </c>
      <c r="G307">
        <v>1</v>
      </c>
      <c r="H307" s="8">
        <v>0.29166666666666669</v>
      </c>
      <c r="I307" s="8">
        <v>0.38194444444444442</v>
      </c>
      <c r="J307" s="8">
        <f t="shared" si="12"/>
        <v>9.0277777777777735E-2</v>
      </c>
      <c r="K307" s="12">
        <f t="shared" si="13"/>
        <v>2.1666666666666656</v>
      </c>
      <c r="L307" s="12">
        <f t="shared" si="14"/>
        <v>2.1666666666666656</v>
      </c>
      <c r="M307" t="s">
        <v>28</v>
      </c>
      <c r="N307" t="s">
        <v>411</v>
      </c>
      <c r="O307" s="18" t="s">
        <v>405</v>
      </c>
      <c r="P307">
        <v>0</v>
      </c>
      <c r="Q307" s="18">
        <v>0</v>
      </c>
      <c r="R307">
        <v>1</v>
      </c>
      <c r="S307" s="18">
        <v>0</v>
      </c>
      <c r="T307">
        <v>0</v>
      </c>
      <c r="U307" s="18">
        <v>0</v>
      </c>
    </row>
    <row r="308" spans="1:28" x14ac:dyDescent="0.3">
      <c r="A308" s="7">
        <v>44828</v>
      </c>
      <c r="B308">
        <v>4</v>
      </c>
      <c r="C308" t="s">
        <v>26</v>
      </c>
      <c r="D308">
        <v>2</v>
      </c>
      <c r="E308">
        <v>1</v>
      </c>
      <c r="F308" t="s">
        <v>27</v>
      </c>
      <c r="G308">
        <v>1</v>
      </c>
      <c r="H308" s="8">
        <v>0.29166666666666669</v>
      </c>
      <c r="I308" s="8">
        <v>0.38194444444444442</v>
      </c>
      <c r="J308" s="8">
        <f t="shared" si="12"/>
        <v>9.0277777777777735E-2</v>
      </c>
      <c r="K308" s="12">
        <f t="shared" si="13"/>
        <v>2.1666666666666656</v>
      </c>
      <c r="L308" s="12">
        <f t="shared" si="14"/>
        <v>2.1666666666666656</v>
      </c>
      <c r="M308" t="s">
        <v>28</v>
      </c>
      <c r="N308" t="s">
        <v>411</v>
      </c>
      <c r="O308" s="18" t="s">
        <v>405</v>
      </c>
      <c r="P308">
        <v>0</v>
      </c>
      <c r="Q308" s="18">
        <v>0</v>
      </c>
      <c r="R308">
        <v>1</v>
      </c>
      <c r="S308" s="18">
        <v>0</v>
      </c>
      <c r="T308">
        <v>0</v>
      </c>
      <c r="U308" s="18">
        <v>0</v>
      </c>
    </row>
    <row r="309" spans="1:28" x14ac:dyDescent="0.3">
      <c r="A309" s="7">
        <v>44828</v>
      </c>
      <c r="B309">
        <v>4</v>
      </c>
      <c r="C309" t="s">
        <v>26</v>
      </c>
      <c r="D309">
        <v>2</v>
      </c>
      <c r="E309">
        <v>1</v>
      </c>
      <c r="F309" t="s">
        <v>27</v>
      </c>
      <c r="G309">
        <v>1</v>
      </c>
      <c r="H309" s="8">
        <v>0.29166666666666669</v>
      </c>
      <c r="I309" s="8">
        <v>0.38263888888888892</v>
      </c>
      <c r="J309" s="8">
        <f t="shared" si="12"/>
        <v>9.0972222222222232E-2</v>
      </c>
      <c r="K309" s="12">
        <f t="shared" si="13"/>
        <v>2.1833333333333336</v>
      </c>
      <c r="L309" s="12">
        <f t="shared" si="14"/>
        <v>2.1833333333333336</v>
      </c>
      <c r="M309" t="s">
        <v>28</v>
      </c>
      <c r="N309" t="s">
        <v>411</v>
      </c>
      <c r="O309" s="18" t="s">
        <v>422</v>
      </c>
      <c r="P309">
        <v>0</v>
      </c>
      <c r="Q309" s="18">
        <v>0</v>
      </c>
      <c r="R309">
        <v>0</v>
      </c>
      <c r="S309" s="18">
        <v>0</v>
      </c>
      <c r="T309">
        <v>0</v>
      </c>
      <c r="U309" s="18">
        <v>0</v>
      </c>
    </row>
    <row r="310" spans="1:28" x14ac:dyDescent="0.3">
      <c r="A310" s="7">
        <v>44828</v>
      </c>
      <c r="B310">
        <v>4</v>
      </c>
      <c r="C310" t="s">
        <v>26</v>
      </c>
      <c r="D310">
        <v>2</v>
      </c>
      <c r="E310">
        <v>1</v>
      </c>
      <c r="F310" t="s">
        <v>27</v>
      </c>
      <c r="G310">
        <v>1</v>
      </c>
      <c r="H310" s="8">
        <v>0.33333333333333331</v>
      </c>
      <c r="I310" s="8">
        <v>0.3833333333333333</v>
      </c>
      <c r="J310" s="8">
        <f t="shared" si="12"/>
        <v>4.9999999999999989E-2</v>
      </c>
      <c r="K310" s="12">
        <f t="shared" si="13"/>
        <v>1.1999999999999997</v>
      </c>
      <c r="L310" s="12">
        <f t="shared" si="14"/>
        <v>1.1999999999999997</v>
      </c>
      <c r="M310" t="s">
        <v>28</v>
      </c>
      <c r="N310" t="s">
        <v>411</v>
      </c>
      <c r="O310" s="18" t="s">
        <v>405</v>
      </c>
      <c r="P310">
        <v>0</v>
      </c>
      <c r="Q310" s="18">
        <v>0</v>
      </c>
      <c r="R310">
        <v>1</v>
      </c>
      <c r="S310" s="18">
        <v>0</v>
      </c>
      <c r="T310">
        <v>0</v>
      </c>
      <c r="U310" s="18">
        <v>0</v>
      </c>
    </row>
    <row r="311" spans="1:28" x14ac:dyDescent="0.3">
      <c r="A311" s="7">
        <v>44828</v>
      </c>
      <c r="B311">
        <v>4</v>
      </c>
      <c r="C311" t="s">
        <v>26</v>
      </c>
      <c r="D311">
        <v>2</v>
      </c>
      <c r="E311">
        <v>1</v>
      </c>
      <c r="F311" t="s">
        <v>27</v>
      </c>
      <c r="G311">
        <v>1</v>
      </c>
      <c r="H311" s="8">
        <v>0.29166666666666669</v>
      </c>
      <c r="I311" s="8">
        <v>0.3840277777777778</v>
      </c>
      <c r="J311" s="8">
        <f t="shared" si="12"/>
        <v>9.2361111111111116E-2</v>
      </c>
      <c r="K311" s="12">
        <f t="shared" si="13"/>
        <v>2.2166666666666668</v>
      </c>
      <c r="L311" s="12">
        <f t="shared" si="14"/>
        <v>2.2166666666666668</v>
      </c>
      <c r="M311" t="s">
        <v>28</v>
      </c>
      <c r="N311" t="s">
        <v>411</v>
      </c>
      <c r="O311" s="18" t="s">
        <v>405</v>
      </c>
      <c r="P311">
        <v>0</v>
      </c>
      <c r="Q311" s="18">
        <v>0</v>
      </c>
      <c r="R311">
        <v>0</v>
      </c>
      <c r="S311" s="18">
        <v>0</v>
      </c>
      <c r="T311">
        <v>0</v>
      </c>
      <c r="U311" s="18">
        <v>0</v>
      </c>
    </row>
    <row r="312" spans="1:28" x14ac:dyDescent="0.3">
      <c r="A312" s="7">
        <v>44828</v>
      </c>
      <c r="B312">
        <v>4</v>
      </c>
      <c r="C312" t="s">
        <v>26</v>
      </c>
      <c r="D312">
        <v>2</v>
      </c>
      <c r="E312">
        <v>1</v>
      </c>
      <c r="F312" t="s">
        <v>27</v>
      </c>
      <c r="G312">
        <v>1</v>
      </c>
      <c r="H312" s="8">
        <v>0.28125</v>
      </c>
      <c r="I312" s="8">
        <v>0.3840277777777778</v>
      </c>
      <c r="J312" s="8">
        <f t="shared" si="12"/>
        <v>0.1027777777777778</v>
      </c>
      <c r="K312" s="12">
        <f t="shared" si="13"/>
        <v>2.4666666666666672</v>
      </c>
      <c r="L312" s="12">
        <f t="shared" si="14"/>
        <v>2.4666666666666672</v>
      </c>
      <c r="M312" t="s">
        <v>28</v>
      </c>
      <c r="N312" t="s">
        <v>411</v>
      </c>
      <c r="O312" s="18" t="s">
        <v>92</v>
      </c>
      <c r="P312">
        <v>0</v>
      </c>
      <c r="Q312" s="18">
        <v>0</v>
      </c>
      <c r="R312">
        <v>0</v>
      </c>
      <c r="S312" s="18">
        <v>0</v>
      </c>
      <c r="T312">
        <v>0</v>
      </c>
      <c r="U312" s="18">
        <v>0</v>
      </c>
    </row>
    <row r="313" spans="1:28" x14ac:dyDescent="0.3">
      <c r="A313" s="7">
        <v>44828</v>
      </c>
      <c r="B313">
        <v>4</v>
      </c>
      <c r="C313" t="s">
        <v>26</v>
      </c>
      <c r="D313">
        <v>2</v>
      </c>
      <c r="E313">
        <v>1</v>
      </c>
      <c r="F313" t="s">
        <v>27</v>
      </c>
      <c r="G313">
        <v>1</v>
      </c>
      <c r="H313" s="8">
        <v>0.29166666666666669</v>
      </c>
      <c r="I313" s="8">
        <v>0.38680555555555557</v>
      </c>
      <c r="J313" s="8">
        <f t="shared" si="12"/>
        <v>9.5138888888888884E-2</v>
      </c>
      <c r="K313" s="12">
        <f t="shared" si="13"/>
        <v>2.2833333333333332</v>
      </c>
      <c r="L313" s="12">
        <f t="shared" si="14"/>
        <v>2.2833333333333332</v>
      </c>
      <c r="M313" t="s">
        <v>28</v>
      </c>
      <c r="N313" t="s">
        <v>411</v>
      </c>
      <c r="O313" s="18" t="s">
        <v>92</v>
      </c>
      <c r="P313">
        <v>0</v>
      </c>
      <c r="Q313" s="18">
        <v>0</v>
      </c>
      <c r="R313">
        <v>0</v>
      </c>
      <c r="S313" s="18">
        <v>0</v>
      </c>
      <c r="T313">
        <v>0</v>
      </c>
      <c r="U313" s="18">
        <v>0</v>
      </c>
    </row>
    <row r="314" spans="1:28" x14ac:dyDescent="0.3">
      <c r="A314" s="7">
        <v>44828</v>
      </c>
      <c r="B314">
        <v>4</v>
      </c>
      <c r="C314" t="s">
        <v>26</v>
      </c>
      <c r="D314">
        <v>2</v>
      </c>
      <c r="E314">
        <v>2</v>
      </c>
      <c r="F314" t="s">
        <v>27</v>
      </c>
      <c r="G314">
        <v>1</v>
      </c>
      <c r="H314" s="8">
        <v>0.27083333333333331</v>
      </c>
      <c r="I314" s="8">
        <v>0.3888888888888889</v>
      </c>
      <c r="J314" s="8">
        <f t="shared" si="12"/>
        <v>0.11805555555555558</v>
      </c>
      <c r="K314" s="12">
        <f t="shared" si="13"/>
        <v>2.8333333333333339</v>
      </c>
      <c r="L314" s="12">
        <f t="shared" si="14"/>
        <v>2.8333333333333339</v>
      </c>
      <c r="M314" t="s">
        <v>28</v>
      </c>
      <c r="N314" t="s">
        <v>411</v>
      </c>
      <c r="O314" s="18" t="s">
        <v>405</v>
      </c>
      <c r="P314">
        <v>0</v>
      </c>
      <c r="Q314" s="18">
        <v>0</v>
      </c>
      <c r="R314">
        <v>0</v>
      </c>
      <c r="S314" s="18">
        <v>0</v>
      </c>
      <c r="T314">
        <v>0</v>
      </c>
      <c r="U314" s="18">
        <v>0</v>
      </c>
    </row>
    <row r="315" spans="1:28" x14ac:dyDescent="0.3">
      <c r="A315" s="7">
        <v>44828</v>
      </c>
      <c r="B315">
        <v>4</v>
      </c>
      <c r="C315" t="s">
        <v>26</v>
      </c>
      <c r="D315">
        <v>2</v>
      </c>
      <c r="E315">
        <v>2</v>
      </c>
      <c r="F315" t="s">
        <v>27</v>
      </c>
      <c r="G315">
        <v>1</v>
      </c>
      <c r="H315" s="8">
        <v>0.33333333333333331</v>
      </c>
      <c r="I315" s="8">
        <v>0.39583333333333331</v>
      </c>
      <c r="J315" s="8">
        <f t="shared" si="12"/>
        <v>6.25E-2</v>
      </c>
      <c r="K315" s="12">
        <f t="shared" si="13"/>
        <v>1.5</v>
      </c>
      <c r="L315" s="12">
        <f t="shared" si="14"/>
        <v>1.5</v>
      </c>
      <c r="M315" t="s">
        <v>28</v>
      </c>
      <c r="N315" t="s">
        <v>411</v>
      </c>
      <c r="O315" s="18" t="s">
        <v>407</v>
      </c>
      <c r="P315">
        <v>0</v>
      </c>
      <c r="Q315" s="18">
        <v>0</v>
      </c>
      <c r="R315">
        <v>0</v>
      </c>
      <c r="S315" s="18">
        <v>0</v>
      </c>
      <c r="T315">
        <v>0</v>
      </c>
      <c r="U315" s="18">
        <v>0</v>
      </c>
    </row>
    <row r="316" spans="1:28" x14ac:dyDescent="0.3">
      <c r="A316" s="7">
        <v>44828</v>
      </c>
      <c r="B316">
        <v>4</v>
      </c>
      <c r="C316" t="s">
        <v>26</v>
      </c>
      <c r="D316">
        <v>2</v>
      </c>
      <c r="E316">
        <v>2</v>
      </c>
      <c r="F316" t="s">
        <v>27</v>
      </c>
      <c r="G316">
        <v>2</v>
      </c>
      <c r="H316" s="8">
        <v>0.3125</v>
      </c>
      <c r="I316" s="8">
        <v>0.39583333333333331</v>
      </c>
      <c r="J316" s="8">
        <f t="shared" si="12"/>
        <v>8.3333333333333315E-2</v>
      </c>
      <c r="K316" s="12">
        <f t="shared" si="13"/>
        <v>1.9999999999999996</v>
      </c>
      <c r="L316" s="12">
        <f t="shared" si="14"/>
        <v>3.9999999999999991</v>
      </c>
      <c r="M316" t="s">
        <v>28</v>
      </c>
      <c r="N316" t="s">
        <v>411</v>
      </c>
      <c r="O316" s="18" t="s">
        <v>422</v>
      </c>
      <c r="P316">
        <v>0</v>
      </c>
      <c r="Q316" s="18">
        <v>0</v>
      </c>
      <c r="R316">
        <v>0</v>
      </c>
      <c r="S316" s="18">
        <v>0</v>
      </c>
      <c r="T316">
        <v>0</v>
      </c>
      <c r="U316" s="18">
        <v>0</v>
      </c>
    </row>
    <row r="317" spans="1:28" x14ac:dyDescent="0.3">
      <c r="A317" s="7">
        <v>44828</v>
      </c>
      <c r="B317">
        <v>4</v>
      </c>
      <c r="C317" t="s">
        <v>26</v>
      </c>
      <c r="D317">
        <v>2</v>
      </c>
      <c r="E317">
        <v>2</v>
      </c>
      <c r="F317" t="s">
        <v>27</v>
      </c>
      <c r="G317">
        <v>1</v>
      </c>
      <c r="H317" s="8">
        <v>0.3125</v>
      </c>
      <c r="I317" s="8">
        <v>0.40277777777777773</v>
      </c>
      <c r="J317" s="8">
        <f t="shared" si="12"/>
        <v>9.0277777777777735E-2</v>
      </c>
      <c r="K317" s="12">
        <f t="shared" si="13"/>
        <v>2.1666666666666656</v>
      </c>
      <c r="L317" s="12">
        <f t="shared" si="14"/>
        <v>2.1666666666666656</v>
      </c>
      <c r="M317" t="s">
        <v>28</v>
      </c>
      <c r="N317" t="s">
        <v>411</v>
      </c>
      <c r="O317" s="18" t="s">
        <v>422</v>
      </c>
      <c r="P317">
        <v>0</v>
      </c>
      <c r="Q317" s="18">
        <v>0</v>
      </c>
      <c r="R317">
        <v>0</v>
      </c>
      <c r="S317" s="18">
        <v>0</v>
      </c>
      <c r="T317">
        <v>0</v>
      </c>
      <c r="U317" s="18">
        <v>0</v>
      </c>
    </row>
    <row r="318" spans="1:28" x14ac:dyDescent="0.3">
      <c r="A318" s="7">
        <v>44828</v>
      </c>
      <c r="B318">
        <v>4</v>
      </c>
      <c r="C318" t="s">
        <v>26</v>
      </c>
      <c r="D318">
        <v>2</v>
      </c>
      <c r="E318">
        <v>2</v>
      </c>
      <c r="F318" t="s">
        <v>27</v>
      </c>
      <c r="G318">
        <v>1</v>
      </c>
      <c r="H318" s="8">
        <v>0.25</v>
      </c>
      <c r="I318" s="8">
        <v>0.40625</v>
      </c>
      <c r="J318" s="8">
        <f t="shared" si="12"/>
        <v>0.15625</v>
      </c>
      <c r="K318" s="12">
        <f t="shared" si="13"/>
        <v>3.75</v>
      </c>
      <c r="L318" s="12">
        <f t="shared" si="14"/>
        <v>3.75</v>
      </c>
      <c r="M318" t="s">
        <v>28</v>
      </c>
      <c r="N318" t="s">
        <v>411</v>
      </c>
      <c r="O318" s="18" t="s">
        <v>407</v>
      </c>
      <c r="P318">
        <v>0</v>
      </c>
      <c r="Q318" s="18">
        <v>0</v>
      </c>
      <c r="R318">
        <v>0</v>
      </c>
      <c r="S318" s="18">
        <v>0</v>
      </c>
      <c r="T318">
        <v>0</v>
      </c>
      <c r="U318" s="18">
        <v>0</v>
      </c>
    </row>
    <row r="319" spans="1:28" x14ac:dyDescent="0.3">
      <c r="A319" s="7">
        <v>44828</v>
      </c>
      <c r="B319">
        <v>4</v>
      </c>
      <c r="C319" t="s">
        <v>26</v>
      </c>
      <c r="D319">
        <v>2</v>
      </c>
      <c r="E319">
        <v>2</v>
      </c>
      <c r="F319" t="s">
        <v>27</v>
      </c>
      <c r="G319">
        <v>1</v>
      </c>
      <c r="H319" s="8">
        <v>0.38194444444444442</v>
      </c>
      <c r="I319" s="8">
        <v>0.40972222222222227</v>
      </c>
      <c r="J319" s="8">
        <f t="shared" si="12"/>
        <v>2.7777777777777846E-2</v>
      </c>
      <c r="K319" s="12">
        <f t="shared" si="13"/>
        <v>0.66666666666666829</v>
      </c>
      <c r="L319" s="12">
        <f t="shared" si="14"/>
        <v>0.66666666666666829</v>
      </c>
      <c r="M319" t="s">
        <v>25</v>
      </c>
      <c r="N319" t="s">
        <v>411</v>
      </c>
      <c r="O319" s="18" t="s">
        <v>407</v>
      </c>
      <c r="P319">
        <v>0</v>
      </c>
      <c r="Q319" s="18">
        <v>0</v>
      </c>
      <c r="R319">
        <v>0</v>
      </c>
      <c r="S319" s="18">
        <v>0</v>
      </c>
      <c r="T319">
        <v>0</v>
      </c>
      <c r="U319" s="18">
        <v>0</v>
      </c>
    </row>
    <row r="320" spans="1:28" x14ac:dyDescent="0.3">
      <c r="A320" s="7">
        <v>44828</v>
      </c>
      <c r="B320">
        <v>4</v>
      </c>
      <c r="C320" t="s">
        <v>26</v>
      </c>
      <c r="D320">
        <v>2</v>
      </c>
      <c r="E320">
        <v>2</v>
      </c>
      <c r="F320" t="s">
        <v>27</v>
      </c>
      <c r="G320">
        <v>1</v>
      </c>
      <c r="H320" s="8">
        <v>0.29166666666666669</v>
      </c>
      <c r="I320" s="8">
        <v>0.41666666666666669</v>
      </c>
      <c r="J320" s="8">
        <f t="shared" si="12"/>
        <v>0.125</v>
      </c>
      <c r="K320" s="12">
        <f t="shared" si="13"/>
        <v>3</v>
      </c>
      <c r="L320" s="12">
        <f t="shared" si="14"/>
        <v>3</v>
      </c>
      <c r="M320" t="s">
        <v>28</v>
      </c>
      <c r="N320" t="s">
        <v>411</v>
      </c>
      <c r="O320" s="18" t="s">
        <v>92</v>
      </c>
      <c r="P320">
        <v>0</v>
      </c>
      <c r="Q320" s="18">
        <v>0</v>
      </c>
      <c r="R320">
        <v>0</v>
      </c>
      <c r="S320" s="18">
        <v>0</v>
      </c>
      <c r="T320">
        <v>0</v>
      </c>
      <c r="U320" s="18">
        <v>0</v>
      </c>
    </row>
    <row r="321" spans="1:28" x14ac:dyDescent="0.3">
      <c r="A321" s="7">
        <v>44828</v>
      </c>
      <c r="B321">
        <v>4</v>
      </c>
      <c r="C321" t="s">
        <v>26</v>
      </c>
      <c r="D321">
        <v>2</v>
      </c>
      <c r="E321">
        <v>2</v>
      </c>
      <c r="F321" t="s">
        <v>27</v>
      </c>
      <c r="G321">
        <v>1</v>
      </c>
      <c r="H321" s="8">
        <v>0.33333333333333331</v>
      </c>
      <c r="I321" s="8">
        <v>0.4201388888888889</v>
      </c>
      <c r="J321" s="8">
        <f t="shared" si="12"/>
        <v>8.680555555555558E-2</v>
      </c>
      <c r="K321" s="12">
        <f t="shared" si="13"/>
        <v>2.0833333333333339</v>
      </c>
      <c r="L321" s="12">
        <f t="shared" si="14"/>
        <v>2.0833333333333339</v>
      </c>
      <c r="M321" t="s">
        <v>28</v>
      </c>
      <c r="N321" t="s">
        <v>404</v>
      </c>
      <c r="O321" s="18" t="s">
        <v>92</v>
      </c>
      <c r="P321">
        <v>0</v>
      </c>
      <c r="Q321" s="18">
        <v>0</v>
      </c>
      <c r="R321">
        <v>0</v>
      </c>
      <c r="S321" s="18">
        <v>0</v>
      </c>
      <c r="T321">
        <v>0</v>
      </c>
      <c r="U321" s="18">
        <v>0</v>
      </c>
    </row>
    <row r="322" spans="1:28" x14ac:dyDescent="0.3">
      <c r="A322" s="7">
        <v>44828</v>
      </c>
      <c r="B322">
        <v>4</v>
      </c>
      <c r="C322" t="s">
        <v>26</v>
      </c>
      <c r="D322">
        <v>2</v>
      </c>
      <c r="E322">
        <v>2</v>
      </c>
      <c r="F322" t="s">
        <v>27</v>
      </c>
      <c r="G322">
        <v>1</v>
      </c>
      <c r="H322" s="8">
        <v>0.28125</v>
      </c>
      <c r="I322" s="8">
        <v>0.3125</v>
      </c>
      <c r="J322" s="8">
        <f t="shared" si="12"/>
        <v>3.125E-2</v>
      </c>
      <c r="K322" s="12">
        <f t="shared" si="13"/>
        <v>0.75</v>
      </c>
      <c r="L322" s="12">
        <f t="shared" si="14"/>
        <v>0.75</v>
      </c>
      <c r="M322" t="s">
        <v>25</v>
      </c>
      <c r="N322" t="s">
        <v>411</v>
      </c>
      <c r="O322" s="18" t="s">
        <v>92</v>
      </c>
      <c r="P322">
        <v>0</v>
      </c>
      <c r="Q322" s="18">
        <v>0</v>
      </c>
      <c r="R322">
        <v>3</v>
      </c>
      <c r="S322" s="18">
        <v>0</v>
      </c>
      <c r="T322">
        <v>0</v>
      </c>
      <c r="U322" s="18">
        <v>0</v>
      </c>
    </row>
    <row r="323" spans="1:28" x14ac:dyDescent="0.3">
      <c r="A323" s="7">
        <v>44828</v>
      </c>
      <c r="B323">
        <v>4</v>
      </c>
      <c r="C323" t="s">
        <v>26</v>
      </c>
      <c r="D323">
        <v>2</v>
      </c>
      <c r="E323">
        <v>2</v>
      </c>
      <c r="F323" t="s">
        <v>27</v>
      </c>
      <c r="G323">
        <v>1</v>
      </c>
      <c r="H323" s="8">
        <v>0.28125</v>
      </c>
      <c r="I323" s="8">
        <v>0.41666666666666669</v>
      </c>
      <c r="J323" s="8">
        <f t="shared" ref="J323:J386" si="15">I323-H323</f>
        <v>0.13541666666666669</v>
      </c>
      <c r="K323" s="12">
        <f t="shared" ref="K323:K386" si="16">(J323-INT(J323))*24</f>
        <v>3.2500000000000004</v>
      </c>
      <c r="L323" s="12">
        <f t="shared" si="14"/>
        <v>3.2500000000000004</v>
      </c>
      <c r="M323" t="s">
        <v>25</v>
      </c>
      <c r="N323" t="s">
        <v>411</v>
      </c>
      <c r="O323" s="18" t="s">
        <v>92</v>
      </c>
      <c r="P323">
        <v>0</v>
      </c>
      <c r="Q323" s="18">
        <v>0</v>
      </c>
      <c r="R323">
        <v>0</v>
      </c>
      <c r="S323" s="18">
        <v>0</v>
      </c>
      <c r="T323">
        <v>0</v>
      </c>
      <c r="U323" s="18">
        <v>0</v>
      </c>
    </row>
    <row r="324" spans="1:28" x14ac:dyDescent="0.3">
      <c r="A324" s="7">
        <v>44828</v>
      </c>
      <c r="B324">
        <v>4</v>
      </c>
      <c r="C324" t="s">
        <v>26</v>
      </c>
      <c r="D324">
        <v>2</v>
      </c>
      <c r="E324">
        <v>2</v>
      </c>
      <c r="F324" t="s">
        <v>27</v>
      </c>
      <c r="G324">
        <v>1</v>
      </c>
      <c r="H324" s="8">
        <v>0.29166666666666669</v>
      </c>
      <c r="I324" s="8">
        <v>0.42708333333333331</v>
      </c>
      <c r="J324" s="8">
        <f t="shared" si="15"/>
        <v>0.13541666666666663</v>
      </c>
      <c r="K324" s="12">
        <f t="shared" si="16"/>
        <v>3.2499999999999991</v>
      </c>
      <c r="L324" s="12">
        <f t="shared" ref="L324:L387" si="17">G324*K324</f>
        <v>3.2499999999999991</v>
      </c>
      <c r="M324" t="s">
        <v>28</v>
      </c>
      <c r="N324" t="s">
        <v>426</v>
      </c>
      <c r="O324" s="18" t="s">
        <v>92</v>
      </c>
      <c r="P324">
        <v>0</v>
      </c>
      <c r="Q324" s="18">
        <v>0</v>
      </c>
      <c r="R324">
        <v>0</v>
      </c>
      <c r="S324" s="18">
        <v>0</v>
      </c>
      <c r="T324">
        <v>0</v>
      </c>
      <c r="U324" s="18">
        <v>0</v>
      </c>
    </row>
    <row r="325" spans="1:28" x14ac:dyDescent="0.3">
      <c r="A325" s="7">
        <v>44828</v>
      </c>
      <c r="B325">
        <v>4</v>
      </c>
      <c r="C325" t="s">
        <v>26</v>
      </c>
      <c r="D325">
        <v>2</v>
      </c>
      <c r="E325">
        <v>2</v>
      </c>
      <c r="F325" t="s">
        <v>27</v>
      </c>
      <c r="G325">
        <v>1</v>
      </c>
      <c r="H325" s="8">
        <v>0.29166666666666669</v>
      </c>
      <c r="I325" s="8">
        <v>0.42708333333333331</v>
      </c>
      <c r="J325" s="8">
        <f t="shared" si="15"/>
        <v>0.13541666666666663</v>
      </c>
      <c r="K325" s="12">
        <f t="shared" si="16"/>
        <v>3.2499999999999991</v>
      </c>
      <c r="L325" s="12">
        <f t="shared" si="17"/>
        <v>3.2499999999999991</v>
      </c>
      <c r="M325" t="s">
        <v>28</v>
      </c>
      <c r="N325" t="s">
        <v>411</v>
      </c>
      <c r="O325" s="18" t="s">
        <v>92</v>
      </c>
      <c r="P325">
        <v>0</v>
      </c>
      <c r="Q325" s="18">
        <v>0</v>
      </c>
      <c r="R325">
        <v>0</v>
      </c>
      <c r="S325" s="18">
        <v>0</v>
      </c>
      <c r="T325">
        <v>0</v>
      </c>
      <c r="U325" s="18">
        <v>0</v>
      </c>
    </row>
    <row r="326" spans="1:28" x14ac:dyDescent="0.3">
      <c r="A326" s="7">
        <v>44828</v>
      </c>
      <c r="B326">
        <v>4</v>
      </c>
      <c r="C326" t="s">
        <v>26</v>
      </c>
      <c r="D326">
        <v>2</v>
      </c>
      <c r="E326">
        <v>2</v>
      </c>
      <c r="F326" t="s">
        <v>27</v>
      </c>
      <c r="G326">
        <v>1</v>
      </c>
      <c r="H326" s="8">
        <v>0.3125</v>
      </c>
      <c r="I326" s="8">
        <v>0.42708333333333331</v>
      </c>
      <c r="J326" s="8">
        <f t="shared" si="15"/>
        <v>0.11458333333333331</v>
      </c>
      <c r="K326" s="12">
        <f t="shared" si="16"/>
        <v>2.7499999999999996</v>
      </c>
      <c r="L326" s="12">
        <f t="shared" si="17"/>
        <v>2.7499999999999996</v>
      </c>
      <c r="M326" t="s">
        <v>28</v>
      </c>
      <c r="N326" t="s">
        <v>408</v>
      </c>
      <c r="O326" s="18" t="s">
        <v>92</v>
      </c>
      <c r="P326">
        <v>0</v>
      </c>
      <c r="Q326" s="18">
        <v>0</v>
      </c>
      <c r="R326">
        <v>0</v>
      </c>
      <c r="S326" s="18">
        <v>0</v>
      </c>
      <c r="T326">
        <v>0</v>
      </c>
      <c r="U326" s="18">
        <v>0</v>
      </c>
    </row>
    <row r="327" spans="1:28" x14ac:dyDescent="0.3">
      <c r="A327" s="7">
        <v>44828</v>
      </c>
      <c r="B327">
        <v>4</v>
      </c>
      <c r="C327" t="s">
        <v>26</v>
      </c>
      <c r="D327">
        <v>2</v>
      </c>
      <c r="E327">
        <v>2</v>
      </c>
      <c r="F327" t="s">
        <v>27</v>
      </c>
      <c r="G327">
        <v>2</v>
      </c>
      <c r="H327" s="8">
        <v>0.39583333333333331</v>
      </c>
      <c r="I327" s="8">
        <v>0.43055555555555558</v>
      </c>
      <c r="J327" s="8">
        <f t="shared" si="15"/>
        <v>3.4722222222222265E-2</v>
      </c>
      <c r="K327" s="12">
        <f t="shared" si="16"/>
        <v>0.83333333333333437</v>
      </c>
      <c r="L327" s="12">
        <f t="shared" si="17"/>
        <v>1.6666666666666687</v>
      </c>
      <c r="M327" t="s">
        <v>28</v>
      </c>
      <c r="N327" t="s">
        <v>411</v>
      </c>
      <c r="O327" s="18" t="s">
        <v>92</v>
      </c>
      <c r="P327">
        <v>0</v>
      </c>
      <c r="Q327" s="18">
        <v>0</v>
      </c>
      <c r="R327">
        <v>0</v>
      </c>
      <c r="S327" s="18">
        <v>0</v>
      </c>
      <c r="T327">
        <v>0</v>
      </c>
      <c r="U327" s="18">
        <v>0</v>
      </c>
    </row>
    <row r="328" spans="1:28" x14ac:dyDescent="0.3">
      <c r="A328" s="7">
        <v>44828</v>
      </c>
      <c r="B328">
        <v>4</v>
      </c>
      <c r="C328" t="s">
        <v>26</v>
      </c>
      <c r="D328">
        <v>2</v>
      </c>
      <c r="E328">
        <v>2</v>
      </c>
      <c r="F328" t="s">
        <v>27</v>
      </c>
      <c r="G328">
        <v>3</v>
      </c>
      <c r="H328" s="8">
        <v>0.23958333333333334</v>
      </c>
      <c r="I328" s="8">
        <v>0.44097222222222227</v>
      </c>
      <c r="J328" s="8">
        <f t="shared" si="15"/>
        <v>0.20138888888888892</v>
      </c>
      <c r="K328" s="12">
        <f t="shared" si="16"/>
        <v>4.8333333333333339</v>
      </c>
      <c r="L328" s="12">
        <f t="shared" si="17"/>
        <v>14.500000000000002</v>
      </c>
      <c r="M328" t="s">
        <v>28</v>
      </c>
      <c r="N328" t="s">
        <v>454</v>
      </c>
      <c r="O328" s="18" t="s">
        <v>405</v>
      </c>
      <c r="P328">
        <v>0</v>
      </c>
      <c r="Q328" s="18">
        <v>0</v>
      </c>
      <c r="R328">
        <v>0</v>
      </c>
      <c r="S328" s="18">
        <v>0</v>
      </c>
      <c r="T328">
        <v>0</v>
      </c>
      <c r="U328" s="18">
        <v>0</v>
      </c>
    </row>
    <row r="329" spans="1:28" x14ac:dyDescent="0.3">
      <c r="A329" s="7">
        <v>44828</v>
      </c>
      <c r="B329">
        <v>4</v>
      </c>
      <c r="C329" t="s">
        <v>26</v>
      </c>
      <c r="D329">
        <v>2</v>
      </c>
      <c r="E329">
        <v>4</v>
      </c>
      <c r="F329" t="s">
        <v>27</v>
      </c>
      <c r="G329">
        <v>3</v>
      </c>
      <c r="H329" s="8">
        <v>0.29166666666666669</v>
      </c>
      <c r="I329" s="8">
        <v>0.45833333333333331</v>
      </c>
      <c r="J329" s="8">
        <f t="shared" si="15"/>
        <v>0.16666666666666663</v>
      </c>
      <c r="K329" s="12">
        <f t="shared" si="16"/>
        <v>3.9999999999999991</v>
      </c>
      <c r="L329" s="12">
        <f t="shared" si="17"/>
        <v>11.999999999999996</v>
      </c>
      <c r="M329" t="s">
        <v>25</v>
      </c>
      <c r="N329" t="s">
        <v>411</v>
      </c>
      <c r="O329" s="18" t="s">
        <v>422</v>
      </c>
      <c r="P329">
        <v>1</v>
      </c>
      <c r="Q329" s="18">
        <v>0</v>
      </c>
      <c r="R329">
        <v>0</v>
      </c>
      <c r="S329" s="18">
        <v>0</v>
      </c>
      <c r="T329">
        <v>0</v>
      </c>
      <c r="U329" s="18">
        <v>0</v>
      </c>
    </row>
    <row r="330" spans="1:28" x14ac:dyDescent="0.3">
      <c r="A330" s="7">
        <v>44828</v>
      </c>
      <c r="B330">
        <v>4</v>
      </c>
      <c r="C330" t="s">
        <v>26</v>
      </c>
      <c r="D330">
        <v>2</v>
      </c>
      <c r="E330">
        <v>4</v>
      </c>
      <c r="F330" t="s">
        <v>27</v>
      </c>
      <c r="G330">
        <v>6</v>
      </c>
      <c r="H330" s="8">
        <v>0.29166666666666669</v>
      </c>
      <c r="I330" s="8">
        <v>0.45833333333333331</v>
      </c>
      <c r="J330" s="8">
        <f t="shared" si="15"/>
        <v>0.16666666666666663</v>
      </c>
      <c r="K330" s="12">
        <f t="shared" si="16"/>
        <v>3.9999999999999991</v>
      </c>
      <c r="L330" s="12">
        <f t="shared" si="17"/>
        <v>23.999999999999993</v>
      </c>
      <c r="M330" t="s">
        <v>28</v>
      </c>
      <c r="N330" t="s">
        <v>411</v>
      </c>
      <c r="O330" s="18" t="s">
        <v>422</v>
      </c>
      <c r="P330">
        <v>0</v>
      </c>
      <c r="Q330" s="18">
        <v>0</v>
      </c>
      <c r="R330">
        <v>0</v>
      </c>
      <c r="S330" s="18">
        <v>0</v>
      </c>
      <c r="T330">
        <v>0</v>
      </c>
      <c r="U330" s="18">
        <v>0</v>
      </c>
    </row>
    <row r="331" spans="1:28" x14ac:dyDescent="0.3">
      <c r="A331" s="7">
        <v>44828</v>
      </c>
      <c r="B331">
        <v>4</v>
      </c>
      <c r="C331" t="s">
        <v>26</v>
      </c>
      <c r="D331">
        <v>2</v>
      </c>
      <c r="E331">
        <v>4</v>
      </c>
      <c r="F331" t="s">
        <v>27</v>
      </c>
      <c r="G331">
        <v>1</v>
      </c>
      <c r="H331" s="8">
        <v>0.375</v>
      </c>
      <c r="I331" s="8">
        <v>0.48958333333333331</v>
      </c>
      <c r="J331" s="8">
        <f t="shared" si="15"/>
        <v>0.11458333333333331</v>
      </c>
      <c r="K331" s="12">
        <f t="shared" si="16"/>
        <v>2.7499999999999996</v>
      </c>
      <c r="L331" s="12">
        <f t="shared" si="17"/>
        <v>2.7499999999999996</v>
      </c>
      <c r="M331" t="s">
        <v>25</v>
      </c>
      <c r="N331" t="s">
        <v>411</v>
      </c>
      <c r="O331" s="18" t="s">
        <v>422</v>
      </c>
      <c r="P331">
        <v>0</v>
      </c>
      <c r="Q331" s="18">
        <v>0</v>
      </c>
      <c r="R331">
        <v>0</v>
      </c>
      <c r="S331" s="18">
        <v>0</v>
      </c>
      <c r="T331">
        <v>0</v>
      </c>
      <c r="U331" s="18">
        <v>0</v>
      </c>
    </row>
    <row r="332" spans="1:28" s="26" customFormat="1" x14ac:dyDescent="0.3">
      <c r="A332" s="25">
        <v>44828</v>
      </c>
      <c r="B332" s="26">
        <v>4</v>
      </c>
      <c r="C332" s="26" t="s">
        <v>26</v>
      </c>
      <c r="D332" s="26">
        <v>2</v>
      </c>
      <c r="E332" s="26">
        <v>4</v>
      </c>
      <c r="F332" s="26" t="s">
        <v>27</v>
      </c>
      <c r="G332" s="26">
        <v>3</v>
      </c>
      <c r="H332" s="27">
        <v>0.47916666666666669</v>
      </c>
      <c r="I332" s="27">
        <v>0.53472222222222221</v>
      </c>
      <c r="J332" s="8">
        <f t="shared" si="15"/>
        <v>5.5555555555555525E-2</v>
      </c>
      <c r="K332" s="12">
        <f t="shared" si="16"/>
        <v>1.3333333333333326</v>
      </c>
      <c r="L332" s="12">
        <f t="shared" si="17"/>
        <v>3.9999999999999978</v>
      </c>
      <c r="M332" s="26" t="s">
        <v>25</v>
      </c>
      <c r="N332" s="26" t="s">
        <v>404</v>
      </c>
      <c r="O332" s="28" t="s">
        <v>405</v>
      </c>
      <c r="P332" s="26">
        <v>0</v>
      </c>
      <c r="Q332" s="28">
        <v>0</v>
      </c>
      <c r="R332" s="26">
        <v>0</v>
      </c>
      <c r="S332" s="28">
        <v>0</v>
      </c>
      <c r="T332" s="26">
        <v>0</v>
      </c>
      <c r="U332" s="28">
        <v>0</v>
      </c>
    </row>
    <row r="333" spans="1:28" x14ac:dyDescent="0.3">
      <c r="A333" s="7">
        <v>44828</v>
      </c>
      <c r="B333">
        <v>4</v>
      </c>
      <c r="C333" t="s">
        <v>42</v>
      </c>
      <c r="D333">
        <v>1</v>
      </c>
      <c r="E333">
        <v>1</v>
      </c>
      <c r="F333" t="s">
        <v>35</v>
      </c>
      <c r="G333">
        <v>2</v>
      </c>
      <c r="H333" s="8">
        <v>0.28125</v>
      </c>
      <c r="I333" s="8">
        <v>0.60416666666666663</v>
      </c>
      <c r="J333" s="8">
        <f t="shared" si="15"/>
        <v>0.32291666666666663</v>
      </c>
      <c r="K333" s="12">
        <f t="shared" si="16"/>
        <v>7.7499999999999991</v>
      </c>
      <c r="L333" s="12">
        <f t="shared" si="17"/>
        <v>15.499999999999998</v>
      </c>
      <c r="M333" t="s">
        <v>25</v>
      </c>
      <c r="N333" t="s">
        <v>423</v>
      </c>
      <c r="O333" s="18" t="s">
        <v>92</v>
      </c>
      <c r="P333">
        <v>0</v>
      </c>
      <c r="Q333" s="18">
        <v>0</v>
      </c>
      <c r="R333">
        <v>0</v>
      </c>
      <c r="S333" s="18">
        <v>0</v>
      </c>
      <c r="T333">
        <v>0</v>
      </c>
      <c r="U333" s="18">
        <v>0</v>
      </c>
      <c r="AB333" t="s">
        <v>455</v>
      </c>
    </row>
    <row r="334" spans="1:28" x14ac:dyDescent="0.3">
      <c r="A334" s="7">
        <v>44828</v>
      </c>
      <c r="B334">
        <v>4</v>
      </c>
      <c r="C334" t="s">
        <v>42</v>
      </c>
      <c r="D334">
        <v>1</v>
      </c>
      <c r="E334">
        <v>1</v>
      </c>
      <c r="F334" t="s">
        <v>35</v>
      </c>
      <c r="G334">
        <v>2</v>
      </c>
      <c r="H334" s="8">
        <v>0.27083333333333331</v>
      </c>
      <c r="I334" s="8">
        <v>0.60416666666666663</v>
      </c>
      <c r="J334" s="8">
        <f t="shared" si="15"/>
        <v>0.33333333333333331</v>
      </c>
      <c r="K334" s="12">
        <f t="shared" si="16"/>
        <v>8</v>
      </c>
      <c r="L334" s="12">
        <f t="shared" si="17"/>
        <v>16</v>
      </c>
      <c r="M334" t="s">
        <v>25</v>
      </c>
      <c r="N334" t="s">
        <v>438</v>
      </c>
      <c r="O334" s="18" t="s">
        <v>92</v>
      </c>
      <c r="P334">
        <v>0</v>
      </c>
      <c r="Q334" s="18">
        <v>0</v>
      </c>
      <c r="R334">
        <v>0</v>
      </c>
      <c r="S334" s="18">
        <v>0</v>
      </c>
      <c r="T334">
        <v>0</v>
      </c>
      <c r="U334" s="18">
        <v>0</v>
      </c>
    </row>
    <row r="335" spans="1:28" x14ac:dyDescent="0.3">
      <c r="A335" s="7">
        <v>44828</v>
      </c>
      <c r="B335">
        <v>4</v>
      </c>
      <c r="C335" t="s">
        <v>42</v>
      </c>
      <c r="D335">
        <v>1</v>
      </c>
      <c r="E335">
        <v>1</v>
      </c>
      <c r="F335" t="s">
        <v>35</v>
      </c>
      <c r="G335">
        <v>2</v>
      </c>
      <c r="H335" s="8">
        <v>0.27083333333333331</v>
      </c>
      <c r="I335" s="8">
        <v>0.60416666666666663</v>
      </c>
      <c r="J335" s="8">
        <f t="shared" si="15"/>
        <v>0.33333333333333331</v>
      </c>
      <c r="K335" s="12">
        <f t="shared" si="16"/>
        <v>8</v>
      </c>
      <c r="L335" s="12">
        <f t="shared" si="17"/>
        <v>16</v>
      </c>
      <c r="M335" t="s">
        <v>25</v>
      </c>
      <c r="N335" t="s">
        <v>411</v>
      </c>
      <c r="O335" s="18" t="s">
        <v>92</v>
      </c>
      <c r="P335">
        <v>0</v>
      </c>
      <c r="Q335" s="18">
        <v>1</v>
      </c>
      <c r="R335">
        <v>0</v>
      </c>
      <c r="S335" s="18">
        <v>0</v>
      </c>
      <c r="T335">
        <v>0</v>
      </c>
      <c r="U335" s="18">
        <v>0</v>
      </c>
      <c r="AB335" t="s">
        <v>456</v>
      </c>
    </row>
    <row r="336" spans="1:28" x14ac:dyDescent="0.3">
      <c r="A336" s="7">
        <v>44828</v>
      </c>
      <c r="B336">
        <v>4</v>
      </c>
      <c r="C336" t="s">
        <v>42</v>
      </c>
      <c r="D336">
        <v>1</v>
      </c>
      <c r="E336">
        <v>1</v>
      </c>
      <c r="F336" t="s">
        <v>35</v>
      </c>
      <c r="G336">
        <v>2</v>
      </c>
      <c r="H336" s="8">
        <v>0.27083333333333331</v>
      </c>
      <c r="I336" s="8">
        <v>0.61805555555555558</v>
      </c>
      <c r="J336" s="8">
        <f t="shared" si="15"/>
        <v>0.34722222222222227</v>
      </c>
      <c r="K336" s="12">
        <f t="shared" si="16"/>
        <v>8.3333333333333339</v>
      </c>
      <c r="L336" s="12">
        <f t="shared" si="17"/>
        <v>16.666666666666668</v>
      </c>
      <c r="M336" t="s">
        <v>25</v>
      </c>
      <c r="N336" t="s">
        <v>412</v>
      </c>
      <c r="O336" s="18" t="s">
        <v>92</v>
      </c>
      <c r="P336">
        <v>0</v>
      </c>
      <c r="Q336" s="18">
        <v>0</v>
      </c>
      <c r="R336">
        <v>0</v>
      </c>
      <c r="S336" s="18">
        <v>1</v>
      </c>
      <c r="T336">
        <v>0</v>
      </c>
      <c r="U336" s="18">
        <v>0</v>
      </c>
      <c r="Y336">
        <v>1</v>
      </c>
      <c r="AB336" t="s">
        <v>427</v>
      </c>
    </row>
    <row r="337" spans="1:28" x14ac:dyDescent="0.3">
      <c r="A337" s="7">
        <v>44828</v>
      </c>
      <c r="B337">
        <v>4</v>
      </c>
      <c r="C337" t="s">
        <v>42</v>
      </c>
      <c r="D337">
        <v>1</v>
      </c>
      <c r="E337">
        <v>1</v>
      </c>
      <c r="F337" t="s">
        <v>35</v>
      </c>
      <c r="G337">
        <v>2</v>
      </c>
      <c r="H337" s="8">
        <v>0.47916666666666669</v>
      </c>
      <c r="I337" s="8">
        <v>0.62986111111111109</v>
      </c>
      <c r="J337" s="8">
        <f t="shared" si="15"/>
        <v>0.15069444444444441</v>
      </c>
      <c r="K337" s="12">
        <f t="shared" si="16"/>
        <v>3.6166666666666658</v>
      </c>
      <c r="L337" s="12">
        <f t="shared" si="17"/>
        <v>7.2333333333333316</v>
      </c>
      <c r="M337" t="s">
        <v>25</v>
      </c>
      <c r="N337" t="s">
        <v>426</v>
      </c>
      <c r="O337" s="18" t="s">
        <v>92</v>
      </c>
      <c r="P337">
        <v>0</v>
      </c>
      <c r="Q337" s="18">
        <v>0</v>
      </c>
      <c r="R337">
        <v>0</v>
      </c>
      <c r="S337" s="18">
        <v>0</v>
      </c>
      <c r="T337">
        <v>0</v>
      </c>
      <c r="U337" s="18">
        <v>0</v>
      </c>
    </row>
    <row r="338" spans="1:28" s="26" customFormat="1" x14ac:dyDescent="0.3">
      <c r="A338" s="25">
        <v>44828</v>
      </c>
      <c r="B338" s="26">
        <v>4</v>
      </c>
      <c r="C338" s="26" t="s">
        <v>42</v>
      </c>
      <c r="D338" s="26">
        <v>1</v>
      </c>
      <c r="E338" s="26">
        <v>1</v>
      </c>
      <c r="F338" s="26" t="s">
        <v>35</v>
      </c>
      <c r="G338" s="26">
        <v>2</v>
      </c>
      <c r="H338" s="27">
        <v>0.5</v>
      </c>
      <c r="I338" s="27">
        <v>0.66666666666666663</v>
      </c>
      <c r="J338" s="8">
        <f t="shared" si="15"/>
        <v>0.16666666666666663</v>
      </c>
      <c r="K338" s="12">
        <f t="shared" si="16"/>
        <v>3.9999999999999991</v>
      </c>
      <c r="L338" s="12">
        <f t="shared" si="17"/>
        <v>7.9999999999999982</v>
      </c>
      <c r="M338" s="26" t="s">
        <v>25</v>
      </c>
      <c r="N338" s="26" t="s">
        <v>412</v>
      </c>
      <c r="O338" s="28" t="s">
        <v>92</v>
      </c>
      <c r="P338" s="26">
        <v>0</v>
      </c>
      <c r="Q338" s="28">
        <v>0</v>
      </c>
      <c r="R338" s="26">
        <v>2</v>
      </c>
      <c r="S338" s="28">
        <v>0</v>
      </c>
      <c r="T338" s="26">
        <v>0</v>
      </c>
      <c r="U338" s="28">
        <v>0</v>
      </c>
    </row>
    <row r="339" spans="1:28" x14ac:dyDescent="0.3">
      <c r="A339" s="7">
        <v>44832</v>
      </c>
      <c r="B339">
        <v>5</v>
      </c>
      <c r="C339" t="s">
        <v>42</v>
      </c>
      <c r="D339">
        <v>2</v>
      </c>
      <c r="E339">
        <v>5</v>
      </c>
      <c r="F339" t="s">
        <v>27</v>
      </c>
      <c r="G339">
        <v>2</v>
      </c>
      <c r="H339" s="8">
        <v>0.65972222222222221</v>
      </c>
      <c r="I339" s="8">
        <v>0.67361111111111116</v>
      </c>
      <c r="J339" s="8">
        <f t="shared" si="15"/>
        <v>1.3888888888888951E-2</v>
      </c>
      <c r="K339" s="12">
        <f t="shared" si="16"/>
        <v>0.33333333333333481</v>
      </c>
      <c r="L339" s="12">
        <f t="shared" si="17"/>
        <v>0.66666666666666963</v>
      </c>
      <c r="M339" t="s">
        <v>28</v>
      </c>
      <c r="N339" t="s">
        <v>411</v>
      </c>
      <c r="O339" s="18" t="s">
        <v>422</v>
      </c>
      <c r="P339">
        <v>0</v>
      </c>
      <c r="Q339" s="18">
        <v>0</v>
      </c>
      <c r="R339">
        <v>0</v>
      </c>
      <c r="S339" s="18">
        <v>0</v>
      </c>
      <c r="T339">
        <v>0</v>
      </c>
      <c r="U339" s="18">
        <v>0</v>
      </c>
      <c r="AB339" t="s">
        <v>457</v>
      </c>
    </row>
    <row r="340" spans="1:28" x14ac:dyDescent="0.3">
      <c r="A340" s="7">
        <v>44832</v>
      </c>
      <c r="B340">
        <v>5</v>
      </c>
      <c r="C340" t="s">
        <v>42</v>
      </c>
      <c r="D340">
        <v>2</v>
      </c>
      <c r="E340">
        <v>4</v>
      </c>
      <c r="F340" t="s">
        <v>27</v>
      </c>
      <c r="G340">
        <v>1</v>
      </c>
      <c r="H340" s="8">
        <v>0.67361111111111116</v>
      </c>
      <c r="I340" s="8">
        <v>0.69097222222222221</v>
      </c>
      <c r="J340" s="8">
        <f t="shared" si="15"/>
        <v>1.7361111111111049E-2</v>
      </c>
      <c r="K340" s="12">
        <f t="shared" si="16"/>
        <v>0.41666666666666519</v>
      </c>
      <c r="L340" s="12">
        <f t="shared" si="17"/>
        <v>0.41666666666666519</v>
      </c>
      <c r="M340" t="s">
        <v>25</v>
      </c>
      <c r="N340" t="s">
        <v>408</v>
      </c>
      <c r="O340" s="18" t="s">
        <v>422</v>
      </c>
      <c r="P340">
        <v>0</v>
      </c>
      <c r="Q340" s="18">
        <v>0</v>
      </c>
      <c r="R340">
        <v>0</v>
      </c>
      <c r="S340" s="18">
        <v>0</v>
      </c>
      <c r="T340">
        <v>0</v>
      </c>
      <c r="U340" s="18">
        <v>0</v>
      </c>
    </row>
    <row r="341" spans="1:28" x14ac:dyDescent="0.3">
      <c r="A341" s="7">
        <v>44832</v>
      </c>
      <c r="B341">
        <v>5</v>
      </c>
      <c r="C341" t="s">
        <v>42</v>
      </c>
      <c r="D341">
        <v>2</v>
      </c>
      <c r="E341">
        <v>3</v>
      </c>
      <c r="F341" t="s">
        <v>27</v>
      </c>
      <c r="G341">
        <v>4</v>
      </c>
      <c r="H341" s="8">
        <v>0.68055555555555547</v>
      </c>
      <c r="I341" s="8">
        <v>0.71180555555555547</v>
      </c>
      <c r="J341" s="8">
        <f t="shared" si="15"/>
        <v>3.125E-2</v>
      </c>
      <c r="K341" s="12">
        <f t="shared" si="16"/>
        <v>0.75</v>
      </c>
      <c r="L341" s="12">
        <f t="shared" si="17"/>
        <v>3</v>
      </c>
      <c r="M341" t="s">
        <v>28</v>
      </c>
      <c r="N341" t="s">
        <v>411</v>
      </c>
      <c r="O341" s="18" t="s">
        <v>422</v>
      </c>
      <c r="P341">
        <v>0</v>
      </c>
      <c r="Q341" s="18">
        <v>0</v>
      </c>
      <c r="R341">
        <v>0</v>
      </c>
      <c r="S341" s="18">
        <v>0</v>
      </c>
      <c r="T341">
        <v>0</v>
      </c>
      <c r="U341" s="18">
        <v>0</v>
      </c>
    </row>
    <row r="342" spans="1:28" s="26" customFormat="1" x14ac:dyDescent="0.3">
      <c r="A342" s="25">
        <v>44832</v>
      </c>
      <c r="B342" s="26">
        <v>5</v>
      </c>
      <c r="C342" s="26" t="s">
        <v>42</v>
      </c>
      <c r="D342" s="26">
        <v>2</v>
      </c>
      <c r="E342" s="26">
        <v>2</v>
      </c>
      <c r="F342" s="26" t="s">
        <v>27</v>
      </c>
      <c r="G342" s="26">
        <v>1</v>
      </c>
      <c r="H342" s="27">
        <v>0.64583333333333337</v>
      </c>
      <c r="I342" s="27">
        <v>0.75</v>
      </c>
      <c r="J342" s="8">
        <f t="shared" si="15"/>
        <v>0.10416666666666663</v>
      </c>
      <c r="K342" s="12">
        <f t="shared" si="16"/>
        <v>2.4999999999999991</v>
      </c>
      <c r="L342" s="12">
        <f t="shared" si="17"/>
        <v>2.4999999999999991</v>
      </c>
      <c r="M342" s="26" t="s">
        <v>25</v>
      </c>
      <c r="N342" s="26" t="s">
        <v>426</v>
      </c>
      <c r="O342" s="28" t="s">
        <v>92</v>
      </c>
      <c r="P342" s="26">
        <v>0</v>
      </c>
      <c r="Q342" s="28">
        <v>0</v>
      </c>
      <c r="R342" s="26">
        <v>0</v>
      </c>
      <c r="S342" s="28">
        <v>0</v>
      </c>
      <c r="T342" s="26">
        <v>0</v>
      </c>
      <c r="U342" s="28">
        <v>0</v>
      </c>
    </row>
    <row r="343" spans="1:28" x14ac:dyDescent="0.3">
      <c r="A343" s="7">
        <v>44833</v>
      </c>
      <c r="B343">
        <v>5</v>
      </c>
      <c r="C343" t="s">
        <v>26</v>
      </c>
      <c r="D343">
        <v>2</v>
      </c>
      <c r="E343">
        <v>5</v>
      </c>
      <c r="F343" t="s">
        <v>27</v>
      </c>
      <c r="G343">
        <v>1</v>
      </c>
      <c r="H343" s="8">
        <v>0.28125</v>
      </c>
      <c r="I343" s="8">
        <v>0.34375</v>
      </c>
      <c r="J343" s="8">
        <f t="shared" si="15"/>
        <v>6.25E-2</v>
      </c>
      <c r="K343" s="12">
        <f t="shared" si="16"/>
        <v>1.5</v>
      </c>
      <c r="L343" s="12">
        <f t="shared" si="17"/>
        <v>1.5</v>
      </c>
      <c r="M343" t="s">
        <v>25</v>
      </c>
      <c r="N343" t="s">
        <v>408</v>
      </c>
      <c r="O343" s="18" t="s">
        <v>422</v>
      </c>
      <c r="P343">
        <v>0</v>
      </c>
      <c r="Q343" s="18">
        <v>0</v>
      </c>
      <c r="R343">
        <v>0</v>
      </c>
      <c r="S343" s="18">
        <v>0</v>
      </c>
      <c r="T343">
        <v>0</v>
      </c>
      <c r="U343" s="18">
        <v>0</v>
      </c>
      <c r="AB343" t="s">
        <v>449</v>
      </c>
    </row>
    <row r="344" spans="1:28" x14ac:dyDescent="0.3">
      <c r="A344" s="7">
        <v>44833</v>
      </c>
      <c r="B344">
        <v>5</v>
      </c>
      <c r="C344" t="s">
        <v>26</v>
      </c>
      <c r="D344">
        <v>2</v>
      </c>
      <c r="E344">
        <v>5</v>
      </c>
      <c r="F344" t="s">
        <v>27</v>
      </c>
      <c r="G344">
        <v>2</v>
      </c>
      <c r="H344" s="8">
        <v>0.27083333333333331</v>
      </c>
      <c r="I344" s="8">
        <v>0.3611111111111111</v>
      </c>
      <c r="J344" s="8">
        <f t="shared" si="15"/>
        <v>9.027777777777779E-2</v>
      </c>
      <c r="K344" s="12">
        <f t="shared" si="16"/>
        <v>2.166666666666667</v>
      </c>
      <c r="L344" s="12">
        <f t="shared" si="17"/>
        <v>4.3333333333333339</v>
      </c>
      <c r="M344" t="s">
        <v>28</v>
      </c>
      <c r="N344" t="s">
        <v>411</v>
      </c>
      <c r="O344" s="18" t="s">
        <v>92</v>
      </c>
      <c r="P344">
        <v>2</v>
      </c>
      <c r="Q344" s="18">
        <v>0</v>
      </c>
      <c r="R344">
        <v>0</v>
      </c>
      <c r="S344" s="18">
        <v>0</v>
      </c>
      <c r="T344">
        <v>0</v>
      </c>
      <c r="U344" s="18">
        <v>0</v>
      </c>
      <c r="V344">
        <v>2</v>
      </c>
      <c r="AB344" t="s">
        <v>429</v>
      </c>
    </row>
    <row r="345" spans="1:28" x14ac:dyDescent="0.3">
      <c r="A345" s="7">
        <v>44833</v>
      </c>
      <c r="B345">
        <v>5</v>
      </c>
      <c r="C345" t="s">
        <v>26</v>
      </c>
      <c r="D345">
        <v>2</v>
      </c>
      <c r="E345">
        <v>5</v>
      </c>
      <c r="F345" t="s">
        <v>27</v>
      </c>
      <c r="G345">
        <v>1</v>
      </c>
      <c r="H345" s="8">
        <v>0.27083333333333331</v>
      </c>
      <c r="I345" s="8">
        <v>0.3611111111111111</v>
      </c>
      <c r="J345" s="8">
        <f t="shared" si="15"/>
        <v>9.027777777777779E-2</v>
      </c>
      <c r="K345" s="12">
        <f t="shared" si="16"/>
        <v>2.166666666666667</v>
      </c>
      <c r="L345" s="12">
        <f t="shared" si="17"/>
        <v>2.166666666666667</v>
      </c>
      <c r="M345" t="s">
        <v>25</v>
      </c>
      <c r="N345" t="s">
        <v>411</v>
      </c>
      <c r="O345" s="18" t="s">
        <v>422</v>
      </c>
      <c r="P345">
        <v>0</v>
      </c>
      <c r="Q345" s="18">
        <v>0</v>
      </c>
      <c r="R345">
        <v>0</v>
      </c>
      <c r="S345" s="18">
        <v>0</v>
      </c>
      <c r="T345">
        <v>0</v>
      </c>
      <c r="U345" s="18">
        <v>0</v>
      </c>
    </row>
    <row r="346" spans="1:28" x14ac:dyDescent="0.3">
      <c r="A346" s="7">
        <v>44833</v>
      </c>
      <c r="B346">
        <v>5</v>
      </c>
      <c r="C346" t="s">
        <v>26</v>
      </c>
      <c r="D346">
        <v>2</v>
      </c>
      <c r="E346">
        <v>1</v>
      </c>
      <c r="F346" t="s">
        <v>27</v>
      </c>
      <c r="G346">
        <v>2</v>
      </c>
      <c r="H346" s="8">
        <v>0.38541666666666669</v>
      </c>
      <c r="I346" s="8">
        <v>0.39930555555555558</v>
      </c>
      <c r="J346" s="8">
        <f t="shared" si="15"/>
        <v>1.3888888888888895E-2</v>
      </c>
      <c r="K346" s="12">
        <f t="shared" si="16"/>
        <v>0.33333333333333348</v>
      </c>
      <c r="L346" s="12">
        <f t="shared" si="17"/>
        <v>0.66666666666666696</v>
      </c>
      <c r="M346" t="s">
        <v>28</v>
      </c>
      <c r="N346" t="s">
        <v>411</v>
      </c>
      <c r="O346" s="18" t="s">
        <v>405</v>
      </c>
      <c r="P346">
        <v>0</v>
      </c>
      <c r="Q346" s="18">
        <v>0</v>
      </c>
      <c r="R346">
        <v>0</v>
      </c>
      <c r="S346" s="18">
        <v>0</v>
      </c>
      <c r="T346">
        <v>0</v>
      </c>
      <c r="U346" s="18">
        <v>0</v>
      </c>
    </row>
    <row r="347" spans="1:28" x14ac:dyDescent="0.3">
      <c r="A347" s="7">
        <v>44833</v>
      </c>
      <c r="B347">
        <v>5</v>
      </c>
      <c r="C347" t="s">
        <v>26</v>
      </c>
      <c r="D347">
        <v>2</v>
      </c>
      <c r="E347">
        <v>2</v>
      </c>
      <c r="F347" t="s">
        <v>27</v>
      </c>
      <c r="G347">
        <v>2</v>
      </c>
      <c r="H347" s="8">
        <v>0.3888888888888889</v>
      </c>
      <c r="I347" s="8">
        <v>0.4055555555555555</v>
      </c>
      <c r="J347" s="8">
        <f t="shared" si="15"/>
        <v>1.6666666666666607E-2</v>
      </c>
      <c r="K347" s="12">
        <f t="shared" si="16"/>
        <v>0.39999999999999858</v>
      </c>
      <c r="L347" s="12">
        <f t="shared" si="17"/>
        <v>0.79999999999999716</v>
      </c>
      <c r="M347" t="s">
        <v>28</v>
      </c>
      <c r="N347" t="s">
        <v>411</v>
      </c>
      <c r="O347" s="18" t="s">
        <v>92</v>
      </c>
      <c r="P347">
        <v>0</v>
      </c>
      <c r="Q347" s="18">
        <v>0</v>
      </c>
      <c r="R347">
        <v>0</v>
      </c>
      <c r="S347" s="18">
        <v>0</v>
      </c>
      <c r="T347">
        <v>0</v>
      </c>
      <c r="U347" s="18">
        <v>0</v>
      </c>
    </row>
    <row r="348" spans="1:28" x14ac:dyDescent="0.3">
      <c r="A348" s="7">
        <v>44833</v>
      </c>
      <c r="B348">
        <v>5</v>
      </c>
      <c r="C348" t="s">
        <v>26</v>
      </c>
      <c r="D348">
        <v>2</v>
      </c>
      <c r="E348">
        <v>2</v>
      </c>
      <c r="F348" t="s">
        <v>27</v>
      </c>
      <c r="G348">
        <v>1</v>
      </c>
      <c r="H348" s="8">
        <v>0.3125</v>
      </c>
      <c r="I348" s="8">
        <v>0.41319444444444442</v>
      </c>
      <c r="J348" s="8">
        <f t="shared" si="15"/>
        <v>0.10069444444444442</v>
      </c>
      <c r="K348" s="12">
        <f t="shared" si="16"/>
        <v>2.4166666666666661</v>
      </c>
      <c r="L348" s="12">
        <f t="shared" si="17"/>
        <v>2.4166666666666661</v>
      </c>
      <c r="M348" t="s">
        <v>25</v>
      </c>
      <c r="N348" t="s">
        <v>411</v>
      </c>
      <c r="O348" s="18" t="s">
        <v>92</v>
      </c>
      <c r="P348">
        <v>0</v>
      </c>
      <c r="Q348" s="18">
        <v>0</v>
      </c>
      <c r="R348">
        <v>0</v>
      </c>
      <c r="S348" s="18">
        <v>0</v>
      </c>
      <c r="T348">
        <v>0</v>
      </c>
      <c r="U348" s="18">
        <v>0</v>
      </c>
    </row>
    <row r="349" spans="1:28" x14ac:dyDescent="0.3">
      <c r="A349" s="7">
        <v>44833</v>
      </c>
      <c r="B349">
        <v>5</v>
      </c>
      <c r="C349" t="s">
        <v>26</v>
      </c>
      <c r="D349">
        <v>2</v>
      </c>
      <c r="E349">
        <v>2</v>
      </c>
      <c r="F349" t="s">
        <v>27</v>
      </c>
      <c r="G349">
        <v>1</v>
      </c>
      <c r="H349" s="8">
        <v>0.40625</v>
      </c>
      <c r="I349" s="8">
        <v>0.4201388888888889</v>
      </c>
      <c r="J349" s="8">
        <f t="shared" si="15"/>
        <v>1.3888888888888895E-2</v>
      </c>
      <c r="K349" s="12">
        <f t="shared" si="16"/>
        <v>0.33333333333333348</v>
      </c>
      <c r="L349" s="12">
        <f t="shared" si="17"/>
        <v>0.33333333333333348</v>
      </c>
      <c r="M349" t="s">
        <v>28</v>
      </c>
      <c r="N349" t="s">
        <v>411</v>
      </c>
      <c r="O349" s="18" t="s">
        <v>92</v>
      </c>
      <c r="P349">
        <v>0</v>
      </c>
      <c r="Q349" s="18">
        <v>0</v>
      </c>
      <c r="R349">
        <v>0</v>
      </c>
      <c r="S349" s="18">
        <v>0</v>
      </c>
      <c r="T349">
        <v>0</v>
      </c>
      <c r="U349" s="18">
        <v>0</v>
      </c>
    </row>
    <row r="350" spans="1:28" x14ac:dyDescent="0.3">
      <c r="A350" s="7">
        <v>44833</v>
      </c>
      <c r="B350">
        <v>5</v>
      </c>
      <c r="C350" t="s">
        <v>26</v>
      </c>
      <c r="D350">
        <v>2</v>
      </c>
      <c r="E350">
        <v>2</v>
      </c>
      <c r="F350" t="s">
        <v>27</v>
      </c>
      <c r="G350">
        <v>1</v>
      </c>
      <c r="H350" s="8">
        <v>0.375</v>
      </c>
      <c r="I350" s="8">
        <v>0.4201388888888889</v>
      </c>
      <c r="J350" s="8">
        <f t="shared" si="15"/>
        <v>4.5138888888888895E-2</v>
      </c>
      <c r="K350" s="12">
        <f t="shared" si="16"/>
        <v>1.0833333333333335</v>
      </c>
      <c r="L350" s="12">
        <f t="shared" si="17"/>
        <v>1.0833333333333335</v>
      </c>
      <c r="M350" t="s">
        <v>28</v>
      </c>
      <c r="N350" t="s">
        <v>411</v>
      </c>
      <c r="O350" s="18" t="s">
        <v>92</v>
      </c>
      <c r="P350">
        <v>0</v>
      </c>
      <c r="Q350" s="18">
        <v>0</v>
      </c>
      <c r="R350">
        <v>0</v>
      </c>
      <c r="S350" s="18">
        <v>0</v>
      </c>
      <c r="T350">
        <v>0</v>
      </c>
      <c r="U350" s="18">
        <v>0</v>
      </c>
    </row>
    <row r="351" spans="1:28" s="26" customFormat="1" x14ac:dyDescent="0.3">
      <c r="A351" s="25">
        <v>44833</v>
      </c>
      <c r="B351" s="26">
        <v>5</v>
      </c>
      <c r="C351" s="26" t="s">
        <v>26</v>
      </c>
      <c r="D351" s="26">
        <v>2</v>
      </c>
      <c r="E351" s="26">
        <v>2</v>
      </c>
      <c r="F351" s="26" t="s">
        <v>27</v>
      </c>
      <c r="G351" s="26">
        <v>1</v>
      </c>
      <c r="H351" s="27">
        <v>0.39583333333333331</v>
      </c>
      <c r="I351" s="27">
        <v>0.4201388888888889</v>
      </c>
      <c r="J351" s="8">
        <f t="shared" si="15"/>
        <v>2.430555555555558E-2</v>
      </c>
      <c r="K351" s="12">
        <f t="shared" si="16"/>
        <v>0.58333333333333393</v>
      </c>
      <c r="L351" s="12">
        <f t="shared" si="17"/>
        <v>0.58333333333333393</v>
      </c>
      <c r="M351" s="26" t="s">
        <v>28</v>
      </c>
      <c r="N351" s="26" t="s">
        <v>411</v>
      </c>
      <c r="O351" s="28" t="s">
        <v>405</v>
      </c>
      <c r="P351" s="26">
        <v>0</v>
      </c>
      <c r="Q351" s="28">
        <v>0</v>
      </c>
      <c r="R351" s="26">
        <v>0</v>
      </c>
      <c r="S351" s="28">
        <v>0</v>
      </c>
      <c r="T351" s="26">
        <v>0</v>
      </c>
      <c r="U351" s="28">
        <v>0</v>
      </c>
    </row>
    <row r="352" spans="1:28" x14ac:dyDescent="0.3">
      <c r="A352" s="7">
        <v>44834</v>
      </c>
      <c r="B352">
        <v>5</v>
      </c>
      <c r="C352" t="s">
        <v>26</v>
      </c>
      <c r="D352">
        <v>2</v>
      </c>
      <c r="E352">
        <v>1</v>
      </c>
      <c r="F352" t="s">
        <v>27</v>
      </c>
      <c r="G352">
        <v>1</v>
      </c>
      <c r="H352" s="8">
        <v>0.33333333333333331</v>
      </c>
      <c r="I352" s="8">
        <v>0.34236111111111112</v>
      </c>
      <c r="J352" s="8">
        <f t="shared" si="15"/>
        <v>9.0277777777778012E-3</v>
      </c>
      <c r="K352" s="12">
        <f t="shared" si="16"/>
        <v>0.21666666666666723</v>
      </c>
      <c r="L352" s="12">
        <f t="shared" si="17"/>
        <v>0.21666666666666723</v>
      </c>
      <c r="M352" t="s">
        <v>28</v>
      </c>
      <c r="N352" t="s">
        <v>411</v>
      </c>
      <c r="O352" s="18" t="s">
        <v>446</v>
      </c>
      <c r="P352">
        <v>0</v>
      </c>
      <c r="Q352" s="18">
        <v>0</v>
      </c>
      <c r="R352">
        <v>0</v>
      </c>
      <c r="S352" s="18">
        <v>0</v>
      </c>
      <c r="T352">
        <v>0</v>
      </c>
      <c r="U352" s="18">
        <v>0</v>
      </c>
      <c r="AB352" t="s">
        <v>449</v>
      </c>
    </row>
    <row r="353" spans="1:28" x14ac:dyDescent="0.3">
      <c r="A353" s="7">
        <v>44834</v>
      </c>
      <c r="B353">
        <v>5</v>
      </c>
      <c r="C353" t="s">
        <v>26</v>
      </c>
      <c r="D353">
        <v>2</v>
      </c>
      <c r="E353">
        <v>2</v>
      </c>
      <c r="F353" t="s">
        <v>27</v>
      </c>
      <c r="G353">
        <v>1</v>
      </c>
      <c r="H353" s="8">
        <v>0.34027777777777773</v>
      </c>
      <c r="I353" s="8">
        <v>0.35486111111111113</v>
      </c>
      <c r="J353" s="8">
        <f t="shared" si="15"/>
        <v>1.4583333333333393E-2</v>
      </c>
      <c r="K353" s="12">
        <f t="shared" si="16"/>
        <v>0.35000000000000142</v>
      </c>
      <c r="L353" s="12">
        <f t="shared" si="17"/>
        <v>0.35000000000000142</v>
      </c>
      <c r="M353" t="s">
        <v>28</v>
      </c>
      <c r="N353" t="s">
        <v>408</v>
      </c>
      <c r="O353" s="18" t="s">
        <v>405</v>
      </c>
      <c r="P353">
        <v>0</v>
      </c>
      <c r="Q353" s="18">
        <v>0</v>
      </c>
      <c r="R353">
        <v>0</v>
      </c>
      <c r="S353" s="18">
        <v>0</v>
      </c>
      <c r="T353">
        <v>0</v>
      </c>
      <c r="U353" s="18">
        <v>0</v>
      </c>
    </row>
    <row r="354" spans="1:28" x14ac:dyDescent="0.3">
      <c r="A354" s="7">
        <v>44834</v>
      </c>
      <c r="B354">
        <v>5</v>
      </c>
      <c r="C354" t="s">
        <v>26</v>
      </c>
      <c r="D354">
        <v>2</v>
      </c>
      <c r="E354">
        <v>2</v>
      </c>
      <c r="F354" t="s">
        <v>27</v>
      </c>
      <c r="G354">
        <v>1</v>
      </c>
      <c r="H354" s="8">
        <v>0.34027777777777773</v>
      </c>
      <c r="I354" s="8">
        <v>0.35486111111111113</v>
      </c>
      <c r="J354" s="8">
        <f t="shared" si="15"/>
        <v>1.4583333333333393E-2</v>
      </c>
      <c r="K354" s="12">
        <f t="shared" si="16"/>
        <v>0.35000000000000142</v>
      </c>
      <c r="L354" s="12">
        <f t="shared" si="17"/>
        <v>0.35000000000000142</v>
      </c>
      <c r="M354" t="s">
        <v>28</v>
      </c>
      <c r="N354" t="s">
        <v>411</v>
      </c>
      <c r="O354" s="18" t="s">
        <v>405</v>
      </c>
      <c r="P354">
        <v>0</v>
      </c>
      <c r="Q354" s="18">
        <v>0</v>
      </c>
      <c r="R354">
        <v>0</v>
      </c>
      <c r="S354" s="18">
        <v>0</v>
      </c>
      <c r="T354">
        <v>0</v>
      </c>
      <c r="U354" s="18">
        <v>0</v>
      </c>
    </row>
    <row r="355" spans="1:28" x14ac:dyDescent="0.3">
      <c r="A355" s="7">
        <v>44834</v>
      </c>
      <c r="B355">
        <v>5</v>
      </c>
      <c r="C355" t="s">
        <v>26</v>
      </c>
      <c r="D355">
        <v>2</v>
      </c>
      <c r="E355">
        <v>2</v>
      </c>
      <c r="F355" t="s">
        <v>27</v>
      </c>
      <c r="G355">
        <v>1</v>
      </c>
      <c r="H355" s="8">
        <v>0.27083333333333331</v>
      </c>
      <c r="I355" s="8">
        <v>0.36458333333333331</v>
      </c>
      <c r="J355" s="8">
        <f t="shared" si="15"/>
        <v>9.375E-2</v>
      </c>
      <c r="K355" s="12">
        <f t="shared" si="16"/>
        <v>2.25</v>
      </c>
      <c r="L355" s="12">
        <f t="shared" si="17"/>
        <v>2.25</v>
      </c>
      <c r="M355" t="s">
        <v>28</v>
      </c>
      <c r="N355" t="s">
        <v>458</v>
      </c>
      <c r="O355" s="18" t="s">
        <v>92</v>
      </c>
      <c r="P355">
        <v>0</v>
      </c>
      <c r="Q355" s="18">
        <v>0</v>
      </c>
      <c r="R355">
        <v>0</v>
      </c>
      <c r="S355" s="18">
        <v>0</v>
      </c>
      <c r="T355">
        <v>0</v>
      </c>
      <c r="U355" s="18">
        <v>0</v>
      </c>
    </row>
    <row r="356" spans="1:28" x14ac:dyDescent="0.3">
      <c r="A356" s="7">
        <v>44834</v>
      </c>
      <c r="B356">
        <v>5</v>
      </c>
      <c r="C356" t="s">
        <v>26</v>
      </c>
      <c r="D356">
        <v>2</v>
      </c>
      <c r="E356">
        <v>2</v>
      </c>
      <c r="F356" t="s">
        <v>27</v>
      </c>
      <c r="G356">
        <v>1</v>
      </c>
      <c r="H356" s="8">
        <v>0.27083333333333331</v>
      </c>
      <c r="I356" s="8">
        <v>0.36458333333333331</v>
      </c>
      <c r="J356" s="8">
        <f t="shared" si="15"/>
        <v>9.375E-2</v>
      </c>
      <c r="K356" s="12">
        <f t="shared" si="16"/>
        <v>2.25</v>
      </c>
      <c r="L356" s="12">
        <f t="shared" si="17"/>
        <v>2.25</v>
      </c>
      <c r="M356" t="s">
        <v>28</v>
      </c>
      <c r="N356" t="s">
        <v>408</v>
      </c>
      <c r="O356" s="18" t="s">
        <v>92</v>
      </c>
      <c r="P356">
        <v>0</v>
      </c>
      <c r="Q356" s="18">
        <v>0</v>
      </c>
      <c r="R356">
        <v>0</v>
      </c>
      <c r="S356" s="18">
        <v>0</v>
      </c>
      <c r="T356">
        <v>0</v>
      </c>
      <c r="U356" s="18">
        <v>0</v>
      </c>
    </row>
    <row r="357" spans="1:28" x14ac:dyDescent="0.3">
      <c r="A357" s="7">
        <v>44834</v>
      </c>
      <c r="B357">
        <v>5</v>
      </c>
      <c r="C357" t="s">
        <v>26</v>
      </c>
      <c r="D357">
        <v>2</v>
      </c>
      <c r="E357">
        <v>4</v>
      </c>
      <c r="F357" t="s">
        <v>27</v>
      </c>
      <c r="G357">
        <v>1</v>
      </c>
      <c r="H357" s="8">
        <v>0.3125</v>
      </c>
      <c r="I357" s="8">
        <v>0.40972222222222227</v>
      </c>
      <c r="J357" s="8">
        <f t="shared" si="15"/>
        <v>9.7222222222222265E-2</v>
      </c>
      <c r="K357" s="12">
        <f t="shared" si="16"/>
        <v>2.3333333333333344</v>
      </c>
      <c r="L357" s="12">
        <f t="shared" si="17"/>
        <v>2.3333333333333344</v>
      </c>
      <c r="M357" t="s">
        <v>28</v>
      </c>
      <c r="N357" t="s">
        <v>411</v>
      </c>
      <c r="O357" s="18" t="s">
        <v>422</v>
      </c>
      <c r="P357">
        <v>0</v>
      </c>
      <c r="Q357" s="18">
        <v>0</v>
      </c>
      <c r="R357">
        <v>0</v>
      </c>
      <c r="S357" s="18">
        <v>0</v>
      </c>
      <c r="T357">
        <v>0</v>
      </c>
      <c r="U357" s="18">
        <v>0</v>
      </c>
    </row>
    <row r="358" spans="1:28" x14ac:dyDescent="0.3">
      <c r="A358" s="7">
        <v>44834</v>
      </c>
      <c r="B358">
        <v>5</v>
      </c>
      <c r="C358" t="s">
        <v>26</v>
      </c>
      <c r="D358">
        <v>2</v>
      </c>
      <c r="E358">
        <v>4</v>
      </c>
      <c r="F358" t="s">
        <v>27</v>
      </c>
      <c r="G358">
        <v>1</v>
      </c>
      <c r="H358" s="8">
        <v>0.36805555555555558</v>
      </c>
      <c r="I358" s="8">
        <v>0.40972222222222227</v>
      </c>
      <c r="J358" s="8">
        <f t="shared" si="15"/>
        <v>4.1666666666666685E-2</v>
      </c>
      <c r="K358" s="12">
        <f t="shared" si="16"/>
        <v>1.0000000000000004</v>
      </c>
      <c r="L358" s="12">
        <f t="shared" si="17"/>
        <v>1.0000000000000004</v>
      </c>
      <c r="M358" t="s">
        <v>28</v>
      </c>
      <c r="N358" t="s">
        <v>408</v>
      </c>
      <c r="O358" s="18" t="s">
        <v>92</v>
      </c>
      <c r="P358">
        <v>0</v>
      </c>
      <c r="Q358" s="18">
        <v>0</v>
      </c>
      <c r="R358">
        <v>0</v>
      </c>
      <c r="S358" s="18">
        <v>0</v>
      </c>
      <c r="T358">
        <v>0</v>
      </c>
      <c r="U358" s="18">
        <v>0</v>
      </c>
    </row>
    <row r="359" spans="1:28" x14ac:dyDescent="0.3">
      <c r="A359" s="7">
        <v>44834</v>
      </c>
      <c r="B359">
        <v>5</v>
      </c>
      <c r="C359" t="s">
        <v>26</v>
      </c>
      <c r="D359">
        <v>2</v>
      </c>
      <c r="E359">
        <v>4</v>
      </c>
      <c r="F359" t="s">
        <v>27</v>
      </c>
      <c r="G359">
        <v>2</v>
      </c>
      <c r="H359" s="8">
        <v>0.36805555555555558</v>
      </c>
      <c r="I359" s="8">
        <v>0.41319444444444442</v>
      </c>
      <c r="J359" s="8">
        <f t="shared" si="15"/>
        <v>4.513888888888884E-2</v>
      </c>
      <c r="K359" s="12">
        <f t="shared" si="16"/>
        <v>1.0833333333333321</v>
      </c>
      <c r="L359" s="12">
        <f t="shared" si="17"/>
        <v>2.1666666666666643</v>
      </c>
      <c r="M359" t="s">
        <v>25</v>
      </c>
      <c r="N359" t="s">
        <v>409</v>
      </c>
      <c r="O359" s="18" t="s">
        <v>405</v>
      </c>
      <c r="P359">
        <v>0</v>
      </c>
      <c r="Q359" s="18">
        <v>0</v>
      </c>
      <c r="R359">
        <v>0</v>
      </c>
      <c r="S359" s="18">
        <v>0</v>
      </c>
      <c r="T359">
        <v>0</v>
      </c>
      <c r="U359" s="18">
        <v>0</v>
      </c>
    </row>
    <row r="360" spans="1:28" x14ac:dyDescent="0.3">
      <c r="A360" s="7">
        <v>44834</v>
      </c>
      <c r="B360">
        <v>5</v>
      </c>
      <c r="C360" t="s">
        <v>26</v>
      </c>
      <c r="D360">
        <v>2</v>
      </c>
      <c r="E360">
        <v>5</v>
      </c>
      <c r="F360" t="s">
        <v>27</v>
      </c>
      <c r="G360">
        <v>2</v>
      </c>
      <c r="H360" s="8">
        <v>0.375</v>
      </c>
      <c r="I360" s="8">
        <v>0.42708333333333331</v>
      </c>
      <c r="J360" s="8">
        <f t="shared" si="15"/>
        <v>5.2083333333333315E-2</v>
      </c>
      <c r="K360" s="12">
        <f t="shared" si="16"/>
        <v>1.2499999999999996</v>
      </c>
      <c r="L360" s="12">
        <f t="shared" si="17"/>
        <v>2.4999999999999991</v>
      </c>
      <c r="M360" t="s">
        <v>28</v>
      </c>
      <c r="N360" t="s">
        <v>411</v>
      </c>
      <c r="O360" s="18" t="s">
        <v>92</v>
      </c>
      <c r="P360">
        <v>0</v>
      </c>
      <c r="Q360" s="18">
        <v>0</v>
      </c>
      <c r="R360">
        <v>0</v>
      </c>
      <c r="S360" s="18">
        <v>0</v>
      </c>
      <c r="T360">
        <v>0</v>
      </c>
      <c r="U360" s="18">
        <v>0</v>
      </c>
    </row>
    <row r="361" spans="1:28" x14ac:dyDescent="0.3">
      <c r="A361" s="7">
        <v>44834</v>
      </c>
      <c r="B361">
        <v>5</v>
      </c>
      <c r="C361" t="s">
        <v>26</v>
      </c>
      <c r="D361">
        <v>2</v>
      </c>
      <c r="E361">
        <v>5</v>
      </c>
      <c r="F361" t="s">
        <v>27</v>
      </c>
      <c r="G361">
        <v>2</v>
      </c>
      <c r="H361" s="8">
        <v>0.41666666666666669</v>
      </c>
      <c r="I361" s="8">
        <v>0.43402777777777773</v>
      </c>
      <c r="J361" s="8">
        <f t="shared" si="15"/>
        <v>1.7361111111111049E-2</v>
      </c>
      <c r="K361" s="12">
        <f t="shared" si="16"/>
        <v>0.41666666666666519</v>
      </c>
      <c r="L361" s="12">
        <f t="shared" si="17"/>
        <v>0.83333333333333037</v>
      </c>
      <c r="M361" t="s">
        <v>28</v>
      </c>
      <c r="N361" t="s">
        <v>411</v>
      </c>
      <c r="O361" s="18" t="s">
        <v>405</v>
      </c>
      <c r="P361">
        <v>0</v>
      </c>
      <c r="Q361" s="18">
        <v>0</v>
      </c>
      <c r="R361">
        <v>0</v>
      </c>
      <c r="S361" s="18">
        <v>0</v>
      </c>
      <c r="T361">
        <v>0</v>
      </c>
      <c r="U361" s="18">
        <v>0</v>
      </c>
    </row>
    <row r="362" spans="1:28" x14ac:dyDescent="0.3">
      <c r="A362" s="7">
        <v>44834</v>
      </c>
      <c r="B362">
        <v>5</v>
      </c>
      <c r="C362" t="s">
        <v>26</v>
      </c>
      <c r="D362">
        <v>2</v>
      </c>
      <c r="E362">
        <v>5</v>
      </c>
      <c r="F362" t="s">
        <v>27</v>
      </c>
      <c r="G362">
        <v>2</v>
      </c>
      <c r="H362" s="8">
        <v>0.29166666666666669</v>
      </c>
      <c r="I362" s="8">
        <v>0.43402777777777773</v>
      </c>
      <c r="J362" s="8">
        <f t="shared" si="15"/>
        <v>0.14236111111111105</v>
      </c>
      <c r="K362" s="12">
        <f t="shared" si="16"/>
        <v>3.4166666666666652</v>
      </c>
      <c r="L362" s="12">
        <f t="shared" si="17"/>
        <v>6.8333333333333304</v>
      </c>
      <c r="M362" t="s">
        <v>28</v>
      </c>
      <c r="N362" t="s">
        <v>411</v>
      </c>
      <c r="O362" s="18" t="s">
        <v>405</v>
      </c>
      <c r="P362">
        <v>0</v>
      </c>
      <c r="Q362" s="18">
        <v>0</v>
      </c>
      <c r="R362">
        <v>0</v>
      </c>
      <c r="S362" s="18">
        <v>0</v>
      </c>
      <c r="T362">
        <v>0</v>
      </c>
      <c r="U362" s="18">
        <v>0</v>
      </c>
    </row>
    <row r="363" spans="1:28" s="26" customFormat="1" x14ac:dyDescent="0.3">
      <c r="A363" s="25">
        <v>44834</v>
      </c>
      <c r="B363" s="26">
        <v>5</v>
      </c>
      <c r="C363" s="26" t="s">
        <v>26</v>
      </c>
      <c r="D363" s="26">
        <v>2</v>
      </c>
      <c r="E363" s="26">
        <v>5</v>
      </c>
      <c r="F363" s="26" t="s">
        <v>27</v>
      </c>
      <c r="G363" s="26">
        <v>2</v>
      </c>
      <c r="H363" s="27">
        <v>0.41666666666666669</v>
      </c>
      <c r="I363" s="27">
        <v>0.43402777777777773</v>
      </c>
      <c r="J363" s="8">
        <f t="shared" si="15"/>
        <v>1.7361111111111049E-2</v>
      </c>
      <c r="K363" s="12">
        <f t="shared" si="16"/>
        <v>0.41666666666666519</v>
      </c>
      <c r="L363" s="12">
        <f t="shared" si="17"/>
        <v>0.83333333333333037</v>
      </c>
      <c r="M363" s="26" t="s">
        <v>28</v>
      </c>
      <c r="N363" s="26" t="s">
        <v>411</v>
      </c>
      <c r="O363" s="28" t="s">
        <v>405</v>
      </c>
      <c r="P363" s="26">
        <v>0</v>
      </c>
      <c r="Q363" s="28">
        <v>0</v>
      </c>
      <c r="R363" s="26">
        <v>0</v>
      </c>
      <c r="S363" s="28">
        <v>0</v>
      </c>
      <c r="T363" s="26">
        <v>0</v>
      </c>
      <c r="U363" s="28">
        <v>0</v>
      </c>
    </row>
    <row r="364" spans="1:28" x14ac:dyDescent="0.3">
      <c r="A364" s="7">
        <v>44835</v>
      </c>
      <c r="B364">
        <v>5</v>
      </c>
      <c r="C364" t="s">
        <v>42</v>
      </c>
      <c r="D364">
        <v>2</v>
      </c>
      <c r="E364">
        <v>4</v>
      </c>
      <c r="F364" t="s">
        <v>27</v>
      </c>
      <c r="G364">
        <v>1</v>
      </c>
      <c r="H364" s="8">
        <v>0.375</v>
      </c>
      <c r="I364" s="8">
        <v>0.54166666666666663</v>
      </c>
      <c r="J364" s="8">
        <f t="shared" si="15"/>
        <v>0.16666666666666663</v>
      </c>
      <c r="K364" s="12">
        <f t="shared" si="16"/>
        <v>3.9999999999999991</v>
      </c>
      <c r="L364" s="12">
        <f t="shared" si="17"/>
        <v>3.9999999999999991</v>
      </c>
      <c r="M364" t="s">
        <v>25</v>
      </c>
      <c r="N364" t="s">
        <v>408</v>
      </c>
      <c r="O364" s="18" t="s">
        <v>92</v>
      </c>
      <c r="P364">
        <v>0</v>
      </c>
      <c r="Q364" s="18">
        <v>0</v>
      </c>
      <c r="R364">
        <v>0</v>
      </c>
      <c r="S364" s="18">
        <v>0</v>
      </c>
      <c r="T364">
        <v>0</v>
      </c>
      <c r="U364" s="18">
        <v>0</v>
      </c>
      <c r="AB364" t="s">
        <v>459</v>
      </c>
    </row>
    <row r="365" spans="1:28" x14ac:dyDescent="0.3">
      <c r="A365" s="7">
        <v>44835</v>
      </c>
      <c r="B365">
        <v>5</v>
      </c>
      <c r="C365" t="s">
        <v>42</v>
      </c>
      <c r="D365">
        <v>1</v>
      </c>
      <c r="E365">
        <v>4</v>
      </c>
      <c r="F365" t="s">
        <v>27</v>
      </c>
      <c r="G365">
        <v>1</v>
      </c>
      <c r="H365" s="8">
        <v>0.52083333333333337</v>
      </c>
      <c r="I365" s="8">
        <v>0.57638888888888895</v>
      </c>
      <c r="J365" s="8">
        <f t="shared" si="15"/>
        <v>5.555555555555558E-2</v>
      </c>
      <c r="K365" s="12">
        <f t="shared" si="16"/>
        <v>1.3333333333333339</v>
      </c>
      <c r="L365" s="12">
        <f t="shared" si="17"/>
        <v>1.3333333333333339</v>
      </c>
      <c r="M365" t="s">
        <v>25</v>
      </c>
      <c r="N365" t="s">
        <v>408</v>
      </c>
      <c r="O365" s="18" t="s">
        <v>405</v>
      </c>
      <c r="P365">
        <v>0</v>
      </c>
      <c r="Q365" s="18">
        <v>0</v>
      </c>
      <c r="R365">
        <v>0</v>
      </c>
      <c r="S365" s="18">
        <v>0</v>
      </c>
      <c r="T365">
        <v>0</v>
      </c>
      <c r="U365" s="18">
        <v>0</v>
      </c>
    </row>
    <row r="366" spans="1:28" x14ac:dyDescent="0.3">
      <c r="A366" s="7">
        <v>44835</v>
      </c>
      <c r="B366">
        <v>5</v>
      </c>
      <c r="C366" t="s">
        <v>42</v>
      </c>
      <c r="D366">
        <v>1</v>
      </c>
      <c r="E366">
        <v>1</v>
      </c>
      <c r="F366" t="s">
        <v>35</v>
      </c>
      <c r="G366">
        <v>2</v>
      </c>
      <c r="H366" s="8">
        <v>0.28125</v>
      </c>
      <c r="I366" s="8">
        <v>0.59722222222222221</v>
      </c>
      <c r="J366" s="8">
        <f t="shared" si="15"/>
        <v>0.31597222222222221</v>
      </c>
      <c r="K366" s="12">
        <f t="shared" si="16"/>
        <v>7.583333333333333</v>
      </c>
      <c r="L366" s="12">
        <f t="shared" si="17"/>
        <v>15.166666666666666</v>
      </c>
      <c r="M366" t="s">
        <v>25</v>
      </c>
      <c r="N366" t="s">
        <v>412</v>
      </c>
      <c r="O366" s="18" t="s">
        <v>92</v>
      </c>
      <c r="P366">
        <v>0</v>
      </c>
      <c r="Q366" s="18">
        <v>0</v>
      </c>
      <c r="R366">
        <v>6</v>
      </c>
      <c r="S366" s="18">
        <v>0</v>
      </c>
      <c r="T366">
        <v>0</v>
      </c>
      <c r="U366" s="18">
        <v>0</v>
      </c>
      <c r="AB366" t="s">
        <v>460</v>
      </c>
    </row>
    <row r="367" spans="1:28" x14ac:dyDescent="0.3">
      <c r="A367" s="7">
        <v>44835</v>
      </c>
      <c r="B367">
        <v>5</v>
      </c>
      <c r="C367" t="s">
        <v>42</v>
      </c>
      <c r="D367">
        <v>1</v>
      </c>
      <c r="E367">
        <v>1</v>
      </c>
      <c r="F367" t="s">
        <v>35</v>
      </c>
      <c r="G367">
        <v>2</v>
      </c>
      <c r="H367" s="8">
        <v>0.20833333333333334</v>
      </c>
      <c r="I367" s="8">
        <v>0.60069444444444442</v>
      </c>
      <c r="J367" s="8">
        <f t="shared" si="15"/>
        <v>0.39236111111111105</v>
      </c>
      <c r="K367" s="12">
        <f t="shared" si="16"/>
        <v>9.4166666666666643</v>
      </c>
      <c r="L367" s="12">
        <f t="shared" si="17"/>
        <v>18.833333333333329</v>
      </c>
      <c r="M367" t="s">
        <v>25</v>
      </c>
      <c r="N367" t="s">
        <v>423</v>
      </c>
      <c r="O367" s="18" t="s">
        <v>92</v>
      </c>
      <c r="P367">
        <v>0</v>
      </c>
      <c r="Q367" s="18">
        <v>0</v>
      </c>
      <c r="R367">
        <v>0</v>
      </c>
      <c r="S367" s="18">
        <v>0</v>
      </c>
      <c r="T367">
        <v>0</v>
      </c>
      <c r="U367" s="18">
        <v>0</v>
      </c>
    </row>
    <row r="368" spans="1:28" x14ac:dyDescent="0.3">
      <c r="A368" s="7">
        <v>44835</v>
      </c>
      <c r="B368">
        <v>5</v>
      </c>
      <c r="C368" t="s">
        <v>42</v>
      </c>
      <c r="D368">
        <v>1</v>
      </c>
      <c r="E368">
        <v>4</v>
      </c>
      <c r="F368" t="s">
        <v>27</v>
      </c>
      <c r="G368">
        <v>4</v>
      </c>
      <c r="H368" s="8">
        <v>0.5625</v>
      </c>
      <c r="I368" s="8">
        <v>0.61111111111111105</v>
      </c>
      <c r="J368" s="8">
        <f t="shared" si="15"/>
        <v>4.8611111111111049E-2</v>
      </c>
      <c r="K368" s="12">
        <f t="shared" si="16"/>
        <v>1.1666666666666652</v>
      </c>
      <c r="L368" s="12">
        <f t="shared" si="17"/>
        <v>4.6666666666666607</v>
      </c>
      <c r="M368" t="s">
        <v>25</v>
      </c>
      <c r="N368" t="s">
        <v>415</v>
      </c>
      <c r="O368" s="18" t="s">
        <v>405</v>
      </c>
      <c r="P368">
        <v>0</v>
      </c>
      <c r="Q368" s="18">
        <v>0</v>
      </c>
      <c r="R368">
        <v>0</v>
      </c>
      <c r="S368" s="18">
        <v>0</v>
      </c>
      <c r="T368">
        <v>0</v>
      </c>
      <c r="U368" s="18">
        <v>0</v>
      </c>
    </row>
    <row r="369" spans="1:28" x14ac:dyDescent="0.3">
      <c r="A369" s="7">
        <v>44835</v>
      </c>
      <c r="B369">
        <v>5</v>
      </c>
      <c r="C369" t="s">
        <v>42</v>
      </c>
      <c r="D369">
        <v>1</v>
      </c>
      <c r="E369">
        <v>4</v>
      </c>
      <c r="F369" t="s">
        <v>27</v>
      </c>
      <c r="G369">
        <v>2</v>
      </c>
      <c r="H369" s="8">
        <v>0.58333333333333337</v>
      </c>
      <c r="I369" s="8">
        <v>0.61458333333333337</v>
      </c>
      <c r="J369" s="8">
        <f t="shared" si="15"/>
        <v>3.125E-2</v>
      </c>
      <c r="K369" s="12">
        <f t="shared" si="16"/>
        <v>0.75</v>
      </c>
      <c r="L369" s="12">
        <f t="shared" si="17"/>
        <v>1.5</v>
      </c>
      <c r="M369" t="s">
        <v>25</v>
      </c>
      <c r="N369" t="s">
        <v>411</v>
      </c>
      <c r="O369" s="18" t="s">
        <v>92</v>
      </c>
      <c r="P369">
        <v>0</v>
      </c>
      <c r="Q369" s="18">
        <v>0</v>
      </c>
      <c r="R369">
        <v>0</v>
      </c>
      <c r="S369" s="18">
        <v>0</v>
      </c>
      <c r="T369">
        <v>0</v>
      </c>
      <c r="U369" s="18">
        <v>0</v>
      </c>
      <c r="AB369" t="s">
        <v>461</v>
      </c>
    </row>
    <row r="370" spans="1:28" x14ac:dyDescent="0.3">
      <c r="A370" s="7">
        <v>44835</v>
      </c>
      <c r="B370">
        <v>5</v>
      </c>
      <c r="C370" t="s">
        <v>42</v>
      </c>
      <c r="D370">
        <v>2</v>
      </c>
      <c r="E370">
        <v>1</v>
      </c>
      <c r="F370" t="s">
        <v>27</v>
      </c>
      <c r="G370">
        <v>2</v>
      </c>
      <c r="H370" s="8">
        <v>0.59027777777777779</v>
      </c>
      <c r="I370" s="8">
        <v>0.62847222222222221</v>
      </c>
      <c r="J370" s="8">
        <f t="shared" si="15"/>
        <v>3.819444444444442E-2</v>
      </c>
      <c r="K370" s="12">
        <f t="shared" si="16"/>
        <v>0.91666666666666607</v>
      </c>
      <c r="L370" s="12">
        <f t="shared" si="17"/>
        <v>1.8333333333333321</v>
      </c>
      <c r="M370" t="s">
        <v>28</v>
      </c>
      <c r="N370" t="s">
        <v>408</v>
      </c>
      <c r="O370" s="18" t="s">
        <v>410</v>
      </c>
      <c r="P370">
        <v>0</v>
      </c>
      <c r="Q370" s="18">
        <v>0</v>
      </c>
      <c r="R370">
        <v>0</v>
      </c>
      <c r="S370" s="18">
        <v>0</v>
      </c>
      <c r="T370">
        <v>0</v>
      </c>
      <c r="U370" s="18">
        <v>0</v>
      </c>
    </row>
    <row r="371" spans="1:28" x14ac:dyDescent="0.3">
      <c r="A371" s="7">
        <v>44835</v>
      </c>
      <c r="B371">
        <v>5</v>
      </c>
      <c r="C371" t="s">
        <v>42</v>
      </c>
      <c r="D371">
        <v>2</v>
      </c>
      <c r="E371">
        <v>2</v>
      </c>
      <c r="F371" t="s">
        <v>27</v>
      </c>
      <c r="G371">
        <v>2</v>
      </c>
      <c r="H371" s="8">
        <v>0.54166666666666663</v>
      </c>
      <c r="I371" s="8">
        <v>0.63541666666666663</v>
      </c>
      <c r="J371" s="8">
        <f t="shared" si="15"/>
        <v>9.375E-2</v>
      </c>
      <c r="K371" s="12">
        <f t="shared" si="16"/>
        <v>2.25</v>
      </c>
      <c r="L371" s="12">
        <f t="shared" si="17"/>
        <v>4.5</v>
      </c>
      <c r="M371" t="s">
        <v>28</v>
      </c>
      <c r="N371" t="s">
        <v>408</v>
      </c>
      <c r="O371" s="18" t="s">
        <v>92</v>
      </c>
      <c r="P371">
        <v>0</v>
      </c>
      <c r="Q371" s="18">
        <v>0</v>
      </c>
      <c r="R371">
        <v>0</v>
      </c>
      <c r="S371" s="18">
        <v>0</v>
      </c>
      <c r="T371">
        <v>0</v>
      </c>
      <c r="U371" s="18">
        <v>0</v>
      </c>
    </row>
    <row r="372" spans="1:28" x14ac:dyDescent="0.3">
      <c r="A372" s="7">
        <v>44835</v>
      </c>
      <c r="B372">
        <v>5</v>
      </c>
      <c r="C372" t="s">
        <v>42</v>
      </c>
      <c r="D372">
        <v>2</v>
      </c>
      <c r="E372">
        <v>4</v>
      </c>
      <c r="F372" t="s">
        <v>27</v>
      </c>
      <c r="G372">
        <v>2</v>
      </c>
      <c r="H372" s="8">
        <v>0.625</v>
      </c>
      <c r="I372" s="8">
        <v>0.66319444444444442</v>
      </c>
      <c r="J372" s="8">
        <f t="shared" si="15"/>
        <v>3.819444444444442E-2</v>
      </c>
      <c r="K372" s="12">
        <f t="shared" si="16"/>
        <v>0.91666666666666607</v>
      </c>
      <c r="L372" s="12">
        <f t="shared" si="17"/>
        <v>1.8333333333333321</v>
      </c>
      <c r="M372" t="s">
        <v>28</v>
      </c>
      <c r="N372" t="s">
        <v>411</v>
      </c>
      <c r="O372" s="18" t="s">
        <v>92</v>
      </c>
      <c r="P372">
        <v>0</v>
      </c>
      <c r="Q372" s="18">
        <v>0</v>
      </c>
      <c r="R372">
        <v>0</v>
      </c>
      <c r="S372" s="18">
        <v>0</v>
      </c>
      <c r="T372">
        <v>0</v>
      </c>
      <c r="U372" s="18">
        <v>0</v>
      </c>
    </row>
    <row r="373" spans="1:28" x14ac:dyDescent="0.3">
      <c r="A373" s="7">
        <v>44835</v>
      </c>
      <c r="B373">
        <v>5</v>
      </c>
      <c r="C373" t="s">
        <v>42</v>
      </c>
      <c r="D373">
        <v>2</v>
      </c>
      <c r="E373">
        <v>4</v>
      </c>
      <c r="F373" t="s">
        <v>27</v>
      </c>
      <c r="G373">
        <v>2</v>
      </c>
      <c r="H373" s="8">
        <v>0.5625</v>
      </c>
      <c r="I373" s="8">
        <v>0.66319444444444442</v>
      </c>
      <c r="J373" s="8">
        <f t="shared" si="15"/>
        <v>0.10069444444444442</v>
      </c>
      <c r="K373" s="12">
        <f t="shared" si="16"/>
        <v>2.4166666666666661</v>
      </c>
      <c r="L373" s="12">
        <f t="shared" si="17"/>
        <v>4.8333333333333321</v>
      </c>
      <c r="M373" t="s">
        <v>28</v>
      </c>
      <c r="N373" t="s">
        <v>404</v>
      </c>
      <c r="O373" s="18" t="s">
        <v>405</v>
      </c>
      <c r="P373">
        <v>0</v>
      </c>
      <c r="Q373" s="18">
        <v>0</v>
      </c>
      <c r="R373">
        <v>0</v>
      </c>
      <c r="S373" s="18">
        <v>0</v>
      </c>
      <c r="T373">
        <v>0</v>
      </c>
      <c r="U373" s="18">
        <v>0</v>
      </c>
    </row>
    <row r="374" spans="1:28" s="26" customFormat="1" x14ac:dyDescent="0.3">
      <c r="A374" s="25">
        <v>44835</v>
      </c>
      <c r="B374" s="26">
        <v>5</v>
      </c>
      <c r="C374" s="26" t="s">
        <v>42</v>
      </c>
      <c r="D374" s="26">
        <v>2</v>
      </c>
      <c r="E374" s="26">
        <v>5</v>
      </c>
      <c r="F374" s="26" t="s">
        <v>27</v>
      </c>
      <c r="G374" s="26">
        <v>1</v>
      </c>
      <c r="H374" s="27">
        <v>0.66666666666666663</v>
      </c>
      <c r="I374" s="27">
        <v>0.73263888888888884</v>
      </c>
      <c r="J374" s="8">
        <f t="shared" si="15"/>
        <v>6.597222222222221E-2</v>
      </c>
      <c r="K374" s="12">
        <f t="shared" si="16"/>
        <v>1.583333333333333</v>
      </c>
      <c r="L374" s="12">
        <f t="shared" si="17"/>
        <v>1.583333333333333</v>
      </c>
      <c r="M374" s="26" t="s">
        <v>25</v>
      </c>
      <c r="N374" s="26" t="s">
        <v>411</v>
      </c>
      <c r="O374" s="28" t="s">
        <v>422</v>
      </c>
      <c r="P374" s="26">
        <v>0</v>
      </c>
      <c r="Q374" s="28">
        <v>0</v>
      </c>
      <c r="R374" s="26">
        <v>0</v>
      </c>
      <c r="S374" s="28">
        <v>0</v>
      </c>
      <c r="T374" s="26">
        <v>0</v>
      </c>
      <c r="U374" s="28">
        <v>0</v>
      </c>
    </row>
    <row r="375" spans="1:28" x14ac:dyDescent="0.3">
      <c r="A375" s="7">
        <v>44839</v>
      </c>
      <c r="B375">
        <v>6</v>
      </c>
      <c r="C375" t="s">
        <v>26</v>
      </c>
      <c r="D375">
        <v>2</v>
      </c>
      <c r="E375">
        <v>5</v>
      </c>
      <c r="F375" t="s">
        <v>27</v>
      </c>
      <c r="G375">
        <v>2</v>
      </c>
      <c r="H375" s="8">
        <v>0.27083333333333331</v>
      </c>
      <c r="I375" s="8">
        <v>0.38194444444444442</v>
      </c>
      <c r="J375" s="8">
        <f t="shared" si="15"/>
        <v>0.1111111111111111</v>
      </c>
      <c r="K375" s="12">
        <f t="shared" si="16"/>
        <v>2.6666666666666665</v>
      </c>
      <c r="L375" s="12">
        <f t="shared" si="17"/>
        <v>5.333333333333333</v>
      </c>
      <c r="M375" t="s">
        <v>28</v>
      </c>
      <c r="N375" t="s">
        <v>411</v>
      </c>
      <c r="O375" s="18" t="s">
        <v>422</v>
      </c>
      <c r="P375">
        <v>0</v>
      </c>
      <c r="Q375" s="18">
        <v>1</v>
      </c>
      <c r="R375">
        <v>0</v>
      </c>
      <c r="S375" s="18">
        <v>0</v>
      </c>
      <c r="T375">
        <v>0</v>
      </c>
      <c r="U375" s="18">
        <v>0</v>
      </c>
      <c r="W375">
        <v>1</v>
      </c>
      <c r="AB375" t="s">
        <v>462</v>
      </c>
    </row>
    <row r="376" spans="1:28" x14ac:dyDescent="0.3">
      <c r="A376" s="7">
        <v>44839</v>
      </c>
      <c r="B376">
        <v>6</v>
      </c>
      <c r="C376" t="s">
        <v>26</v>
      </c>
      <c r="D376">
        <v>2</v>
      </c>
      <c r="E376">
        <v>3</v>
      </c>
      <c r="F376" t="s">
        <v>27</v>
      </c>
      <c r="G376">
        <v>1</v>
      </c>
      <c r="H376" s="8">
        <v>0.35416666666666669</v>
      </c>
      <c r="I376" s="8">
        <v>0.39930555555555558</v>
      </c>
      <c r="J376" s="8">
        <f t="shared" si="15"/>
        <v>4.5138888888888895E-2</v>
      </c>
      <c r="K376" s="12">
        <f t="shared" si="16"/>
        <v>1.0833333333333335</v>
      </c>
      <c r="L376" s="12">
        <f t="shared" si="17"/>
        <v>1.0833333333333335</v>
      </c>
      <c r="M376" t="s">
        <v>28</v>
      </c>
      <c r="N376" t="s">
        <v>411</v>
      </c>
      <c r="O376" s="18" t="s">
        <v>422</v>
      </c>
      <c r="P376">
        <v>0</v>
      </c>
      <c r="Q376" s="18">
        <v>0</v>
      </c>
      <c r="R376">
        <v>0</v>
      </c>
      <c r="S376" s="18">
        <v>0</v>
      </c>
      <c r="T376">
        <v>0</v>
      </c>
      <c r="U376" s="18">
        <v>0</v>
      </c>
    </row>
    <row r="377" spans="1:28" x14ac:dyDescent="0.3">
      <c r="A377" s="7">
        <v>44839</v>
      </c>
      <c r="B377">
        <v>6</v>
      </c>
      <c r="C377" t="s">
        <v>26</v>
      </c>
      <c r="D377">
        <v>2</v>
      </c>
      <c r="E377">
        <v>3</v>
      </c>
      <c r="F377" t="s">
        <v>27</v>
      </c>
      <c r="G377">
        <v>2</v>
      </c>
      <c r="H377" s="8">
        <v>0.375</v>
      </c>
      <c r="I377" s="8">
        <v>0.39930555555555558</v>
      </c>
      <c r="J377" s="8">
        <f t="shared" si="15"/>
        <v>2.430555555555558E-2</v>
      </c>
      <c r="K377" s="12">
        <f t="shared" si="16"/>
        <v>0.58333333333333393</v>
      </c>
      <c r="L377" s="12">
        <f t="shared" si="17"/>
        <v>1.1666666666666679</v>
      </c>
      <c r="M377" t="s">
        <v>28</v>
      </c>
      <c r="N377" t="s">
        <v>411</v>
      </c>
      <c r="O377" s="18" t="s">
        <v>92</v>
      </c>
      <c r="P377">
        <v>0</v>
      </c>
      <c r="Q377" s="18">
        <v>0</v>
      </c>
      <c r="R377">
        <v>0</v>
      </c>
      <c r="S377" s="18">
        <v>0</v>
      </c>
      <c r="T377">
        <v>0</v>
      </c>
      <c r="U377" s="18">
        <v>0</v>
      </c>
    </row>
    <row r="378" spans="1:28" x14ac:dyDescent="0.3">
      <c r="A378" s="7">
        <v>44839</v>
      </c>
      <c r="B378">
        <v>6</v>
      </c>
      <c r="C378" t="s">
        <v>26</v>
      </c>
      <c r="D378">
        <v>2</v>
      </c>
      <c r="E378">
        <v>2</v>
      </c>
      <c r="F378" t="s">
        <v>27</v>
      </c>
      <c r="G378">
        <v>2</v>
      </c>
      <c r="H378" s="8">
        <v>0.36805555555555558</v>
      </c>
      <c r="I378" s="8">
        <v>0.40972222222222227</v>
      </c>
      <c r="J378" s="8">
        <f t="shared" si="15"/>
        <v>4.1666666666666685E-2</v>
      </c>
      <c r="K378" s="12">
        <f t="shared" si="16"/>
        <v>1.0000000000000004</v>
      </c>
      <c r="L378" s="12">
        <f t="shared" si="17"/>
        <v>2.0000000000000009</v>
      </c>
      <c r="M378" t="s">
        <v>28</v>
      </c>
      <c r="N378" t="s">
        <v>411</v>
      </c>
      <c r="O378" s="18" t="s">
        <v>92</v>
      </c>
      <c r="P378">
        <v>1</v>
      </c>
      <c r="Q378" s="18">
        <v>0</v>
      </c>
      <c r="R378">
        <v>2</v>
      </c>
      <c r="S378" s="18">
        <v>0</v>
      </c>
      <c r="T378">
        <v>0</v>
      </c>
      <c r="U378" s="18">
        <v>0</v>
      </c>
      <c r="V378">
        <v>1</v>
      </c>
      <c r="X378">
        <v>2</v>
      </c>
      <c r="AB378" t="s">
        <v>434</v>
      </c>
    </row>
    <row r="379" spans="1:28" x14ac:dyDescent="0.3">
      <c r="A379" s="7">
        <v>44839</v>
      </c>
      <c r="B379">
        <v>6</v>
      </c>
      <c r="C379" t="s">
        <v>26</v>
      </c>
      <c r="D379">
        <v>2</v>
      </c>
      <c r="E379">
        <v>1</v>
      </c>
      <c r="F379" t="s">
        <v>27</v>
      </c>
      <c r="G379">
        <v>1</v>
      </c>
      <c r="H379" s="8">
        <v>0.4201388888888889</v>
      </c>
      <c r="I379" s="8">
        <v>0.42708333333333331</v>
      </c>
      <c r="J379" s="8">
        <f t="shared" si="15"/>
        <v>6.9444444444444198E-3</v>
      </c>
      <c r="K379" s="12">
        <f t="shared" si="16"/>
        <v>0.16666666666666607</v>
      </c>
      <c r="L379" s="12">
        <f t="shared" si="17"/>
        <v>0.16666666666666607</v>
      </c>
      <c r="M379" t="s">
        <v>25</v>
      </c>
      <c r="N379" t="s">
        <v>411</v>
      </c>
      <c r="O379" s="18" t="s">
        <v>405</v>
      </c>
      <c r="P379">
        <v>0</v>
      </c>
      <c r="Q379" s="18">
        <v>0</v>
      </c>
      <c r="R379">
        <v>0</v>
      </c>
      <c r="S379" s="18">
        <v>0</v>
      </c>
      <c r="T379">
        <v>0</v>
      </c>
      <c r="U379" s="18">
        <v>0</v>
      </c>
    </row>
    <row r="380" spans="1:28" x14ac:dyDescent="0.3">
      <c r="A380" s="7">
        <v>44839</v>
      </c>
      <c r="B380">
        <v>6</v>
      </c>
      <c r="C380" t="s">
        <v>26</v>
      </c>
      <c r="D380">
        <v>2</v>
      </c>
      <c r="E380">
        <v>2</v>
      </c>
      <c r="F380" t="s">
        <v>27</v>
      </c>
      <c r="G380">
        <v>1</v>
      </c>
      <c r="H380" s="8">
        <v>0.33333333333333331</v>
      </c>
      <c r="I380" s="8">
        <v>0.43402777777777773</v>
      </c>
      <c r="J380" s="8">
        <f t="shared" si="15"/>
        <v>0.10069444444444442</v>
      </c>
      <c r="K380" s="12">
        <f t="shared" si="16"/>
        <v>2.4166666666666661</v>
      </c>
      <c r="L380" s="12">
        <f t="shared" si="17"/>
        <v>2.4166666666666661</v>
      </c>
      <c r="M380" t="s">
        <v>25</v>
      </c>
      <c r="N380" t="s">
        <v>411</v>
      </c>
      <c r="O380" s="18" t="s">
        <v>405</v>
      </c>
      <c r="P380">
        <v>0</v>
      </c>
      <c r="Q380" s="18">
        <v>0</v>
      </c>
      <c r="R380">
        <v>1</v>
      </c>
      <c r="S380" s="18">
        <v>0</v>
      </c>
      <c r="T380">
        <v>0</v>
      </c>
      <c r="U380" s="18">
        <v>0</v>
      </c>
      <c r="X380">
        <v>1</v>
      </c>
      <c r="AB380" t="s">
        <v>427</v>
      </c>
    </row>
    <row r="381" spans="1:28" x14ac:dyDescent="0.3">
      <c r="A381" s="7">
        <v>44839</v>
      </c>
      <c r="B381">
        <v>6</v>
      </c>
      <c r="C381" t="s">
        <v>26</v>
      </c>
      <c r="D381">
        <v>2</v>
      </c>
      <c r="E381">
        <v>2</v>
      </c>
      <c r="F381" t="s">
        <v>27</v>
      </c>
      <c r="G381">
        <v>3</v>
      </c>
      <c r="H381" s="8">
        <v>0.30555555555555552</v>
      </c>
      <c r="I381" s="8">
        <v>0.43402777777777773</v>
      </c>
      <c r="J381" s="8">
        <f t="shared" si="15"/>
        <v>0.12847222222222221</v>
      </c>
      <c r="K381" s="12">
        <f t="shared" si="16"/>
        <v>3.083333333333333</v>
      </c>
      <c r="L381" s="12">
        <f t="shared" si="17"/>
        <v>9.25</v>
      </c>
      <c r="M381" t="s">
        <v>25</v>
      </c>
      <c r="N381" t="s">
        <v>411</v>
      </c>
      <c r="O381" s="18" t="s">
        <v>422</v>
      </c>
      <c r="P381">
        <v>0</v>
      </c>
      <c r="Q381" s="18">
        <v>0</v>
      </c>
      <c r="R381">
        <v>3</v>
      </c>
      <c r="S381" s="18">
        <v>0</v>
      </c>
      <c r="T381">
        <v>0</v>
      </c>
      <c r="U381" s="18">
        <v>0</v>
      </c>
    </row>
    <row r="382" spans="1:28" x14ac:dyDescent="0.3">
      <c r="A382" s="7">
        <v>44839</v>
      </c>
      <c r="B382">
        <v>6</v>
      </c>
      <c r="C382" t="s">
        <v>26</v>
      </c>
      <c r="D382">
        <v>2</v>
      </c>
      <c r="E382">
        <v>2</v>
      </c>
      <c r="F382" t="s">
        <v>27</v>
      </c>
      <c r="G382">
        <v>1</v>
      </c>
      <c r="H382" s="8">
        <v>0.42708333333333331</v>
      </c>
      <c r="I382" s="8">
        <v>0.4375</v>
      </c>
      <c r="J382" s="8">
        <f t="shared" si="15"/>
        <v>1.0416666666666685E-2</v>
      </c>
      <c r="K382" s="12">
        <f t="shared" si="16"/>
        <v>0.25000000000000044</v>
      </c>
      <c r="L382" s="12">
        <f t="shared" si="17"/>
        <v>0.25000000000000044</v>
      </c>
      <c r="M382" t="s">
        <v>28</v>
      </c>
      <c r="N382" t="s">
        <v>408</v>
      </c>
      <c r="O382" s="18" t="s">
        <v>407</v>
      </c>
      <c r="P382">
        <v>0</v>
      </c>
      <c r="Q382" s="18">
        <v>0</v>
      </c>
      <c r="R382">
        <v>0</v>
      </c>
      <c r="S382" s="18">
        <v>0</v>
      </c>
      <c r="T382">
        <v>0</v>
      </c>
      <c r="U382" s="18">
        <v>0</v>
      </c>
    </row>
    <row r="383" spans="1:28" x14ac:dyDescent="0.3">
      <c r="A383" s="7">
        <v>44839</v>
      </c>
      <c r="B383">
        <v>6</v>
      </c>
      <c r="C383" t="s">
        <v>26</v>
      </c>
      <c r="D383">
        <v>2</v>
      </c>
      <c r="E383">
        <v>2</v>
      </c>
      <c r="F383" t="s">
        <v>27</v>
      </c>
      <c r="G383">
        <v>1</v>
      </c>
      <c r="H383" s="8">
        <v>0.33333333333333331</v>
      </c>
      <c r="I383" s="8">
        <v>0.4861111111111111</v>
      </c>
      <c r="J383" s="8">
        <f t="shared" si="15"/>
        <v>0.15277777777777779</v>
      </c>
      <c r="K383" s="12">
        <f t="shared" si="16"/>
        <v>3.666666666666667</v>
      </c>
      <c r="L383" s="12">
        <f t="shared" si="17"/>
        <v>3.666666666666667</v>
      </c>
      <c r="M383" t="s">
        <v>25</v>
      </c>
      <c r="N383" t="s">
        <v>411</v>
      </c>
      <c r="O383" s="18" t="s">
        <v>92</v>
      </c>
      <c r="P383">
        <v>0</v>
      </c>
      <c r="Q383" s="18">
        <v>0</v>
      </c>
      <c r="R383">
        <v>0</v>
      </c>
      <c r="S383" s="18">
        <v>0</v>
      </c>
      <c r="T383">
        <v>0</v>
      </c>
      <c r="U383" s="18">
        <v>0</v>
      </c>
    </row>
    <row r="384" spans="1:28" x14ac:dyDescent="0.3">
      <c r="A384" s="7">
        <v>44839</v>
      </c>
      <c r="B384">
        <v>6</v>
      </c>
      <c r="C384" t="s">
        <v>26</v>
      </c>
      <c r="D384">
        <v>2</v>
      </c>
      <c r="E384">
        <v>2</v>
      </c>
      <c r="F384" t="s">
        <v>27</v>
      </c>
      <c r="G384">
        <v>1</v>
      </c>
      <c r="H384" s="8">
        <v>0.35416666666666669</v>
      </c>
      <c r="I384" s="8">
        <v>0.44791666666666669</v>
      </c>
      <c r="J384" s="8">
        <f t="shared" si="15"/>
        <v>9.375E-2</v>
      </c>
      <c r="K384" s="12">
        <f t="shared" si="16"/>
        <v>2.25</v>
      </c>
      <c r="L384" s="12">
        <f t="shared" si="17"/>
        <v>2.25</v>
      </c>
      <c r="M384" t="s">
        <v>28</v>
      </c>
      <c r="N384" t="s">
        <v>463</v>
      </c>
      <c r="O384" s="18" t="s">
        <v>92</v>
      </c>
      <c r="P384">
        <v>0</v>
      </c>
      <c r="Q384" s="18">
        <v>0</v>
      </c>
      <c r="R384">
        <v>0</v>
      </c>
      <c r="S384" s="18">
        <v>0</v>
      </c>
      <c r="T384">
        <v>0</v>
      </c>
      <c r="U384" s="18">
        <v>0</v>
      </c>
    </row>
    <row r="385" spans="1:28" x14ac:dyDescent="0.3">
      <c r="A385" s="7">
        <v>44839</v>
      </c>
      <c r="B385">
        <v>6</v>
      </c>
      <c r="C385" t="s">
        <v>26</v>
      </c>
      <c r="D385">
        <v>2</v>
      </c>
      <c r="E385">
        <v>2</v>
      </c>
      <c r="F385" t="s">
        <v>27</v>
      </c>
      <c r="G385">
        <v>1</v>
      </c>
      <c r="H385" s="8">
        <v>0.375</v>
      </c>
      <c r="I385" s="8">
        <v>0.44791666666666669</v>
      </c>
      <c r="J385" s="8">
        <f t="shared" si="15"/>
        <v>7.2916666666666685E-2</v>
      </c>
      <c r="K385" s="12">
        <f t="shared" si="16"/>
        <v>1.7500000000000004</v>
      </c>
      <c r="L385" s="12">
        <f t="shared" si="17"/>
        <v>1.7500000000000004</v>
      </c>
      <c r="M385" t="s">
        <v>25</v>
      </c>
      <c r="N385" t="s">
        <v>406</v>
      </c>
      <c r="O385" s="18" t="s">
        <v>422</v>
      </c>
      <c r="P385">
        <v>0</v>
      </c>
      <c r="Q385" s="18">
        <v>0</v>
      </c>
      <c r="R385">
        <v>1</v>
      </c>
      <c r="S385" s="18">
        <v>0</v>
      </c>
      <c r="T385">
        <v>0</v>
      </c>
      <c r="U385" s="18">
        <v>0</v>
      </c>
    </row>
    <row r="386" spans="1:28" x14ac:dyDescent="0.3">
      <c r="A386" s="7">
        <v>44839</v>
      </c>
      <c r="B386">
        <v>6</v>
      </c>
      <c r="C386" t="s">
        <v>26</v>
      </c>
      <c r="D386">
        <v>2</v>
      </c>
      <c r="E386">
        <v>2</v>
      </c>
      <c r="F386" t="s">
        <v>27</v>
      </c>
      <c r="G386">
        <v>1</v>
      </c>
      <c r="H386" s="8">
        <v>0.41666666666666669</v>
      </c>
      <c r="I386" s="8">
        <v>0.46180555555555558</v>
      </c>
      <c r="J386" s="8">
        <f t="shared" si="15"/>
        <v>4.5138888888888895E-2</v>
      </c>
      <c r="K386" s="12">
        <f t="shared" si="16"/>
        <v>1.0833333333333335</v>
      </c>
      <c r="L386" s="12">
        <f t="shared" si="17"/>
        <v>1.0833333333333335</v>
      </c>
      <c r="M386" t="s">
        <v>28</v>
      </c>
      <c r="N386" t="s">
        <v>411</v>
      </c>
      <c r="O386" s="18" t="s">
        <v>407</v>
      </c>
      <c r="P386">
        <v>0</v>
      </c>
      <c r="Q386" s="18">
        <v>0</v>
      </c>
      <c r="R386">
        <v>0</v>
      </c>
      <c r="S386" s="18">
        <v>0</v>
      </c>
      <c r="T386">
        <v>0</v>
      </c>
      <c r="U386" s="18">
        <v>0</v>
      </c>
    </row>
    <row r="387" spans="1:28" x14ac:dyDescent="0.3">
      <c r="A387" s="7">
        <v>44839</v>
      </c>
      <c r="B387">
        <v>6</v>
      </c>
      <c r="C387" t="s">
        <v>26</v>
      </c>
      <c r="D387">
        <v>2</v>
      </c>
      <c r="E387">
        <v>2</v>
      </c>
      <c r="F387" t="s">
        <v>27</v>
      </c>
      <c r="G387">
        <v>2</v>
      </c>
      <c r="H387" s="8">
        <v>0.39583333333333331</v>
      </c>
      <c r="I387" s="8">
        <v>0.46180555555555558</v>
      </c>
      <c r="J387" s="8">
        <f t="shared" ref="J387:J450" si="18">I387-H387</f>
        <v>6.5972222222222265E-2</v>
      </c>
      <c r="K387" s="12">
        <f t="shared" ref="K387:K450" si="19">(J387-INT(J387))*24</f>
        <v>1.5833333333333344</v>
      </c>
      <c r="L387" s="12">
        <f t="shared" si="17"/>
        <v>3.1666666666666687</v>
      </c>
      <c r="M387" t="s">
        <v>28</v>
      </c>
      <c r="N387" t="s">
        <v>411</v>
      </c>
      <c r="O387" s="18" t="s">
        <v>92</v>
      </c>
      <c r="P387">
        <v>0</v>
      </c>
      <c r="Q387" s="18">
        <v>0</v>
      </c>
      <c r="R387">
        <v>0</v>
      </c>
      <c r="S387" s="18">
        <v>0</v>
      </c>
      <c r="T387">
        <v>0</v>
      </c>
      <c r="U387" s="18">
        <v>0</v>
      </c>
    </row>
    <row r="388" spans="1:28" s="26" customFormat="1" x14ac:dyDescent="0.3">
      <c r="A388" s="25">
        <v>44839</v>
      </c>
      <c r="B388" s="26">
        <v>6</v>
      </c>
      <c r="C388" s="26" t="s">
        <v>26</v>
      </c>
      <c r="D388" s="26">
        <v>2</v>
      </c>
      <c r="E388" s="26">
        <v>2</v>
      </c>
      <c r="F388" s="26" t="s">
        <v>27</v>
      </c>
      <c r="G388" s="26">
        <v>1</v>
      </c>
      <c r="H388" s="27">
        <v>0.375</v>
      </c>
      <c r="I388" s="27">
        <v>0.46180555555555558</v>
      </c>
      <c r="J388" s="8">
        <f t="shared" si="18"/>
        <v>8.680555555555558E-2</v>
      </c>
      <c r="K388" s="12">
        <f t="shared" si="19"/>
        <v>2.0833333333333339</v>
      </c>
      <c r="L388" s="12">
        <f t="shared" ref="L388:L451" si="20">G388*K388</f>
        <v>2.0833333333333339</v>
      </c>
      <c r="M388" s="26" t="s">
        <v>28</v>
      </c>
      <c r="N388" s="26" t="s">
        <v>411</v>
      </c>
      <c r="O388" s="28" t="s">
        <v>92</v>
      </c>
      <c r="P388" s="26">
        <v>0</v>
      </c>
      <c r="Q388" s="28">
        <v>0</v>
      </c>
      <c r="R388" s="26">
        <v>0</v>
      </c>
      <c r="S388" s="28">
        <v>0</v>
      </c>
      <c r="T388" s="26">
        <v>0</v>
      </c>
      <c r="U388" s="28">
        <v>0</v>
      </c>
    </row>
    <row r="389" spans="1:28" x14ac:dyDescent="0.3">
      <c r="A389" s="7">
        <v>44839</v>
      </c>
      <c r="B389">
        <v>6</v>
      </c>
      <c r="C389" t="s">
        <v>42</v>
      </c>
      <c r="D389">
        <v>3</v>
      </c>
      <c r="E389">
        <v>8</v>
      </c>
      <c r="F389" t="s">
        <v>27</v>
      </c>
      <c r="G389">
        <v>2</v>
      </c>
      <c r="H389" s="8">
        <v>0.54166666666666663</v>
      </c>
      <c r="I389" s="8">
        <v>0.63888888888888895</v>
      </c>
      <c r="J389" s="8">
        <f t="shared" si="18"/>
        <v>9.7222222222222321E-2</v>
      </c>
      <c r="K389" s="12">
        <f t="shared" si="19"/>
        <v>2.3333333333333357</v>
      </c>
      <c r="L389" s="12">
        <f t="shared" si="20"/>
        <v>4.6666666666666714</v>
      </c>
      <c r="M389" t="s">
        <v>25</v>
      </c>
      <c r="N389" t="s">
        <v>404</v>
      </c>
      <c r="O389" s="18" t="s">
        <v>422</v>
      </c>
      <c r="P389">
        <v>0</v>
      </c>
      <c r="Q389" s="18">
        <v>0</v>
      </c>
      <c r="R389">
        <v>6</v>
      </c>
      <c r="S389" s="18">
        <v>1</v>
      </c>
      <c r="T389">
        <v>0</v>
      </c>
      <c r="U389" s="18">
        <v>0</v>
      </c>
    </row>
    <row r="390" spans="1:28" x14ac:dyDescent="0.3">
      <c r="A390" s="7">
        <v>44839</v>
      </c>
      <c r="B390">
        <v>6</v>
      </c>
      <c r="C390" t="s">
        <v>42</v>
      </c>
      <c r="D390">
        <v>3</v>
      </c>
      <c r="E390">
        <v>8</v>
      </c>
      <c r="F390" t="s">
        <v>27</v>
      </c>
      <c r="G390">
        <v>1</v>
      </c>
      <c r="H390" s="8">
        <v>0.5</v>
      </c>
      <c r="I390" s="8">
        <v>0.64583333333333337</v>
      </c>
      <c r="J390" s="8">
        <f t="shared" si="18"/>
        <v>0.14583333333333337</v>
      </c>
      <c r="K390" s="12">
        <f t="shared" si="19"/>
        <v>3.5000000000000009</v>
      </c>
      <c r="L390" s="12">
        <f t="shared" si="20"/>
        <v>3.5000000000000009</v>
      </c>
      <c r="M390" t="s">
        <v>25</v>
      </c>
      <c r="N390" t="s">
        <v>404</v>
      </c>
      <c r="O390" s="18" t="s">
        <v>422</v>
      </c>
      <c r="P390">
        <v>0</v>
      </c>
      <c r="Q390" s="18">
        <v>0</v>
      </c>
      <c r="R390">
        <v>3</v>
      </c>
      <c r="S390" s="18">
        <v>0</v>
      </c>
      <c r="T390">
        <v>0</v>
      </c>
      <c r="U390" s="18">
        <v>0</v>
      </c>
    </row>
    <row r="391" spans="1:28" x14ac:dyDescent="0.3">
      <c r="A391" s="7">
        <v>44839</v>
      </c>
      <c r="B391">
        <v>6</v>
      </c>
      <c r="C391" t="s">
        <v>42</v>
      </c>
      <c r="D391">
        <v>3</v>
      </c>
      <c r="E391">
        <v>8</v>
      </c>
      <c r="F391" t="s">
        <v>27</v>
      </c>
      <c r="G391">
        <v>1</v>
      </c>
      <c r="H391" s="8">
        <v>0.5625</v>
      </c>
      <c r="I391" s="8">
        <v>0.64583333333333337</v>
      </c>
      <c r="J391" s="8">
        <f t="shared" si="18"/>
        <v>8.333333333333337E-2</v>
      </c>
      <c r="K391" s="12">
        <f t="shared" si="19"/>
        <v>2.0000000000000009</v>
      </c>
      <c r="L391" s="12">
        <f t="shared" si="20"/>
        <v>2.0000000000000009</v>
      </c>
      <c r="M391" t="s">
        <v>25</v>
      </c>
      <c r="N391" t="s">
        <v>404</v>
      </c>
      <c r="O391" s="18" t="s">
        <v>92</v>
      </c>
      <c r="P391">
        <v>0</v>
      </c>
      <c r="Q391" s="18">
        <v>0</v>
      </c>
      <c r="R391">
        <v>0</v>
      </c>
      <c r="S391" s="18">
        <v>1</v>
      </c>
      <c r="T391">
        <v>0</v>
      </c>
      <c r="U391" s="18">
        <v>0</v>
      </c>
      <c r="Y391">
        <v>1</v>
      </c>
      <c r="AB391" t="s">
        <v>427</v>
      </c>
    </row>
    <row r="392" spans="1:28" s="26" customFormat="1" x14ac:dyDescent="0.3">
      <c r="A392" s="25">
        <v>44839</v>
      </c>
      <c r="B392" s="26">
        <v>6</v>
      </c>
      <c r="C392" s="26" t="s">
        <v>42</v>
      </c>
      <c r="D392" s="26">
        <v>2</v>
      </c>
      <c r="E392" s="26">
        <v>5</v>
      </c>
      <c r="F392" s="26" t="s">
        <v>27</v>
      </c>
      <c r="G392" s="26">
        <v>1</v>
      </c>
      <c r="H392" s="27">
        <v>0.70138888888888884</v>
      </c>
      <c r="I392" s="27">
        <v>0.72569444444444453</v>
      </c>
      <c r="J392" s="8">
        <f t="shared" si="18"/>
        <v>2.4305555555555691E-2</v>
      </c>
      <c r="K392" s="12">
        <f t="shared" si="19"/>
        <v>0.58333333333333659</v>
      </c>
      <c r="L392" s="12">
        <f t="shared" si="20"/>
        <v>0.58333333333333659</v>
      </c>
      <c r="M392" s="26" t="s">
        <v>25</v>
      </c>
      <c r="N392" s="26" t="s">
        <v>411</v>
      </c>
      <c r="O392" s="28" t="s">
        <v>92</v>
      </c>
      <c r="P392" s="26">
        <v>0</v>
      </c>
      <c r="Q392" s="28">
        <v>0</v>
      </c>
      <c r="R392" s="26">
        <v>0</v>
      </c>
      <c r="S392" s="28">
        <v>0</v>
      </c>
      <c r="T392" s="26">
        <v>0</v>
      </c>
      <c r="U392" s="28">
        <v>0</v>
      </c>
    </row>
    <row r="393" spans="1:28" x14ac:dyDescent="0.3">
      <c r="A393" s="7">
        <v>44840</v>
      </c>
      <c r="B393">
        <v>6</v>
      </c>
      <c r="C393" t="s">
        <v>26</v>
      </c>
      <c r="D393">
        <v>2</v>
      </c>
      <c r="E393">
        <v>5</v>
      </c>
      <c r="F393" t="s">
        <v>27</v>
      </c>
      <c r="G393">
        <v>1</v>
      </c>
      <c r="H393" s="8">
        <v>0.29166666666666669</v>
      </c>
      <c r="I393" s="8">
        <v>0.375</v>
      </c>
      <c r="J393" s="8">
        <f t="shared" si="18"/>
        <v>8.3333333333333315E-2</v>
      </c>
      <c r="K393" s="12">
        <f t="shared" si="19"/>
        <v>1.9999999999999996</v>
      </c>
      <c r="L393" s="12">
        <f t="shared" si="20"/>
        <v>1.9999999999999996</v>
      </c>
      <c r="M393" t="s">
        <v>25</v>
      </c>
      <c r="N393" t="s">
        <v>411</v>
      </c>
      <c r="O393" s="18" t="s">
        <v>422</v>
      </c>
      <c r="P393">
        <v>0</v>
      </c>
      <c r="Q393" s="18">
        <v>0</v>
      </c>
      <c r="R393">
        <v>0</v>
      </c>
      <c r="S393" s="18">
        <v>0</v>
      </c>
      <c r="T393">
        <v>0</v>
      </c>
      <c r="U393" s="18">
        <v>0</v>
      </c>
      <c r="AB393" t="s">
        <v>448</v>
      </c>
    </row>
    <row r="394" spans="1:28" x14ac:dyDescent="0.3">
      <c r="A394" s="7">
        <v>44840</v>
      </c>
      <c r="B394">
        <v>6</v>
      </c>
      <c r="C394" t="s">
        <v>26</v>
      </c>
      <c r="D394">
        <v>2</v>
      </c>
      <c r="E394">
        <v>5</v>
      </c>
      <c r="F394" t="s">
        <v>27</v>
      </c>
      <c r="G394">
        <v>1</v>
      </c>
      <c r="H394" s="8">
        <v>0.27083333333333331</v>
      </c>
      <c r="I394" s="8">
        <v>0.40972222222222227</v>
      </c>
      <c r="J394" s="8">
        <f t="shared" si="18"/>
        <v>0.13888888888888895</v>
      </c>
      <c r="K394" s="12">
        <f t="shared" si="19"/>
        <v>3.3333333333333348</v>
      </c>
      <c r="L394" s="12">
        <f t="shared" si="20"/>
        <v>3.3333333333333348</v>
      </c>
      <c r="M394" t="s">
        <v>28</v>
      </c>
      <c r="N394" t="s">
        <v>411</v>
      </c>
      <c r="O394" s="18" t="s">
        <v>422</v>
      </c>
      <c r="P394">
        <v>1</v>
      </c>
      <c r="Q394" s="18">
        <v>0</v>
      </c>
      <c r="R394">
        <v>0</v>
      </c>
      <c r="S394" s="18">
        <v>0</v>
      </c>
      <c r="T394">
        <v>0</v>
      </c>
      <c r="U394" s="18">
        <v>0</v>
      </c>
      <c r="V394">
        <v>1</v>
      </c>
      <c r="AB394" t="s">
        <v>427</v>
      </c>
    </row>
    <row r="395" spans="1:28" x14ac:dyDescent="0.3">
      <c r="A395" s="7">
        <v>44840</v>
      </c>
      <c r="B395">
        <v>6</v>
      </c>
      <c r="C395" t="s">
        <v>26</v>
      </c>
      <c r="D395">
        <v>2</v>
      </c>
      <c r="E395">
        <v>3</v>
      </c>
      <c r="F395" t="s">
        <v>27</v>
      </c>
      <c r="G395">
        <v>1</v>
      </c>
      <c r="H395" s="8">
        <v>0.27083333333333331</v>
      </c>
      <c r="I395" s="8">
        <v>0.43402777777777773</v>
      </c>
      <c r="J395" s="8">
        <f t="shared" si="18"/>
        <v>0.16319444444444442</v>
      </c>
      <c r="K395" s="12">
        <f t="shared" si="19"/>
        <v>3.9166666666666661</v>
      </c>
      <c r="L395" s="12">
        <f t="shared" si="20"/>
        <v>3.9166666666666661</v>
      </c>
      <c r="M395" t="s">
        <v>28</v>
      </c>
      <c r="N395" t="s">
        <v>447</v>
      </c>
      <c r="O395" s="18" t="s">
        <v>405</v>
      </c>
      <c r="P395">
        <v>0</v>
      </c>
      <c r="Q395" s="18">
        <v>0</v>
      </c>
      <c r="R395">
        <v>0</v>
      </c>
      <c r="S395" s="18">
        <v>0</v>
      </c>
      <c r="T395">
        <v>0</v>
      </c>
      <c r="U395" s="18">
        <v>0</v>
      </c>
    </row>
    <row r="396" spans="1:28" x14ac:dyDescent="0.3">
      <c r="A396" s="7">
        <v>44840</v>
      </c>
      <c r="B396">
        <v>6</v>
      </c>
      <c r="C396" t="s">
        <v>26</v>
      </c>
      <c r="D396">
        <v>2</v>
      </c>
      <c r="E396">
        <v>2</v>
      </c>
      <c r="F396" t="s">
        <v>27</v>
      </c>
      <c r="G396">
        <v>1</v>
      </c>
      <c r="H396" s="8">
        <v>0.29166666666666669</v>
      </c>
      <c r="I396" s="8">
        <v>0.5</v>
      </c>
      <c r="J396" s="8">
        <f t="shared" si="18"/>
        <v>0.20833333333333331</v>
      </c>
      <c r="K396" s="12">
        <f t="shared" si="19"/>
        <v>5</v>
      </c>
      <c r="L396" s="12">
        <f t="shared" si="20"/>
        <v>5</v>
      </c>
      <c r="M396" t="s">
        <v>25</v>
      </c>
      <c r="N396" t="s">
        <v>411</v>
      </c>
      <c r="O396" s="18" t="s">
        <v>422</v>
      </c>
      <c r="P396">
        <v>0</v>
      </c>
      <c r="Q396" s="18">
        <v>1</v>
      </c>
      <c r="R396">
        <v>0</v>
      </c>
      <c r="S396" s="18">
        <v>0</v>
      </c>
      <c r="T396">
        <v>0</v>
      </c>
      <c r="U396" s="18">
        <v>0</v>
      </c>
    </row>
    <row r="397" spans="1:28" x14ac:dyDescent="0.3">
      <c r="A397" s="7">
        <v>44840</v>
      </c>
      <c r="B397">
        <v>6</v>
      </c>
      <c r="C397" t="s">
        <v>26</v>
      </c>
      <c r="D397">
        <v>2</v>
      </c>
      <c r="E397">
        <v>2</v>
      </c>
      <c r="F397" t="s">
        <v>27</v>
      </c>
      <c r="G397">
        <v>1</v>
      </c>
      <c r="H397" s="8">
        <v>0.4375</v>
      </c>
      <c r="I397" s="8">
        <v>0.47916666666666669</v>
      </c>
      <c r="J397" s="8">
        <f t="shared" si="18"/>
        <v>4.1666666666666685E-2</v>
      </c>
      <c r="K397" s="12">
        <f t="shared" si="19"/>
        <v>1.0000000000000004</v>
      </c>
      <c r="L397" s="12">
        <f t="shared" si="20"/>
        <v>1.0000000000000004</v>
      </c>
      <c r="M397" t="s">
        <v>25</v>
      </c>
      <c r="N397" t="s">
        <v>411</v>
      </c>
      <c r="O397" s="18" t="s">
        <v>422</v>
      </c>
      <c r="P397">
        <v>0</v>
      </c>
      <c r="Q397" s="18">
        <v>0</v>
      </c>
      <c r="R397">
        <v>0</v>
      </c>
      <c r="S397" s="18">
        <v>0</v>
      </c>
      <c r="T397">
        <v>0</v>
      </c>
      <c r="U397" s="18">
        <v>0</v>
      </c>
    </row>
    <row r="398" spans="1:28" x14ac:dyDescent="0.3">
      <c r="A398" s="7">
        <v>44840</v>
      </c>
      <c r="B398">
        <v>6</v>
      </c>
      <c r="C398" t="s">
        <v>26</v>
      </c>
      <c r="D398">
        <v>2</v>
      </c>
      <c r="E398">
        <v>2</v>
      </c>
      <c r="F398" t="s">
        <v>27</v>
      </c>
      <c r="G398">
        <v>3</v>
      </c>
      <c r="H398" s="8">
        <v>0.29166666666666669</v>
      </c>
      <c r="I398" s="8">
        <v>0.44791666666666669</v>
      </c>
      <c r="J398" s="8">
        <f t="shared" si="18"/>
        <v>0.15625</v>
      </c>
      <c r="K398" s="12">
        <f t="shared" si="19"/>
        <v>3.75</v>
      </c>
      <c r="L398" s="12">
        <f t="shared" si="20"/>
        <v>11.25</v>
      </c>
      <c r="M398" t="s">
        <v>25</v>
      </c>
      <c r="N398" t="s">
        <v>411</v>
      </c>
      <c r="O398" s="18" t="s">
        <v>92</v>
      </c>
      <c r="P398">
        <v>0</v>
      </c>
      <c r="Q398" s="18">
        <v>0</v>
      </c>
      <c r="R398">
        <v>8</v>
      </c>
      <c r="S398" s="18">
        <v>0</v>
      </c>
      <c r="T398">
        <v>0</v>
      </c>
      <c r="U398" s="18">
        <v>0</v>
      </c>
    </row>
    <row r="399" spans="1:28" x14ac:dyDescent="0.3">
      <c r="A399" s="7">
        <v>44840</v>
      </c>
      <c r="B399">
        <v>6</v>
      </c>
      <c r="C399" t="s">
        <v>26</v>
      </c>
      <c r="D399">
        <v>2</v>
      </c>
      <c r="E399">
        <v>2</v>
      </c>
      <c r="F399" t="s">
        <v>27</v>
      </c>
      <c r="G399">
        <v>1</v>
      </c>
      <c r="H399" s="8">
        <v>0.29166666666666669</v>
      </c>
      <c r="I399" s="8">
        <v>0.48958333333333331</v>
      </c>
      <c r="J399" s="8">
        <f t="shared" si="18"/>
        <v>0.19791666666666663</v>
      </c>
      <c r="K399" s="12">
        <f t="shared" si="19"/>
        <v>4.7499999999999991</v>
      </c>
      <c r="L399" s="12">
        <f t="shared" si="20"/>
        <v>4.7499999999999991</v>
      </c>
      <c r="M399" t="s">
        <v>25</v>
      </c>
      <c r="N399" t="s">
        <v>464</v>
      </c>
      <c r="O399" s="18" t="s">
        <v>92</v>
      </c>
      <c r="P399">
        <v>0</v>
      </c>
      <c r="Q399" s="18">
        <v>0</v>
      </c>
      <c r="R399">
        <v>0</v>
      </c>
      <c r="S399" s="18">
        <v>0</v>
      </c>
      <c r="T399">
        <v>0</v>
      </c>
      <c r="U399" s="18">
        <v>0</v>
      </c>
    </row>
    <row r="400" spans="1:28" x14ac:dyDescent="0.3">
      <c r="A400" s="7">
        <v>44840</v>
      </c>
      <c r="B400">
        <v>6</v>
      </c>
      <c r="C400" t="s">
        <v>26</v>
      </c>
      <c r="D400">
        <v>2</v>
      </c>
      <c r="E400">
        <v>2</v>
      </c>
      <c r="F400" t="s">
        <v>27</v>
      </c>
      <c r="G400">
        <v>1</v>
      </c>
      <c r="H400" s="8">
        <v>0.39583333333333331</v>
      </c>
      <c r="I400" s="8">
        <v>0.49305555555555558</v>
      </c>
      <c r="J400" s="8">
        <f t="shared" si="18"/>
        <v>9.7222222222222265E-2</v>
      </c>
      <c r="K400" s="12">
        <f t="shared" si="19"/>
        <v>2.3333333333333344</v>
      </c>
      <c r="L400" s="12">
        <f t="shared" si="20"/>
        <v>2.3333333333333344</v>
      </c>
      <c r="M400" t="s">
        <v>28</v>
      </c>
      <c r="N400" t="s">
        <v>415</v>
      </c>
      <c r="O400" s="18" t="s">
        <v>92</v>
      </c>
      <c r="P400">
        <v>0</v>
      </c>
      <c r="Q400" s="18">
        <v>0</v>
      </c>
      <c r="R400">
        <v>0</v>
      </c>
      <c r="S400" s="18">
        <v>0</v>
      </c>
      <c r="T400">
        <v>0</v>
      </c>
      <c r="U400" s="18">
        <v>0</v>
      </c>
    </row>
    <row r="401" spans="1:28" s="26" customFormat="1" x14ac:dyDescent="0.3">
      <c r="A401" s="25">
        <v>44840</v>
      </c>
      <c r="B401" s="26">
        <v>6</v>
      </c>
      <c r="C401" s="26" t="s">
        <v>26</v>
      </c>
      <c r="D401" s="26">
        <v>2</v>
      </c>
      <c r="E401" s="26">
        <v>2</v>
      </c>
      <c r="F401" s="26" t="s">
        <v>27</v>
      </c>
      <c r="G401" s="26">
        <v>1</v>
      </c>
      <c r="H401" s="27">
        <v>0.39583333333333331</v>
      </c>
      <c r="I401" s="27">
        <v>0.47222222222222227</v>
      </c>
      <c r="J401" s="8">
        <f t="shared" si="18"/>
        <v>7.6388888888888951E-2</v>
      </c>
      <c r="K401" s="12">
        <f t="shared" si="19"/>
        <v>1.8333333333333348</v>
      </c>
      <c r="L401" s="12">
        <f t="shared" si="20"/>
        <v>1.8333333333333348</v>
      </c>
      <c r="M401" s="26" t="s">
        <v>25</v>
      </c>
      <c r="N401" s="26" t="s">
        <v>411</v>
      </c>
      <c r="O401" s="28" t="s">
        <v>92</v>
      </c>
      <c r="P401" s="26">
        <v>0</v>
      </c>
      <c r="Q401" s="28">
        <v>0</v>
      </c>
      <c r="R401" s="26">
        <v>6</v>
      </c>
      <c r="S401" s="28">
        <v>0</v>
      </c>
      <c r="T401" s="26">
        <v>0</v>
      </c>
      <c r="U401" s="28">
        <v>0</v>
      </c>
      <c r="AB401" s="26" t="s">
        <v>465</v>
      </c>
    </row>
    <row r="402" spans="1:28" x14ac:dyDescent="0.3">
      <c r="A402" s="7">
        <v>44841</v>
      </c>
      <c r="B402">
        <v>6</v>
      </c>
      <c r="C402" t="s">
        <v>26</v>
      </c>
      <c r="D402">
        <v>2</v>
      </c>
      <c r="E402">
        <v>1</v>
      </c>
      <c r="F402" t="s">
        <v>27</v>
      </c>
      <c r="G402">
        <v>1</v>
      </c>
      <c r="H402" s="8">
        <v>0.29166666666666669</v>
      </c>
      <c r="I402" s="8">
        <v>0.36458333333333331</v>
      </c>
      <c r="J402" s="8">
        <f t="shared" si="18"/>
        <v>7.291666666666663E-2</v>
      </c>
      <c r="K402" s="12">
        <f t="shared" si="19"/>
        <v>1.7499999999999991</v>
      </c>
      <c r="L402" s="12">
        <f t="shared" si="20"/>
        <v>1.7499999999999991</v>
      </c>
      <c r="M402" t="s">
        <v>25</v>
      </c>
      <c r="N402" t="s">
        <v>411</v>
      </c>
      <c r="O402" s="18" t="s">
        <v>92</v>
      </c>
      <c r="P402">
        <v>0</v>
      </c>
      <c r="Q402" s="18">
        <v>0</v>
      </c>
      <c r="R402">
        <v>0</v>
      </c>
      <c r="S402" s="18">
        <v>0</v>
      </c>
      <c r="T402">
        <v>0</v>
      </c>
      <c r="U402" s="18">
        <v>0</v>
      </c>
      <c r="AB402" t="s">
        <v>448</v>
      </c>
    </row>
    <row r="403" spans="1:28" x14ac:dyDescent="0.3">
      <c r="A403" s="7">
        <v>44841</v>
      </c>
      <c r="B403">
        <v>6</v>
      </c>
      <c r="C403" t="s">
        <v>26</v>
      </c>
      <c r="D403">
        <v>2</v>
      </c>
      <c r="E403">
        <v>1</v>
      </c>
      <c r="F403" t="s">
        <v>27</v>
      </c>
      <c r="G403">
        <v>2</v>
      </c>
      <c r="H403" s="8">
        <v>0.29166666666666669</v>
      </c>
      <c r="I403" s="8">
        <v>0.36458333333333331</v>
      </c>
      <c r="J403" s="8">
        <f t="shared" si="18"/>
        <v>7.291666666666663E-2</v>
      </c>
      <c r="K403" s="12">
        <f t="shared" si="19"/>
        <v>1.7499999999999991</v>
      </c>
      <c r="L403" s="12">
        <f t="shared" si="20"/>
        <v>3.4999999999999982</v>
      </c>
      <c r="M403" t="s">
        <v>28</v>
      </c>
      <c r="N403" t="s">
        <v>411</v>
      </c>
      <c r="O403" s="18" t="s">
        <v>92</v>
      </c>
      <c r="P403">
        <v>0</v>
      </c>
      <c r="Q403" s="18">
        <v>0</v>
      </c>
      <c r="R403">
        <v>5</v>
      </c>
      <c r="S403" s="18">
        <v>0</v>
      </c>
      <c r="T403">
        <v>0</v>
      </c>
      <c r="U403" s="18">
        <v>0</v>
      </c>
    </row>
    <row r="404" spans="1:28" x14ac:dyDescent="0.3">
      <c r="A404" s="7">
        <v>44841</v>
      </c>
      <c r="B404">
        <v>6</v>
      </c>
      <c r="C404" t="s">
        <v>26</v>
      </c>
      <c r="D404">
        <v>2</v>
      </c>
      <c r="E404">
        <v>1</v>
      </c>
      <c r="F404" t="s">
        <v>27</v>
      </c>
      <c r="G404">
        <v>1</v>
      </c>
      <c r="H404" s="8">
        <v>0.29166666666666669</v>
      </c>
      <c r="I404" s="8">
        <v>0.36458333333333331</v>
      </c>
      <c r="J404" s="8">
        <f t="shared" si="18"/>
        <v>7.291666666666663E-2</v>
      </c>
      <c r="K404" s="12">
        <f t="shared" si="19"/>
        <v>1.7499999999999991</v>
      </c>
      <c r="L404" s="12">
        <f t="shared" si="20"/>
        <v>1.7499999999999991</v>
      </c>
      <c r="M404" t="s">
        <v>28</v>
      </c>
      <c r="N404" t="s">
        <v>411</v>
      </c>
      <c r="O404" s="18" t="s">
        <v>92</v>
      </c>
      <c r="P404">
        <v>0</v>
      </c>
      <c r="Q404" s="18">
        <v>0</v>
      </c>
      <c r="R404">
        <v>0</v>
      </c>
      <c r="S404" s="18">
        <v>0</v>
      </c>
      <c r="T404">
        <v>0</v>
      </c>
      <c r="U404" s="18">
        <v>0</v>
      </c>
    </row>
    <row r="405" spans="1:28" x14ac:dyDescent="0.3">
      <c r="A405" s="7">
        <v>44841</v>
      </c>
      <c r="B405">
        <v>6</v>
      </c>
      <c r="C405" t="s">
        <v>26</v>
      </c>
      <c r="D405">
        <v>3</v>
      </c>
      <c r="E405">
        <v>1</v>
      </c>
      <c r="F405" t="s">
        <v>27</v>
      </c>
      <c r="G405">
        <v>2</v>
      </c>
      <c r="H405" s="8">
        <v>0.29166666666666669</v>
      </c>
      <c r="I405" s="8">
        <v>0.41666666666666669</v>
      </c>
      <c r="J405" s="8">
        <f t="shared" si="18"/>
        <v>0.125</v>
      </c>
      <c r="K405" s="12">
        <f t="shared" si="19"/>
        <v>3</v>
      </c>
      <c r="L405" s="12">
        <f t="shared" si="20"/>
        <v>6</v>
      </c>
      <c r="M405" t="s">
        <v>25</v>
      </c>
      <c r="N405" t="s">
        <v>411</v>
      </c>
      <c r="O405" s="18" t="s">
        <v>92</v>
      </c>
      <c r="P405">
        <v>0</v>
      </c>
      <c r="Q405" s="18">
        <v>0</v>
      </c>
      <c r="R405">
        <v>0</v>
      </c>
      <c r="S405" s="18">
        <v>0</v>
      </c>
      <c r="T405">
        <v>0</v>
      </c>
      <c r="U405" s="18">
        <v>0</v>
      </c>
    </row>
    <row r="406" spans="1:28" s="26" customFormat="1" x14ac:dyDescent="0.3">
      <c r="A406" s="25">
        <v>44841</v>
      </c>
      <c r="B406" s="26">
        <v>6</v>
      </c>
      <c r="C406" s="26" t="s">
        <v>26</v>
      </c>
      <c r="D406" s="26">
        <v>3</v>
      </c>
      <c r="E406" s="26">
        <v>8</v>
      </c>
      <c r="F406" s="26" t="s">
        <v>27</v>
      </c>
      <c r="G406" s="26">
        <v>1</v>
      </c>
      <c r="H406" s="27">
        <v>0.53125</v>
      </c>
      <c r="I406" s="27">
        <v>0.57638888888888895</v>
      </c>
      <c r="J406" s="8">
        <f t="shared" si="18"/>
        <v>4.5138888888888951E-2</v>
      </c>
      <c r="K406" s="12">
        <f t="shared" si="19"/>
        <v>1.0833333333333348</v>
      </c>
      <c r="L406" s="12">
        <f t="shared" si="20"/>
        <v>1.0833333333333348</v>
      </c>
      <c r="M406" s="26" t="s">
        <v>25</v>
      </c>
      <c r="N406" s="26" t="s">
        <v>404</v>
      </c>
      <c r="O406" s="28" t="s">
        <v>92</v>
      </c>
      <c r="P406" s="26">
        <v>0</v>
      </c>
      <c r="Q406" s="28">
        <v>0</v>
      </c>
      <c r="R406" s="26">
        <v>2</v>
      </c>
      <c r="S406" s="28">
        <v>1</v>
      </c>
      <c r="T406" s="26">
        <v>0</v>
      </c>
      <c r="U406" s="28">
        <v>0</v>
      </c>
      <c r="Y406" s="26">
        <v>1</v>
      </c>
      <c r="AB406" s="26" t="s">
        <v>439</v>
      </c>
    </row>
    <row r="407" spans="1:28" x14ac:dyDescent="0.3">
      <c r="A407" s="7">
        <v>44841</v>
      </c>
      <c r="B407">
        <v>6</v>
      </c>
      <c r="C407" t="s">
        <v>42</v>
      </c>
      <c r="D407">
        <v>1</v>
      </c>
      <c r="E407">
        <v>2</v>
      </c>
      <c r="F407" t="s">
        <v>27</v>
      </c>
      <c r="G407">
        <v>1</v>
      </c>
      <c r="H407" s="8">
        <v>0.68055555555555547</v>
      </c>
      <c r="I407" s="8">
        <v>0.70833333333333337</v>
      </c>
      <c r="J407" s="8">
        <f t="shared" si="18"/>
        <v>2.7777777777777901E-2</v>
      </c>
      <c r="K407" s="12">
        <f t="shared" si="19"/>
        <v>0.66666666666666963</v>
      </c>
      <c r="L407" s="12">
        <f t="shared" si="20"/>
        <v>0.66666666666666963</v>
      </c>
      <c r="M407" t="s">
        <v>28</v>
      </c>
      <c r="N407" t="s">
        <v>416</v>
      </c>
      <c r="O407" s="18" t="s">
        <v>407</v>
      </c>
      <c r="P407">
        <v>0</v>
      </c>
      <c r="Q407" s="18">
        <v>0</v>
      </c>
      <c r="R407">
        <v>0</v>
      </c>
      <c r="S407" s="18">
        <v>0</v>
      </c>
      <c r="T407">
        <v>0</v>
      </c>
      <c r="U407" s="18">
        <v>0</v>
      </c>
      <c r="AB407" t="s">
        <v>466</v>
      </c>
    </row>
    <row r="408" spans="1:28" x14ac:dyDescent="0.3">
      <c r="A408" s="7">
        <v>44841</v>
      </c>
      <c r="B408">
        <v>6</v>
      </c>
      <c r="C408" t="s">
        <v>42</v>
      </c>
      <c r="D408">
        <v>2</v>
      </c>
      <c r="E408">
        <v>2</v>
      </c>
      <c r="F408" t="s">
        <v>27</v>
      </c>
      <c r="G408">
        <v>1</v>
      </c>
      <c r="H408" s="8">
        <v>0.69791666666666663</v>
      </c>
      <c r="I408" s="8">
        <v>0.72569444444444453</v>
      </c>
      <c r="J408" s="8">
        <f t="shared" si="18"/>
        <v>2.7777777777777901E-2</v>
      </c>
      <c r="K408" s="12">
        <f t="shared" si="19"/>
        <v>0.66666666666666963</v>
      </c>
      <c r="L408" s="12">
        <f t="shared" si="20"/>
        <v>0.66666666666666963</v>
      </c>
      <c r="M408" t="s">
        <v>28</v>
      </c>
      <c r="N408" t="s">
        <v>408</v>
      </c>
      <c r="O408" s="18" t="s">
        <v>92</v>
      </c>
      <c r="P408">
        <v>0</v>
      </c>
      <c r="Q408" s="18">
        <v>0</v>
      </c>
      <c r="R408">
        <v>0</v>
      </c>
      <c r="S408" s="18">
        <v>0</v>
      </c>
      <c r="T408">
        <v>0</v>
      </c>
      <c r="U408" s="18">
        <v>0</v>
      </c>
    </row>
    <row r="409" spans="1:28" x14ac:dyDescent="0.3">
      <c r="A409" s="7">
        <v>44841</v>
      </c>
      <c r="B409">
        <v>6</v>
      </c>
      <c r="C409" t="s">
        <v>42</v>
      </c>
      <c r="D409">
        <v>2</v>
      </c>
      <c r="E409">
        <v>2</v>
      </c>
      <c r="F409" t="s">
        <v>27</v>
      </c>
      <c r="G409">
        <v>1</v>
      </c>
      <c r="H409" s="8">
        <v>0.66666666666666663</v>
      </c>
      <c r="I409" s="8">
        <v>0.72916666666666663</v>
      </c>
      <c r="J409" s="8">
        <f t="shared" si="18"/>
        <v>6.25E-2</v>
      </c>
      <c r="K409" s="12">
        <f t="shared" si="19"/>
        <v>1.5</v>
      </c>
      <c r="L409" s="12">
        <f t="shared" si="20"/>
        <v>1.5</v>
      </c>
      <c r="M409" t="s">
        <v>28</v>
      </c>
      <c r="N409" t="s">
        <v>447</v>
      </c>
      <c r="O409" s="18" t="s">
        <v>405</v>
      </c>
      <c r="P409">
        <v>0</v>
      </c>
      <c r="Q409" s="18">
        <v>0</v>
      </c>
      <c r="R409">
        <v>0</v>
      </c>
      <c r="S409" s="18">
        <v>0</v>
      </c>
      <c r="T409">
        <v>0</v>
      </c>
      <c r="U409" s="18">
        <v>0</v>
      </c>
    </row>
    <row r="410" spans="1:28" x14ac:dyDescent="0.3">
      <c r="A410" s="7">
        <v>44841</v>
      </c>
      <c r="B410">
        <v>6</v>
      </c>
      <c r="C410" t="s">
        <v>42</v>
      </c>
      <c r="D410">
        <v>2</v>
      </c>
      <c r="E410">
        <v>5</v>
      </c>
      <c r="F410" t="s">
        <v>27</v>
      </c>
      <c r="G410">
        <v>1</v>
      </c>
      <c r="H410" s="8">
        <v>0.66666666666666663</v>
      </c>
      <c r="I410" s="8">
        <v>0.77083333333333337</v>
      </c>
      <c r="J410" s="8">
        <f t="shared" si="18"/>
        <v>0.10416666666666674</v>
      </c>
      <c r="K410" s="12">
        <f t="shared" si="19"/>
        <v>2.5000000000000018</v>
      </c>
      <c r="L410" s="12">
        <f t="shared" si="20"/>
        <v>2.5000000000000018</v>
      </c>
      <c r="M410" t="s">
        <v>28</v>
      </c>
      <c r="N410" t="s">
        <v>411</v>
      </c>
      <c r="O410" s="18" t="s">
        <v>422</v>
      </c>
      <c r="P410">
        <v>0</v>
      </c>
      <c r="Q410" s="18">
        <v>0</v>
      </c>
      <c r="R410">
        <v>0</v>
      </c>
      <c r="S410" s="18">
        <v>0</v>
      </c>
      <c r="T410">
        <v>0</v>
      </c>
      <c r="U410" s="18">
        <v>0</v>
      </c>
    </row>
    <row r="411" spans="1:28" s="26" customFormat="1" x14ac:dyDescent="0.3">
      <c r="A411" s="25">
        <v>44841</v>
      </c>
      <c r="B411" s="26">
        <v>6</v>
      </c>
      <c r="C411" s="26" t="s">
        <v>42</v>
      </c>
      <c r="D411" s="26">
        <v>2</v>
      </c>
      <c r="E411" s="26">
        <v>5</v>
      </c>
      <c r="F411" s="26" t="s">
        <v>27</v>
      </c>
      <c r="G411" s="26">
        <v>1</v>
      </c>
      <c r="H411" s="27">
        <v>0.73958333333333337</v>
      </c>
      <c r="I411" s="27">
        <v>0.77777777777777779</v>
      </c>
      <c r="J411" s="8">
        <f t="shared" si="18"/>
        <v>3.819444444444442E-2</v>
      </c>
      <c r="K411" s="12">
        <f t="shared" si="19"/>
        <v>0.91666666666666607</v>
      </c>
      <c r="L411" s="12">
        <f t="shared" si="20"/>
        <v>0.91666666666666607</v>
      </c>
      <c r="M411" s="26" t="s">
        <v>28</v>
      </c>
      <c r="N411" s="26" t="s">
        <v>404</v>
      </c>
      <c r="O411" s="28" t="s">
        <v>422</v>
      </c>
      <c r="P411" s="26">
        <v>0</v>
      </c>
      <c r="Q411" s="28">
        <v>0</v>
      </c>
      <c r="R411" s="26">
        <v>0</v>
      </c>
      <c r="S411" s="28">
        <v>0</v>
      </c>
      <c r="T411" s="26">
        <v>0</v>
      </c>
      <c r="U411" s="28">
        <v>0</v>
      </c>
    </row>
    <row r="412" spans="1:28" x14ac:dyDescent="0.3">
      <c r="A412" s="7">
        <v>44842</v>
      </c>
      <c r="B412">
        <v>6</v>
      </c>
      <c r="C412" t="s">
        <v>26</v>
      </c>
      <c r="D412">
        <v>2</v>
      </c>
      <c r="E412">
        <v>1</v>
      </c>
      <c r="F412" t="s">
        <v>27</v>
      </c>
      <c r="G412">
        <v>2</v>
      </c>
      <c r="H412" s="8">
        <v>0.3125</v>
      </c>
      <c r="I412" s="8">
        <v>0.375</v>
      </c>
      <c r="J412" s="8">
        <f t="shared" si="18"/>
        <v>6.25E-2</v>
      </c>
      <c r="K412" s="12">
        <f t="shared" si="19"/>
        <v>1.5</v>
      </c>
      <c r="L412" s="12">
        <f t="shared" si="20"/>
        <v>3</v>
      </c>
      <c r="M412" t="s">
        <v>28</v>
      </c>
      <c r="N412" t="s">
        <v>411</v>
      </c>
      <c r="O412" s="18" t="s">
        <v>92</v>
      </c>
      <c r="P412">
        <v>0</v>
      </c>
      <c r="Q412" s="18">
        <v>0</v>
      </c>
      <c r="R412">
        <v>2</v>
      </c>
      <c r="S412" s="18">
        <v>0</v>
      </c>
      <c r="T412">
        <v>0</v>
      </c>
      <c r="U412" s="18">
        <v>0</v>
      </c>
      <c r="AB412" t="s">
        <v>467</v>
      </c>
    </row>
    <row r="413" spans="1:28" x14ac:dyDescent="0.3">
      <c r="A413" s="7">
        <v>44842</v>
      </c>
      <c r="B413">
        <v>6</v>
      </c>
      <c r="C413" t="s">
        <v>26</v>
      </c>
      <c r="D413">
        <v>2</v>
      </c>
      <c r="E413">
        <v>1</v>
      </c>
      <c r="F413" t="s">
        <v>27</v>
      </c>
      <c r="G413">
        <v>1</v>
      </c>
      <c r="H413" s="8">
        <v>0.29166666666666669</v>
      </c>
      <c r="I413" s="8">
        <v>0.375</v>
      </c>
      <c r="J413" s="8">
        <f t="shared" si="18"/>
        <v>8.3333333333333315E-2</v>
      </c>
      <c r="K413" s="12">
        <f t="shared" si="19"/>
        <v>1.9999999999999996</v>
      </c>
      <c r="L413" s="12">
        <f t="shared" si="20"/>
        <v>1.9999999999999996</v>
      </c>
      <c r="M413" t="s">
        <v>28</v>
      </c>
      <c r="N413" t="s">
        <v>404</v>
      </c>
      <c r="O413" s="18" t="s">
        <v>92</v>
      </c>
      <c r="P413">
        <v>0</v>
      </c>
      <c r="Q413" s="18">
        <v>0</v>
      </c>
      <c r="R413">
        <v>0</v>
      </c>
      <c r="S413" s="18">
        <v>0</v>
      </c>
      <c r="T413">
        <v>0</v>
      </c>
      <c r="U413" s="18">
        <v>0</v>
      </c>
    </row>
    <row r="414" spans="1:28" x14ac:dyDescent="0.3">
      <c r="A414" s="7">
        <v>44842</v>
      </c>
      <c r="B414">
        <v>6</v>
      </c>
      <c r="C414" t="s">
        <v>26</v>
      </c>
      <c r="D414">
        <v>2</v>
      </c>
      <c r="E414">
        <v>1</v>
      </c>
      <c r="F414" t="s">
        <v>27</v>
      </c>
      <c r="G414">
        <v>1</v>
      </c>
      <c r="H414" s="8">
        <v>0.36458333333333331</v>
      </c>
      <c r="I414" s="8">
        <v>0.37847222222222227</v>
      </c>
      <c r="J414" s="8">
        <f t="shared" si="18"/>
        <v>1.3888888888888951E-2</v>
      </c>
      <c r="K414" s="12">
        <f t="shared" si="19"/>
        <v>0.33333333333333481</v>
      </c>
      <c r="L414" s="12">
        <f t="shared" si="20"/>
        <v>0.33333333333333481</v>
      </c>
      <c r="M414" t="s">
        <v>28</v>
      </c>
      <c r="N414" t="s">
        <v>411</v>
      </c>
      <c r="O414" s="18" t="s">
        <v>407</v>
      </c>
      <c r="P414">
        <v>0</v>
      </c>
      <c r="Q414" s="18">
        <v>0</v>
      </c>
      <c r="R414">
        <v>0</v>
      </c>
      <c r="S414" s="18">
        <v>0</v>
      </c>
      <c r="T414">
        <v>0</v>
      </c>
      <c r="U414" s="18">
        <v>0</v>
      </c>
    </row>
    <row r="415" spans="1:28" x14ac:dyDescent="0.3">
      <c r="A415" s="7">
        <v>44842</v>
      </c>
      <c r="B415">
        <v>6</v>
      </c>
      <c r="C415" t="s">
        <v>26</v>
      </c>
      <c r="D415">
        <v>2</v>
      </c>
      <c r="E415">
        <v>1</v>
      </c>
      <c r="F415" t="s">
        <v>27</v>
      </c>
      <c r="G415">
        <v>2</v>
      </c>
      <c r="H415" s="8">
        <v>0.33333333333333331</v>
      </c>
      <c r="I415" s="8">
        <v>0.38194444444444442</v>
      </c>
      <c r="J415" s="8">
        <f t="shared" si="18"/>
        <v>4.8611111111111105E-2</v>
      </c>
      <c r="K415" s="12">
        <f t="shared" si="19"/>
        <v>1.1666666666666665</v>
      </c>
      <c r="L415" s="12">
        <f t="shared" si="20"/>
        <v>2.333333333333333</v>
      </c>
      <c r="M415" t="s">
        <v>28</v>
      </c>
      <c r="N415" t="s">
        <v>411</v>
      </c>
      <c r="O415" s="18" t="s">
        <v>405</v>
      </c>
      <c r="P415">
        <v>0</v>
      </c>
      <c r="Q415" s="18">
        <v>0</v>
      </c>
      <c r="R415">
        <v>0</v>
      </c>
      <c r="S415" s="18">
        <v>0</v>
      </c>
      <c r="T415">
        <v>0</v>
      </c>
      <c r="U415" s="18">
        <v>0</v>
      </c>
    </row>
    <row r="416" spans="1:28" x14ac:dyDescent="0.3">
      <c r="A416" s="7">
        <v>44842</v>
      </c>
      <c r="B416">
        <v>6</v>
      </c>
      <c r="C416" t="s">
        <v>26</v>
      </c>
      <c r="D416">
        <v>2</v>
      </c>
      <c r="E416">
        <v>1</v>
      </c>
      <c r="F416" t="s">
        <v>27</v>
      </c>
      <c r="G416">
        <v>1</v>
      </c>
      <c r="H416" s="8">
        <v>0.29166666666666669</v>
      </c>
      <c r="I416" s="8">
        <v>0.39583333333333331</v>
      </c>
      <c r="J416" s="8">
        <f t="shared" si="18"/>
        <v>0.10416666666666663</v>
      </c>
      <c r="K416" s="12">
        <f t="shared" si="19"/>
        <v>2.4999999999999991</v>
      </c>
      <c r="L416" s="12">
        <f t="shared" si="20"/>
        <v>2.4999999999999991</v>
      </c>
      <c r="M416" t="s">
        <v>25</v>
      </c>
      <c r="N416" t="s">
        <v>415</v>
      </c>
      <c r="O416" s="18" t="s">
        <v>405</v>
      </c>
      <c r="P416">
        <v>0</v>
      </c>
      <c r="Q416" s="18">
        <v>0</v>
      </c>
      <c r="R416">
        <v>0</v>
      </c>
      <c r="S416" s="18">
        <v>0</v>
      </c>
      <c r="T416">
        <v>0</v>
      </c>
      <c r="U416" s="18">
        <v>0</v>
      </c>
    </row>
    <row r="417" spans="1:28" x14ac:dyDescent="0.3">
      <c r="A417" s="7">
        <v>44842</v>
      </c>
      <c r="B417">
        <v>6</v>
      </c>
      <c r="C417" t="s">
        <v>26</v>
      </c>
      <c r="D417">
        <v>2</v>
      </c>
      <c r="E417">
        <v>1</v>
      </c>
      <c r="F417" t="s">
        <v>27</v>
      </c>
      <c r="G417">
        <v>1</v>
      </c>
      <c r="H417" s="8">
        <v>0.35416666666666669</v>
      </c>
      <c r="I417" s="8">
        <v>0.40972222222222227</v>
      </c>
      <c r="J417" s="8">
        <f t="shared" si="18"/>
        <v>5.555555555555558E-2</v>
      </c>
      <c r="K417" s="12">
        <f t="shared" si="19"/>
        <v>1.3333333333333339</v>
      </c>
      <c r="L417" s="12">
        <f t="shared" si="20"/>
        <v>1.3333333333333339</v>
      </c>
      <c r="M417" t="s">
        <v>28</v>
      </c>
      <c r="N417" t="s">
        <v>411</v>
      </c>
      <c r="O417" s="18" t="s">
        <v>92</v>
      </c>
      <c r="P417">
        <v>0</v>
      </c>
      <c r="Q417" s="18">
        <v>0</v>
      </c>
      <c r="R417">
        <v>0</v>
      </c>
      <c r="S417" s="18">
        <v>0</v>
      </c>
      <c r="T417">
        <v>0</v>
      </c>
      <c r="U417" s="18">
        <v>0</v>
      </c>
    </row>
    <row r="418" spans="1:28" x14ac:dyDescent="0.3">
      <c r="A418" s="7">
        <v>44842</v>
      </c>
      <c r="B418">
        <v>6</v>
      </c>
      <c r="C418" t="s">
        <v>26</v>
      </c>
      <c r="D418">
        <v>2</v>
      </c>
      <c r="E418">
        <v>1</v>
      </c>
      <c r="F418" t="s">
        <v>27</v>
      </c>
      <c r="G418">
        <v>1</v>
      </c>
      <c r="H418" s="8">
        <v>0.3125</v>
      </c>
      <c r="I418" s="8">
        <v>0.41666666666666669</v>
      </c>
      <c r="J418" s="8">
        <f t="shared" si="18"/>
        <v>0.10416666666666669</v>
      </c>
      <c r="K418" s="12">
        <f t="shared" si="19"/>
        <v>2.5000000000000004</v>
      </c>
      <c r="L418" s="12">
        <f t="shared" si="20"/>
        <v>2.5000000000000004</v>
      </c>
      <c r="M418" t="s">
        <v>28</v>
      </c>
      <c r="N418" t="s">
        <v>411</v>
      </c>
      <c r="O418" s="18" t="s">
        <v>92</v>
      </c>
      <c r="P418">
        <v>0</v>
      </c>
      <c r="Q418" s="18">
        <v>0</v>
      </c>
      <c r="R418">
        <v>1</v>
      </c>
      <c r="S418" s="18">
        <v>0</v>
      </c>
      <c r="T418">
        <v>0</v>
      </c>
      <c r="U418" s="18">
        <v>0</v>
      </c>
    </row>
    <row r="419" spans="1:28" x14ac:dyDescent="0.3">
      <c r="A419" s="7">
        <v>44842</v>
      </c>
      <c r="B419">
        <v>6</v>
      </c>
      <c r="C419" t="s">
        <v>26</v>
      </c>
      <c r="D419">
        <v>2</v>
      </c>
      <c r="E419">
        <v>1</v>
      </c>
      <c r="F419" t="s">
        <v>27</v>
      </c>
      <c r="G419">
        <v>1</v>
      </c>
      <c r="H419" s="8">
        <v>0.3125</v>
      </c>
      <c r="I419" s="8">
        <v>0.4201388888888889</v>
      </c>
      <c r="J419" s="8">
        <f t="shared" si="18"/>
        <v>0.1076388888888889</v>
      </c>
      <c r="K419" s="12">
        <f t="shared" si="19"/>
        <v>2.5833333333333335</v>
      </c>
      <c r="L419" s="12">
        <f t="shared" si="20"/>
        <v>2.5833333333333335</v>
      </c>
      <c r="M419" t="s">
        <v>28</v>
      </c>
      <c r="N419" t="s">
        <v>411</v>
      </c>
      <c r="O419" s="18" t="s">
        <v>92</v>
      </c>
      <c r="P419">
        <v>0</v>
      </c>
      <c r="Q419" s="18">
        <v>0</v>
      </c>
      <c r="R419">
        <v>0</v>
      </c>
      <c r="S419" s="18">
        <v>0</v>
      </c>
      <c r="T419">
        <v>0</v>
      </c>
      <c r="U419" s="18">
        <v>0</v>
      </c>
    </row>
    <row r="420" spans="1:28" x14ac:dyDescent="0.3">
      <c r="A420" s="7">
        <v>44842</v>
      </c>
      <c r="B420">
        <v>6</v>
      </c>
      <c r="C420" t="s">
        <v>26</v>
      </c>
      <c r="D420">
        <v>2</v>
      </c>
      <c r="E420">
        <v>1</v>
      </c>
      <c r="F420" t="s">
        <v>27</v>
      </c>
      <c r="G420">
        <v>4</v>
      </c>
      <c r="H420" s="8">
        <v>0.30208333333333331</v>
      </c>
      <c r="I420" s="8">
        <v>0.42083333333333334</v>
      </c>
      <c r="J420" s="8">
        <f t="shared" si="18"/>
        <v>0.11875000000000002</v>
      </c>
      <c r="K420" s="12">
        <f t="shared" si="19"/>
        <v>2.8500000000000005</v>
      </c>
      <c r="L420" s="12">
        <f t="shared" si="20"/>
        <v>11.400000000000002</v>
      </c>
      <c r="M420" t="s">
        <v>28</v>
      </c>
      <c r="N420" t="s">
        <v>411</v>
      </c>
      <c r="O420" s="18" t="s">
        <v>92</v>
      </c>
      <c r="P420">
        <v>0</v>
      </c>
      <c r="Q420" s="18">
        <v>0</v>
      </c>
      <c r="R420">
        <v>1</v>
      </c>
      <c r="S420" s="18">
        <v>0</v>
      </c>
      <c r="T420">
        <v>0</v>
      </c>
      <c r="U420" s="18">
        <v>0</v>
      </c>
    </row>
    <row r="421" spans="1:28" x14ac:dyDescent="0.3">
      <c r="A421" s="7">
        <v>44842</v>
      </c>
      <c r="B421">
        <v>6</v>
      </c>
      <c r="C421" t="s">
        <v>26</v>
      </c>
      <c r="D421">
        <v>2</v>
      </c>
      <c r="E421">
        <v>1</v>
      </c>
      <c r="F421" t="s">
        <v>27</v>
      </c>
      <c r="G421">
        <v>1</v>
      </c>
      <c r="H421" s="8">
        <v>0.33333333333333331</v>
      </c>
      <c r="I421" s="8">
        <v>0.4236111111111111</v>
      </c>
      <c r="J421" s="8">
        <f t="shared" si="18"/>
        <v>9.027777777777779E-2</v>
      </c>
      <c r="K421" s="12">
        <f t="shared" si="19"/>
        <v>2.166666666666667</v>
      </c>
      <c r="L421" s="12">
        <f t="shared" si="20"/>
        <v>2.166666666666667</v>
      </c>
      <c r="M421" t="s">
        <v>28</v>
      </c>
      <c r="N421" t="s">
        <v>411</v>
      </c>
      <c r="O421" s="18" t="s">
        <v>92</v>
      </c>
      <c r="P421">
        <v>0</v>
      </c>
      <c r="Q421" s="18">
        <v>0</v>
      </c>
      <c r="R421">
        <v>0</v>
      </c>
      <c r="S421" s="18">
        <v>1</v>
      </c>
      <c r="T421">
        <v>0</v>
      </c>
      <c r="U421" s="18">
        <v>0</v>
      </c>
    </row>
    <row r="422" spans="1:28" x14ac:dyDescent="0.3">
      <c r="A422" s="7">
        <v>44842</v>
      </c>
      <c r="B422">
        <v>6</v>
      </c>
      <c r="C422" t="s">
        <v>26</v>
      </c>
      <c r="D422">
        <v>2</v>
      </c>
      <c r="E422">
        <v>1</v>
      </c>
      <c r="F422" t="s">
        <v>27</v>
      </c>
      <c r="G422">
        <v>1</v>
      </c>
      <c r="H422" s="8">
        <v>0.33333333333333331</v>
      </c>
      <c r="I422" s="8">
        <v>0.4236111111111111</v>
      </c>
      <c r="J422" s="8">
        <f t="shared" si="18"/>
        <v>9.027777777777779E-2</v>
      </c>
      <c r="K422" s="12">
        <f t="shared" si="19"/>
        <v>2.166666666666667</v>
      </c>
      <c r="L422" s="12">
        <f t="shared" si="20"/>
        <v>2.166666666666667</v>
      </c>
      <c r="M422" t="s">
        <v>28</v>
      </c>
      <c r="N422" t="s">
        <v>411</v>
      </c>
      <c r="O422" s="18" t="s">
        <v>92</v>
      </c>
      <c r="P422">
        <v>0</v>
      </c>
      <c r="Q422" s="18">
        <v>0</v>
      </c>
      <c r="R422">
        <v>0</v>
      </c>
      <c r="S422" s="18">
        <v>0</v>
      </c>
      <c r="T422">
        <v>0</v>
      </c>
      <c r="U422" s="18">
        <v>0</v>
      </c>
    </row>
    <row r="423" spans="1:28" x14ac:dyDescent="0.3">
      <c r="A423" s="7">
        <v>44842</v>
      </c>
      <c r="B423">
        <v>6</v>
      </c>
      <c r="C423" t="s">
        <v>26</v>
      </c>
      <c r="D423">
        <v>2</v>
      </c>
      <c r="E423">
        <v>1</v>
      </c>
      <c r="F423" t="s">
        <v>27</v>
      </c>
      <c r="G423">
        <v>1</v>
      </c>
      <c r="H423" s="8">
        <v>0.3125</v>
      </c>
      <c r="I423" s="8">
        <v>0.4236111111111111</v>
      </c>
      <c r="J423" s="8">
        <f t="shared" si="18"/>
        <v>0.1111111111111111</v>
      </c>
      <c r="K423" s="12">
        <f t="shared" si="19"/>
        <v>2.6666666666666665</v>
      </c>
      <c r="L423" s="12">
        <f t="shared" si="20"/>
        <v>2.6666666666666665</v>
      </c>
      <c r="M423" t="s">
        <v>28</v>
      </c>
      <c r="N423" t="s">
        <v>411</v>
      </c>
      <c r="O423" s="18" t="s">
        <v>92</v>
      </c>
      <c r="P423">
        <v>0</v>
      </c>
      <c r="Q423" s="18">
        <v>0</v>
      </c>
      <c r="R423">
        <v>1</v>
      </c>
      <c r="S423" s="18">
        <v>0</v>
      </c>
      <c r="T423">
        <v>0</v>
      </c>
      <c r="U423" s="18">
        <v>0</v>
      </c>
      <c r="X423">
        <v>1</v>
      </c>
      <c r="AB423" t="s">
        <v>427</v>
      </c>
    </row>
    <row r="424" spans="1:28" x14ac:dyDescent="0.3">
      <c r="A424" s="7">
        <v>44842</v>
      </c>
      <c r="B424">
        <v>6</v>
      </c>
      <c r="C424" t="s">
        <v>26</v>
      </c>
      <c r="D424">
        <v>2</v>
      </c>
      <c r="E424">
        <v>1</v>
      </c>
      <c r="F424" t="s">
        <v>27</v>
      </c>
      <c r="G424">
        <v>1</v>
      </c>
      <c r="H424" s="8">
        <v>0.29166666666666669</v>
      </c>
      <c r="I424" s="8">
        <v>0.43055555555555558</v>
      </c>
      <c r="J424" s="8">
        <f t="shared" si="18"/>
        <v>0.1388888888888889</v>
      </c>
      <c r="K424" s="12">
        <f t="shared" si="19"/>
        <v>3.3333333333333335</v>
      </c>
      <c r="L424" s="12">
        <f t="shared" si="20"/>
        <v>3.3333333333333335</v>
      </c>
      <c r="M424" t="s">
        <v>28</v>
      </c>
      <c r="N424" t="s">
        <v>411</v>
      </c>
      <c r="O424" s="18" t="s">
        <v>92</v>
      </c>
      <c r="P424">
        <v>0</v>
      </c>
      <c r="Q424" s="18">
        <v>0</v>
      </c>
      <c r="R424">
        <v>0</v>
      </c>
      <c r="S424" s="18">
        <v>0</v>
      </c>
      <c r="T424">
        <v>0</v>
      </c>
      <c r="U424" s="18">
        <v>0</v>
      </c>
    </row>
    <row r="425" spans="1:28" x14ac:dyDescent="0.3">
      <c r="A425" s="7">
        <v>44842</v>
      </c>
      <c r="B425">
        <v>6</v>
      </c>
      <c r="C425" t="s">
        <v>26</v>
      </c>
      <c r="D425">
        <v>2</v>
      </c>
      <c r="E425">
        <v>1</v>
      </c>
      <c r="F425" t="s">
        <v>27</v>
      </c>
      <c r="G425">
        <v>1</v>
      </c>
      <c r="H425" s="8">
        <v>0.29166666666666669</v>
      </c>
      <c r="I425" s="8">
        <v>0.43055555555555558</v>
      </c>
      <c r="J425" s="8">
        <f t="shared" si="18"/>
        <v>0.1388888888888889</v>
      </c>
      <c r="K425" s="12">
        <f t="shared" si="19"/>
        <v>3.3333333333333335</v>
      </c>
      <c r="L425" s="12">
        <f t="shared" si="20"/>
        <v>3.3333333333333335</v>
      </c>
      <c r="M425" t="s">
        <v>28</v>
      </c>
      <c r="N425" t="s">
        <v>415</v>
      </c>
      <c r="O425" s="18" t="s">
        <v>92</v>
      </c>
      <c r="P425">
        <v>0</v>
      </c>
      <c r="Q425" s="18">
        <v>0</v>
      </c>
      <c r="R425">
        <v>0</v>
      </c>
      <c r="S425" s="18">
        <v>0</v>
      </c>
      <c r="T425">
        <v>0</v>
      </c>
      <c r="U425" s="18">
        <v>0</v>
      </c>
    </row>
    <row r="426" spans="1:28" x14ac:dyDescent="0.3">
      <c r="A426" s="7">
        <v>44842</v>
      </c>
      <c r="B426">
        <v>6</v>
      </c>
      <c r="C426" t="s">
        <v>26</v>
      </c>
      <c r="D426">
        <v>2</v>
      </c>
      <c r="E426">
        <v>1</v>
      </c>
      <c r="F426" t="s">
        <v>27</v>
      </c>
      <c r="G426">
        <v>5</v>
      </c>
      <c r="H426" s="8">
        <v>0.33333333333333331</v>
      </c>
      <c r="I426" s="8">
        <v>0.43055555555555558</v>
      </c>
      <c r="J426" s="8">
        <f t="shared" si="18"/>
        <v>9.7222222222222265E-2</v>
      </c>
      <c r="K426" s="12">
        <f t="shared" si="19"/>
        <v>2.3333333333333344</v>
      </c>
      <c r="L426" s="12">
        <f t="shared" si="20"/>
        <v>11.666666666666671</v>
      </c>
      <c r="M426" t="s">
        <v>28</v>
      </c>
      <c r="N426" t="s">
        <v>411</v>
      </c>
      <c r="O426" s="18" t="s">
        <v>92</v>
      </c>
      <c r="P426">
        <v>0</v>
      </c>
      <c r="Q426" s="18">
        <v>0</v>
      </c>
      <c r="R426">
        <v>1</v>
      </c>
      <c r="S426" s="18">
        <v>0</v>
      </c>
      <c r="T426">
        <v>0</v>
      </c>
      <c r="U426" s="18">
        <v>0</v>
      </c>
    </row>
    <row r="427" spans="1:28" x14ac:dyDescent="0.3">
      <c r="A427" s="7">
        <v>44842</v>
      </c>
      <c r="B427">
        <v>6</v>
      </c>
      <c r="C427" t="s">
        <v>26</v>
      </c>
      <c r="D427">
        <v>2</v>
      </c>
      <c r="E427">
        <v>1</v>
      </c>
      <c r="F427" t="s">
        <v>27</v>
      </c>
      <c r="G427">
        <v>2</v>
      </c>
      <c r="H427" s="8">
        <v>0.29166666666666669</v>
      </c>
      <c r="I427" s="8">
        <v>0.4375</v>
      </c>
      <c r="J427" s="8">
        <f t="shared" si="18"/>
        <v>0.14583333333333331</v>
      </c>
      <c r="K427" s="12">
        <f t="shared" si="19"/>
        <v>3.4999999999999996</v>
      </c>
      <c r="L427" s="12">
        <f t="shared" si="20"/>
        <v>6.9999999999999991</v>
      </c>
      <c r="M427" t="s">
        <v>28</v>
      </c>
      <c r="N427" t="s">
        <v>411</v>
      </c>
      <c r="O427" s="18" t="s">
        <v>92</v>
      </c>
      <c r="P427">
        <v>0</v>
      </c>
      <c r="Q427" s="18">
        <v>0</v>
      </c>
      <c r="R427">
        <v>0</v>
      </c>
      <c r="S427" s="18">
        <v>0</v>
      </c>
      <c r="T427">
        <v>0</v>
      </c>
      <c r="U427" s="18">
        <v>0</v>
      </c>
    </row>
    <row r="428" spans="1:28" x14ac:dyDescent="0.3">
      <c r="A428" s="7">
        <v>44842</v>
      </c>
      <c r="B428">
        <v>6</v>
      </c>
      <c r="C428" t="s">
        <v>26</v>
      </c>
      <c r="D428">
        <v>1</v>
      </c>
      <c r="E428">
        <v>4</v>
      </c>
      <c r="F428" t="s">
        <v>27</v>
      </c>
      <c r="G428">
        <v>1</v>
      </c>
      <c r="H428" s="8">
        <v>0.35416666666666669</v>
      </c>
      <c r="I428" s="8">
        <v>0.4375</v>
      </c>
      <c r="J428" s="8">
        <f t="shared" si="18"/>
        <v>8.3333333333333315E-2</v>
      </c>
      <c r="K428" s="12">
        <f t="shared" si="19"/>
        <v>1.9999999999999996</v>
      </c>
      <c r="L428" s="12">
        <f t="shared" si="20"/>
        <v>1.9999999999999996</v>
      </c>
      <c r="M428" t="s">
        <v>25</v>
      </c>
      <c r="N428" t="s">
        <v>454</v>
      </c>
      <c r="O428" s="18" t="s">
        <v>92</v>
      </c>
      <c r="P428">
        <v>0</v>
      </c>
      <c r="Q428" s="18">
        <v>0</v>
      </c>
      <c r="R428">
        <v>0</v>
      </c>
      <c r="S428" s="18">
        <v>0</v>
      </c>
      <c r="T428">
        <v>0</v>
      </c>
      <c r="U428" s="18">
        <v>0</v>
      </c>
    </row>
    <row r="429" spans="1:28" x14ac:dyDescent="0.3">
      <c r="A429" s="7">
        <v>44842</v>
      </c>
      <c r="B429">
        <v>6</v>
      </c>
      <c r="C429" t="s">
        <v>26</v>
      </c>
      <c r="D429">
        <v>1</v>
      </c>
      <c r="E429">
        <v>4</v>
      </c>
      <c r="F429" t="s">
        <v>27</v>
      </c>
      <c r="G429">
        <v>3</v>
      </c>
      <c r="H429" s="8">
        <v>0.33333333333333331</v>
      </c>
      <c r="I429" s="8">
        <v>0.4375</v>
      </c>
      <c r="J429" s="8">
        <f t="shared" si="18"/>
        <v>0.10416666666666669</v>
      </c>
      <c r="K429" s="12">
        <f t="shared" si="19"/>
        <v>2.5000000000000004</v>
      </c>
      <c r="L429" s="12">
        <f t="shared" si="20"/>
        <v>7.5000000000000018</v>
      </c>
      <c r="M429" t="s">
        <v>25</v>
      </c>
      <c r="N429" t="s">
        <v>404</v>
      </c>
      <c r="O429" s="18" t="s">
        <v>92</v>
      </c>
      <c r="P429">
        <v>0</v>
      </c>
      <c r="Q429" s="18">
        <v>0</v>
      </c>
      <c r="R429">
        <v>1</v>
      </c>
      <c r="S429" s="18">
        <v>0</v>
      </c>
      <c r="T429">
        <v>0</v>
      </c>
      <c r="U429" s="18">
        <v>0</v>
      </c>
    </row>
    <row r="430" spans="1:28" x14ac:dyDescent="0.3">
      <c r="A430" s="7">
        <v>44842</v>
      </c>
      <c r="B430">
        <v>6</v>
      </c>
      <c r="C430" t="s">
        <v>26</v>
      </c>
      <c r="D430">
        <v>1</v>
      </c>
      <c r="E430">
        <v>4</v>
      </c>
      <c r="F430" t="s">
        <v>27</v>
      </c>
      <c r="G430">
        <v>1</v>
      </c>
      <c r="H430" s="8">
        <v>0.35416666666666669</v>
      </c>
      <c r="I430" s="8">
        <v>0.44444444444444442</v>
      </c>
      <c r="J430" s="8">
        <f t="shared" si="18"/>
        <v>9.0277777777777735E-2</v>
      </c>
      <c r="K430" s="12">
        <f t="shared" si="19"/>
        <v>2.1666666666666656</v>
      </c>
      <c r="L430" s="12">
        <f t="shared" si="20"/>
        <v>2.1666666666666656</v>
      </c>
      <c r="M430" t="s">
        <v>28</v>
      </c>
      <c r="N430" t="s">
        <v>447</v>
      </c>
      <c r="O430" s="18" t="s">
        <v>92</v>
      </c>
      <c r="P430">
        <v>0</v>
      </c>
      <c r="Q430" s="18">
        <v>0</v>
      </c>
      <c r="R430">
        <v>1</v>
      </c>
      <c r="S430" s="18">
        <v>0</v>
      </c>
      <c r="T430">
        <v>0</v>
      </c>
      <c r="U430" s="18">
        <v>0</v>
      </c>
      <c r="X430">
        <v>1</v>
      </c>
      <c r="AB430" t="s">
        <v>427</v>
      </c>
    </row>
    <row r="431" spans="1:28" x14ac:dyDescent="0.3">
      <c r="A431" s="7">
        <v>44842</v>
      </c>
      <c r="B431">
        <v>6</v>
      </c>
      <c r="C431" t="s">
        <v>26</v>
      </c>
      <c r="D431">
        <v>1</v>
      </c>
      <c r="E431">
        <v>4</v>
      </c>
      <c r="F431" t="s">
        <v>27</v>
      </c>
      <c r="G431">
        <v>2</v>
      </c>
      <c r="H431" s="8">
        <v>0.3125</v>
      </c>
      <c r="I431" s="8">
        <v>0.44444444444444442</v>
      </c>
      <c r="J431" s="8">
        <f t="shared" si="18"/>
        <v>0.13194444444444442</v>
      </c>
      <c r="K431" s="12">
        <f t="shared" si="19"/>
        <v>3.1666666666666661</v>
      </c>
      <c r="L431" s="12">
        <f t="shared" si="20"/>
        <v>6.3333333333333321</v>
      </c>
      <c r="M431" t="s">
        <v>28</v>
      </c>
      <c r="N431" t="s">
        <v>468</v>
      </c>
      <c r="O431" s="18" t="s">
        <v>92</v>
      </c>
      <c r="P431">
        <v>0</v>
      </c>
      <c r="Q431" s="18">
        <v>0</v>
      </c>
      <c r="R431">
        <v>0</v>
      </c>
      <c r="S431" s="18">
        <v>0</v>
      </c>
      <c r="T431">
        <v>0</v>
      </c>
      <c r="U431" s="18">
        <v>0</v>
      </c>
    </row>
    <row r="432" spans="1:28" x14ac:dyDescent="0.3">
      <c r="A432" s="7">
        <v>44842</v>
      </c>
      <c r="B432">
        <v>6</v>
      </c>
      <c r="C432" t="s">
        <v>26</v>
      </c>
      <c r="D432">
        <v>1</v>
      </c>
      <c r="E432">
        <v>4</v>
      </c>
      <c r="F432" t="s">
        <v>27</v>
      </c>
      <c r="G432">
        <v>1</v>
      </c>
      <c r="H432" s="8">
        <v>0.3125</v>
      </c>
      <c r="I432" s="8">
        <v>0.44444444444444442</v>
      </c>
      <c r="J432" s="8">
        <f t="shared" si="18"/>
        <v>0.13194444444444442</v>
      </c>
      <c r="K432" s="12">
        <f t="shared" si="19"/>
        <v>3.1666666666666661</v>
      </c>
      <c r="L432" s="12">
        <f t="shared" si="20"/>
        <v>3.1666666666666661</v>
      </c>
      <c r="M432" t="s">
        <v>28</v>
      </c>
      <c r="N432" t="s">
        <v>411</v>
      </c>
      <c r="O432" s="18" t="s">
        <v>92</v>
      </c>
      <c r="P432">
        <v>0</v>
      </c>
      <c r="Q432" s="18">
        <v>0</v>
      </c>
      <c r="R432">
        <v>1</v>
      </c>
      <c r="S432" s="18">
        <v>0</v>
      </c>
      <c r="T432">
        <v>0</v>
      </c>
      <c r="U432" s="18">
        <v>0</v>
      </c>
    </row>
    <row r="433" spans="1:28" x14ac:dyDescent="0.3">
      <c r="A433" s="7">
        <v>44842</v>
      </c>
      <c r="B433">
        <v>6</v>
      </c>
      <c r="C433" t="s">
        <v>26</v>
      </c>
      <c r="D433">
        <v>1</v>
      </c>
      <c r="E433">
        <v>4</v>
      </c>
      <c r="F433" t="s">
        <v>27</v>
      </c>
      <c r="G433">
        <v>1</v>
      </c>
      <c r="H433" s="8">
        <v>0.27777777777777779</v>
      </c>
      <c r="I433" s="8">
        <v>0.44791666666666669</v>
      </c>
      <c r="J433" s="8">
        <f t="shared" si="18"/>
        <v>0.1701388888888889</v>
      </c>
      <c r="K433" s="12">
        <f t="shared" si="19"/>
        <v>4.0833333333333339</v>
      </c>
      <c r="L433" s="12">
        <f t="shared" si="20"/>
        <v>4.0833333333333339</v>
      </c>
      <c r="M433" t="s">
        <v>28</v>
      </c>
      <c r="N433" t="s">
        <v>411</v>
      </c>
      <c r="O433" s="18" t="s">
        <v>92</v>
      </c>
      <c r="P433">
        <v>0</v>
      </c>
      <c r="Q433" s="18">
        <v>0</v>
      </c>
      <c r="R433">
        <v>1</v>
      </c>
      <c r="S433" s="18">
        <v>0</v>
      </c>
      <c r="T433">
        <v>0</v>
      </c>
      <c r="U433" s="18">
        <v>0</v>
      </c>
      <c r="X433">
        <v>1</v>
      </c>
      <c r="AB433" t="s">
        <v>427</v>
      </c>
    </row>
    <row r="434" spans="1:28" x14ac:dyDescent="0.3">
      <c r="A434" s="7">
        <v>44842</v>
      </c>
      <c r="B434">
        <v>6</v>
      </c>
      <c r="C434" t="s">
        <v>26</v>
      </c>
      <c r="D434">
        <v>1</v>
      </c>
      <c r="E434">
        <v>4</v>
      </c>
      <c r="F434" t="s">
        <v>27</v>
      </c>
      <c r="G434">
        <v>1</v>
      </c>
      <c r="H434" s="8">
        <v>0.3125</v>
      </c>
      <c r="I434" s="8">
        <v>0.4513888888888889</v>
      </c>
      <c r="J434" s="8">
        <f t="shared" si="18"/>
        <v>0.1388888888888889</v>
      </c>
      <c r="K434" s="12">
        <f t="shared" si="19"/>
        <v>3.3333333333333335</v>
      </c>
      <c r="L434" s="12">
        <f t="shared" si="20"/>
        <v>3.3333333333333335</v>
      </c>
      <c r="M434" t="s">
        <v>28</v>
      </c>
      <c r="N434" t="s">
        <v>411</v>
      </c>
      <c r="O434" s="18" t="s">
        <v>92</v>
      </c>
      <c r="P434">
        <v>0</v>
      </c>
      <c r="Q434" s="18">
        <v>0</v>
      </c>
      <c r="R434">
        <v>2</v>
      </c>
      <c r="S434" s="18">
        <v>0</v>
      </c>
      <c r="T434">
        <v>0</v>
      </c>
      <c r="U434" s="18">
        <v>0</v>
      </c>
      <c r="X434">
        <v>2</v>
      </c>
      <c r="AB434" t="s">
        <v>442</v>
      </c>
    </row>
    <row r="435" spans="1:28" x14ac:dyDescent="0.3">
      <c r="A435" s="7">
        <v>44842</v>
      </c>
      <c r="B435">
        <v>6</v>
      </c>
      <c r="C435" t="s">
        <v>26</v>
      </c>
      <c r="D435">
        <v>1</v>
      </c>
      <c r="E435">
        <v>4</v>
      </c>
      <c r="F435" t="s">
        <v>27</v>
      </c>
      <c r="G435">
        <v>2</v>
      </c>
      <c r="H435" s="8">
        <v>0.29166666666666669</v>
      </c>
      <c r="I435" s="8">
        <v>0.4548611111111111</v>
      </c>
      <c r="J435" s="8">
        <f t="shared" si="18"/>
        <v>0.16319444444444442</v>
      </c>
      <c r="K435" s="12">
        <f t="shared" si="19"/>
        <v>3.9166666666666661</v>
      </c>
      <c r="L435" s="12">
        <f t="shared" si="20"/>
        <v>7.8333333333333321</v>
      </c>
      <c r="M435" t="s">
        <v>25</v>
      </c>
      <c r="N435" t="s">
        <v>411</v>
      </c>
      <c r="O435" s="18" t="s">
        <v>92</v>
      </c>
      <c r="P435">
        <v>0</v>
      </c>
      <c r="Q435" s="18">
        <v>0</v>
      </c>
      <c r="R435">
        <v>0</v>
      </c>
      <c r="S435" s="18">
        <v>0</v>
      </c>
      <c r="T435">
        <v>0</v>
      </c>
      <c r="U435" s="18">
        <v>0</v>
      </c>
    </row>
    <row r="436" spans="1:28" x14ac:dyDescent="0.3">
      <c r="A436" s="7">
        <v>44842</v>
      </c>
      <c r="B436">
        <v>6</v>
      </c>
      <c r="C436" t="s">
        <v>26</v>
      </c>
      <c r="D436">
        <v>1</v>
      </c>
      <c r="E436">
        <v>4</v>
      </c>
      <c r="F436" t="s">
        <v>27</v>
      </c>
      <c r="G436">
        <v>1</v>
      </c>
      <c r="H436" s="8">
        <v>0.375</v>
      </c>
      <c r="I436" s="8">
        <v>0.45833333333333331</v>
      </c>
      <c r="J436" s="8">
        <f t="shared" si="18"/>
        <v>8.3333333333333315E-2</v>
      </c>
      <c r="K436" s="12">
        <f t="shared" si="19"/>
        <v>1.9999999999999996</v>
      </c>
      <c r="L436" s="12">
        <f t="shared" si="20"/>
        <v>1.9999999999999996</v>
      </c>
      <c r="M436" t="s">
        <v>28</v>
      </c>
      <c r="N436" t="s">
        <v>411</v>
      </c>
      <c r="O436" s="18" t="s">
        <v>92</v>
      </c>
      <c r="P436">
        <v>0</v>
      </c>
      <c r="Q436" s="18">
        <v>0</v>
      </c>
      <c r="R436">
        <v>0</v>
      </c>
      <c r="S436" s="18">
        <v>0</v>
      </c>
      <c r="T436">
        <v>0</v>
      </c>
      <c r="U436" s="18">
        <v>0</v>
      </c>
    </row>
    <row r="437" spans="1:28" x14ac:dyDescent="0.3">
      <c r="A437" s="7">
        <v>44842</v>
      </c>
      <c r="B437">
        <v>6</v>
      </c>
      <c r="C437" t="s">
        <v>26</v>
      </c>
      <c r="D437">
        <v>1</v>
      </c>
      <c r="E437">
        <v>4</v>
      </c>
      <c r="F437" t="s">
        <v>27</v>
      </c>
      <c r="G437">
        <v>1</v>
      </c>
      <c r="H437" s="8">
        <v>0.3125</v>
      </c>
      <c r="I437" s="8">
        <v>0.45833333333333331</v>
      </c>
      <c r="J437" s="8">
        <f t="shared" si="18"/>
        <v>0.14583333333333331</v>
      </c>
      <c r="K437" s="12">
        <f t="shared" si="19"/>
        <v>3.4999999999999996</v>
      </c>
      <c r="L437" s="12">
        <f t="shared" si="20"/>
        <v>3.4999999999999996</v>
      </c>
      <c r="M437" t="s">
        <v>25</v>
      </c>
      <c r="N437" t="s">
        <v>404</v>
      </c>
      <c r="O437" s="18" t="s">
        <v>92</v>
      </c>
      <c r="P437">
        <v>0</v>
      </c>
      <c r="Q437" s="18">
        <v>0</v>
      </c>
      <c r="R437">
        <v>1</v>
      </c>
      <c r="S437" s="18">
        <v>0</v>
      </c>
      <c r="T437">
        <v>0</v>
      </c>
      <c r="U437" s="18">
        <v>0</v>
      </c>
      <c r="AB437" t="s">
        <v>469</v>
      </c>
    </row>
    <row r="438" spans="1:28" x14ac:dyDescent="0.3">
      <c r="A438" s="7">
        <v>44842</v>
      </c>
      <c r="B438">
        <v>6</v>
      </c>
      <c r="C438" t="s">
        <v>26</v>
      </c>
      <c r="D438">
        <v>1</v>
      </c>
      <c r="E438">
        <v>1</v>
      </c>
      <c r="F438" t="s">
        <v>35</v>
      </c>
      <c r="G438">
        <v>2</v>
      </c>
      <c r="H438" s="8">
        <v>0.27083333333333331</v>
      </c>
      <c r="I438" s="8">
        <v>0.49305555555555558</v>
      </c>
      <c r="J438" s="8">
        <f t="shared" si="18"/>
        <v>0.22222222222222227</v>
      </c>
      <c r="K438" s="12">
        <f t="shared" si="19"/>
        <v>5.3333333333333339</v>
      </c>
      <c r="L438" s="12">
        <f t="shared" si="20"/>
        <v>10.666666666666668</v>
      </c>
      <c r="M438" t="s">
        <v>25</v>
      </c>
      <c r="N438" t="s">
        <v>412</v>
      </c>
      <c r="O438" s="18" t="s">
        <v>92</v>
      </c>
      <c r="P438">
        <v>0</v>
      </c>
      <c r="Q438" s="18">
        <v>0</v>
      </c>
      <c r="R438">
        <v>1</v>
      </c>
      <c r="S438" s="18">
        <v>0</v>
      </c>
      <c r="T438">
        <v>0</v>
      </c>
      <c r="U438" s="18">
        <v>0</v>
      </c>
      <c r="X438">
        <v>1</v>
      </c>
      <c r="AB438" t="s">
        <v>427</v>
      </c>
    </row>
    <row r="439" spans="1:28" x14ac:dyDescent="0.3">
      <c r="A439" s="7">
        <v>44842</v>
      </c>
      <c r="B439">
        <v>6</v>
      </c>
      <c r="C439" t="s">
        <v>26</v>
      </c>
      <c r="D439">
        <v>1</v>
      </c>
      <c r="E439">
        <v>1</v>
      </c>
      <c r="F439" t="s">
        <v>35</v>
      </c>
      <c r="G439">
        <v>1</v>
      </c>
      <c r="H439" s="8">
        <v>0.29166666666666669</v>
      </c>
      <c r="I439" s="8">
        <v>0.51736111111111105</v>
      </c>
      <c r="J439" s="8">
        <f t="shared" si="18"/>
        <v>0.22569444444444436</v>
      </c>
      <c r="K439" s="12">
        <f t="shared" si="19"/>
        <v>5.4166666666666643</v>
      </c>
      <c r="L439" s="12">
        <f t="shared" si="20"/>
        <v>5.4166666666666643</v>
      </c>
      <c r="M439" t="s">
        <v>25</v>
      </c>
      <c r="N439" t="s">
        <v>413</v>
      </c>
      <c r="O439" s="18" t="s">
        <v>92</v>
      </c>
      <c r="P439">
        <v>0</v>
      </c>
      <c r="Q439" s="18">
        <v>0</v>
      </c>
      <c r="R439">
        <v>0</v>
      </c>
      <c r="S439" s="18">
        <v>0</v>
      </c>
      <c r="T439">
        <v>0</v>
      </c>
      <c r="U439" s="18">
        <v>0</v>
      </c>
    </row>
    <row r="440" spans="1:28" x14ac:dyDescent="0.3">
      <c r="A440" s="7">
        <v>44842</v>
      </c>
      <c r="B440">
        <v>6</v>
      </c>
      <c r="C440" t="s">
        <v>26</v>
      </c>
      <c r="D440">
        <v>1</v>
      </c>
      <c r="E440">
        <v>1</v>
      </c>
      <c r="F440" t="s">
        <v>35</v>
      </c>
      <c r="G440">
        <v>2</v>
      </c>
      <c r="H440" s="8">
        <v>0.30208333333333331</v>
      </c>
      <c r="I440" s="8">
        <v>0.51736111111111105</v>
      </c>
      <c r="J440" s="8">
        <f t="shared" si="18"/>
        <v>0.21527777777777773</v>
      </c>
      <c r="K440" s="12">
        <f t="shared" si="19"/>
        <v>5.1666666666666661</v>
      </c>
      <c r="L440" s="12">
        <f t="shared" si="20"/>
        <v>10.333333333333332</v>
      </c>
      <c r="M440" t="s">
        <v>25</v>
      </c>
      <c r="N440" t="s">
        <v>447</v>
      </c>
      <c r="O440" s="18" t="s">
        <v>92</v>
      </c>
      <c r="P440">
        <v>0</v>
      </c>
      <c r="Q440" s="18">
        <v>0</v>
      </c>
      <c r="R440">
        <v>2</v>
      </c>
      <c r="S440" s="18">
        <v>0</v>
      </c>
      <c r="T440">
        <v>0</v>
      </c>
      <c r="U440" s="18">
        <v>0</v>
      </c>
    </row>
    <row r="441" spans="1:28" x14ac:dyDescent="0.3">
      <c r="A441" s="7">
        <v>44842</v>
      </c>
      <c r="B441">
        <v>6</v>
      </c>
      <c r="C441" t="s">
        <v>26</v>
      </c>
      <c r="D441">
        <v>1</v>
      </c>
      <c r="E441">
        <v>1</v>
      </c>
      <c r="F441" t="s">
        <v>35</v>
      </c>
      <c r="G441">
        <v>1</v>
      </c>
      <c r="H441" s="8">
        <v>0.54166666666666663</v>
      </c>
      <c r="I441" s="8">
        <v>0.5625</v>
      </c>
      <c r="J441" s="8">
        <f t="shared" si="18"/>
        <v>2.083333333333337E-2</v>
      </c>
      <c r="K441" s="12">
        <f t="shared" si="19"/>
        <v>0.50000000000000089</v>
      </c>
      <c r="L441" s="12">
        <f t="shared" si="20"/>
        <v>0.50000000000000089</v>
      </c>
      <c r="M441" t="s">
        <v>25</v>
      </c>
      <c r="N441" t="s">
        <v>412</v>
      </c>
      <c r="O441" s="18" t="s">
        <v>92</v>
      </c>
      <c r="P441">
        <v>0</v>
      </c>
      <c r="Q441" s="18">
        <v>0</v>
      </c>
      <c r="R441">
        <v>0</v>
      </c>
      <c r="S441" s="18">
        <v>0</v>
      </c>
      <c r="T441">
        <v>0</v>
      </c>
      <c r="U441" s="18">
        <v>0</v>
      </c>
    </row>
    <row r="442" spans="1:28" x14ac:dyDescent="0.3">
      <c r="A442" s="7">
        <v>44842</v>
      </c>
      <c r="B442">
        <v>6</v>
      </c>
      <c r="C442" t="s">
        <v>26</v>
      </c>
      <c r="D442">
        <v>1</v>
      </c>
      <c r="E442">
        <v>1</v>
      </c>
      <c r="F442" t="s">
        <v>35</v>
      </c>
      <c r="G442">
        <v>2</v>
      </c>
      <c r="H442" s="8">
        <v>0.35416666666666669</v>
      </c>
      <c r="I442" s="8">
        <v>0.57638888888888895</v>
      </c>
      <c r="J442" s="8">
        <f t="shared" si="18"/>
        <v>0.22222222222222227</v>
      </c>
      <c r="K442" s="12">
        <f t="shared" si="19"/>
        <v>5.3333333333333339</v>
      </c>
      <c r="L442" s="12">
        <f t="shared" si="20"/>
        <v>10.666666666666668</v>
      </c>
      <c r="M442" t="s">
        <v>25</v>
      </c>
      <c r="N442" t="s">
        <v>412</v>
      </c>
      <c r="O442" s="18" t="s">
        <v>92</v>
      </c>
      <c r="P442">
        <v>0</v>
      </c>
      <c r="Q442" s="18">
        <v>0</v>
      </c>
      <c r="R442">
        <v>0</v>
      </c>
      <c r="S442" s="18">
        <v>0</v>
      </c>
      <c r="T442">
        <v>0</v>
      </c>
      <c r="U442" s="18">
        <v>0</v>
      </c>
    </row>
    <row r="443" spans="1:28" s="26" customFormat="1" x14ac:dyDescent="0.3">
      <c r="A443" s="25">
        <v>44842</v>
      </c>
      <c r="B443" s="26">
        <v>6</v>
      </c>
      <c r="C443" s="26" t="s">
        <v>26</v>
      </c>
      <c r="D443" s="26">
        <v>1</v>
      </c>
      <c r="E443" s="26">
        <v>1</v>
      </c>
      <c r="F443" s="26" t="s">
        <v>35</v>
      </c>
      <c r="G443" s="26">
        <v>2</v>
      </c>
      <c r="H443" s="27">
        <v>0.375</v>
      </c>
      <c r="I443" s="27">
        <v>0.58333333333333337</v>
      </c>
      <c r="J443" s="8">
        <f t="shared" si="18"/>
        <v>0.20833333333333337</v>
      </c>
      <c r="K443" s="12">
        <f t="shared" si="19"/>
        <v>5.0000000000000009</v>
      </c>
      <c r="L443" s="12">
        <f t="shared" si="20"/>
        <v>10.000000000000002</v>
      </c>
      <c r="M443" s="26" t="s">
        <v>25</v>
      </c>
      <c r="N443" s="26" t="s">
        <v>412</v>
      </c>
      <c r="O443" s="28" t="s">
        <v>92</v>
      </c>
      <c r="P443" s="26">
        <v>0</v>
      </c>
      <c r="Q443" s="28">
        <v>0</v>
      </c>
      <c r="R443" s="26">
        <v>0</v>
      </c>
      <c r="S443" s="28">
        <v>0</v>
      </c>
      <c r="T443" s="26">
        <v>0</v>
      </c>
      <c r="U443" s="28">
        <v>0</v>
      </c>
    </row>
    <row r="444" spans="1:28" x14ac:dyDescent="0.3">
      <c r="A444" s="7">
        <v>44845</v>
      </c>
      <c r="B444">
        <v>7</v>
      </c>
      <c r="C444" t="s">
        <v>42</v>
      </c>
      <c r="D444">
        <v>2</v>
      </c>
      <c r="E444">
        <v>5</v>
      </c>
      <c r="F444" t="s">
        <v>27</v>
      </c>
      <c r="G444">
        <v>1</v>
      </c>
      <c r="H444" s="8">
        <v>0.70833333333333337</v>
      </c>
      <c r="I444" s="8">
        <v>0.72569444444444453</v>
      </c>
      <c r="J444" s="8">
        <f t="shared" si="18"/>
        <v>1.736111111111116E-2</v>
      </c>
      <c r="K444" s="12">
        <f t="shared" si="19"/>
        <v>0.41666666666666785</v>
      </c>
      <c r="L444" s="12">
        <f t="shared" si="20"/>
        <v>0.41666666666666785</v>
      </c>
      <c r="M444" t="s">
        <v>28</v>
      </c>
      <c r="N444" t="s">
        <v>411</v>
      </c>
      <c r="O444" s="18" t="s">
        <v>422</v>
      </c>
      <c r="P444">
        <v>1</v>
      </c>
      <c r="Q444" s="18">
        <v>0</v>
      </c>
      <c r="R444">
        <v>0</v>
      </c>
      <c r="S444" s="18">
        <v>0</v>
      </c>
      <c r="T444">
        <v>0</v>
      </c>
      <c r="U444" s="18">
        <v>0</v>
      </c>
      <c r="AB444" t="s">
        <v>470</v>
      </c>
    </row>
    <row r="445" spans="1:28" x14ac:dyDescent="0.3">
      <c r="A445" s="7">
        <v>44845</v>
      </c>
      <c r="B445">
        <v>7</v>
      </c>
      <c r="C445" t="s">
        <v>42</v>
      </c>
      <c r="D445">
        <v>2</v>
      </c>
      <c r="E445">
        <v>4</v>
      </c>
      <c r="F445" t="s">
        <v>27</v>
      </c>
      <c r="G445">
        <v>2</v>
      </c>
      <c r="H445" s="8">
        <v>0.6875</v>
      </c>
      <c r="I445" s="8">
        <v>0.74305555555555547</v>
      </c>
      <c r="J445" s="8">
        <f t="shared" si="18"/>
        <v>5.5555555555555469E-2</v>
      </c>
      <c r="K445" s="12">
        <f t="shared" si="19"/>
        <v>1.3333333333333313</v>
      </c>
      <c r="L445" s="12">
        <f t="shared" si="20"/>
        <v>2.6666666666666625</v>
      </c>
      <c r="M445" t="s">
        <v>28</v>
      </c>
      <c r="N445" t="s">
        <v>411</v>
      </c>
      <c r="O445" s="18" t="s">
        <v>422</v>
      </c>
      <c r="P445">
        <v>0</v>
      </c>
      <c r="Q445" s="18">
        <v>0</v>
      </c>
      <c r="R445">
        <v>0</v>
      </c>
      <c r="S445" s="18">
        <v>0</v>
      </c>
      <c r="T445">
        <v>0</v>
      </c>
      <c r="U445" s="18">
        <v>0</v>
      </c>
    </row>
    <row r="446" spans="1:28" x14ac:dyDescent="0.3">
      <c r="A446" s="7">
        <v>44845</v>
      </c>
      <c r="B446">
        <v>7</v>
      </c>
      <c r="C446" t="s">
        <v>42</v>
      </c>
      <c r="D446">
        <v>2</v>
      </c>
      <c r="E446">
        <v>2</v>
      </c>
      <c r="F446" t="s">
        <v>27</v>
      </c>
      <c r="G446">
        <v>1</v>
      </c>
      <c r="H446" s="8">
        <v>0.73958333333333337</v>
      </c>
      <c r="I446" s="8">
        <v>0.77083333333333337</v>
      </c>
      <c r="J446" s="8">
        <f t="shared" si="18"/>
        <v>3.125E-2</v>
      </c>
      <c r="K446" s="12">
        <f t="shared" si="19"/>
        <v>0.75</v>
      </c>
      <c r="L446" s="12">
        <f t="shared" si="20"/>
        <v>0.75</v>
      </c>
      <c r="M446" t="s">
        <v>28</v>
      </c>
      <c r="N446" t="s">
        <v>408</v>
      </c>
      <c r="O446" s="18" t="s">
        <v>405</v>
      </c>
      <c r="P446">
        <v>0</v>
      </c>
      <c r="Q446" s="18">
        <v>0</v>
      </c>
      <c r="R446">
        <v>0</v>
      </c>
      <c r="S446" s="18">
        <v>0</v>
      </c>
      <c r="T446">
        <v>0</v>
      </c>
      <c r="U446" s="18">
        <v>0</v>
      </c>
    </row>
    <row r="447" spans="1:28" x14ac:dyDescent="0.3">
      <c r="A447" s="7">
        <v>44845</v>
      </c>
      <c r="B447">
        <v>7</v>
      </c>
      <c r="C447" t="s">
        <v>42</v>
      </c>
      <c r="D447">
        <v>2</v>
      </c>
      <c r="E447">
        <v>2</v>
      </c>
      <c r="F447" t="s">
        <v>27</v>
      </c>
      <c r="G447">
        <v>1</v>
      </c>
      <c r="H447" s="8">
        <v>0.70833333333333337</v>
      </c>
      <c r="I447" s="8">
        <v>0.77083333333333337</v>
      </c>
      <c r="J447" s="8">
        <f t="shared" si="18"/>
        <v>6.25E-2</v>
      </c>
      <c r="K447" s="12">
        <f t="shared" si="19"/>
        <v>1.5</v>
      </c>
      <c r="L447" s="12">
        <f t="shared" si="20"/>
        <v>1.5</v>
      </c>
      <c r="M447" t="s">
        <v>28</v>
      </c>
      <c r="N447" t="s">
        <v>415</v>
      </c>
      <c r="O447" s="18" t="s">
        <v>92</v>
      </c>
      <c r="P447">
        <v>0</v>
      </c>
      <c r="Q447" s="18">
        <v>0</v>
      </c>
      <c r="R447">
        <v>0</v>
      </c>
      <c r="S447" s="18">
        <v>0</v>
      </c>
      <c r="T447">
        <v>0</v>
      </c>
      <c r="U447" s="18">
        <v>0</v>
      </c>
    </row>
    <row r="448" spans="1:28" s="26" customFormat="1" x14ac:dyDescent="0.3">
      <c r="A448" s="25">
        <v>44845</v>
      </c>
      <c r="B448" s="26">
        <v>7</v>
      </c>
      <c r="C448" s="26" t="s">
        <v>42</v>
      </c>
      <c r="D448" s="26">
        <v>2</v>
      </c>
      <c r="E448" s="26">
        <v>2</v>
      </c>
      <c r="F448" s="26" t="s">
        <v>27</v>
      </c>
      <c r="G448" s="26">
        <v>1</v>
      </c>
      <c r="H448" s="27">
        <v>0.70833333333333337</v>
      </c>
      <c r="I448" s="27">
        <v>0.72916666666666663</v>
      </c>
      <c r="J448" s="8">
        <f t="shared" si="18"/>
        <v>2.0833333333333259E-2</v>
      </c>
      <c r="K448" s="12">
        <f t="shared" si="19"/>
        <v>0.49999999999999822</v>
      </c>
      <c r="L448" s="12">
        <f t="shared" si="20"/>
        <v>0.49999999999999822</v>
      </c>
      <c r="M448" s="26" t="s">
        <v>25</v>
      </c>
      <c r="N448" s="26" t="s">
        <v>404</v>
      </c>
      <c r="O448" s="28" t="s">
        <v>405</v>
      </c>
      <c r="P448" s="26">
        <v>0</v>
      </c>
      <c r="Q448" s="28">
        <v>0</v>
      </c>
      <c r="R448" s="26">
        <v>0</v>
      </c>
      <c r="S448" s="28">
        <v>0</v>
      </c>
      <c r="T448" s="26">
        <v>0</v>
      </c>
      <c r="U448" s="28">
        <v>0</v>
      </c>
    </row>
    <row r="449" spans="1:28" x14ac:dyDescent="0.3">
      <c r="A449" s="7">
        <v>44846</v>
      </c>
      <c r="B449">
        <v>7</v>
      </c>
      <c r="C449" t="s">
        <v>42</v>
      </c>
      <c r="D449">
        <v>1</v>
      </c>
      <c r="E449">
        <v>4</v>
      </c>
      <c r="F449" t="s">
        <v>27</v>
      </c>
      <c r="G449">
        <v>4</v>
      </c>
      <c r="H449" s="8">
        <v>0.71180555555555547</v>
      </c>
      <c r="I449" s="8">
        <v>0.72569444444444453</v>
      </c>
      <c r="J449" s="8">
        <f t="shared" si="18"/>
        <v>1.3888888888889062E-2</v>
      </c>
      <c r="K449" s="12">
        <f t="shared" si="19"/>
        <v>0.33333333333333748</v>
      </c>
      <c r="L449" s="12">
        <f t="shared" si="20"/>
        <v>1.3333333333333499</v>
      </c>
      <c r="M449" t="s">
        <v>28</v>
      </c>
      <c r="N449" t="s">
        <v>408</v>
      </c>
      <c r="O449" s="18" t="s">
        <v>92</v>
      </c>
      <c r="P449">
        <v>0</v>
      </c>
      <c r="Q449" s="18">
        <v>0</v>
      </c>
      <c r="R449">
        <v>0</v>
      </c>
      <c r="S449" s="18">
        <v>0</v>
      </c>
      <c r="T449">
        <v>0</v>
      </c>
      <c r="U449" s="18">
        <v>0</v>
      </c>
      <c r="AB449" t="s">
        <v>471</v>
      </c>
    </row>
    <row r="450" spans="1:28" x14ac:dyDescent="0.3">
      <c r="A450" s="7">
        <v>44846</v>
      </c>
      <c r="B450">
        <v>7</v>
      </c>
      <c r="C450" t="s">
        <v>42</v>
      </c>
      <c r="D450">
        <v>1</v>
      </c>
      <c r="E450">
        <v>4</v>
      </c>
      <c r="F450" t="s">
        <v>27</v>
      </c>
      <c r="G450">
        <v>3</v>
      </c>
      <c r="H450" s="8">
        <v>0.70833333333333337</v>
      </c>
      <c r="I450" s="8">
        <v>0.72916666666666663</v>
      </c>
      <c r="J450" s="8">
        <f t="shared" si="18"/>
        <v>2.0833333333333259E-2</v>
      </c>
      <c r="K450" s="12">
        <f t="shared" si="19"/>
        <v>0.49999999999999822</v>
      </c>
      <c r="L450" s="12">
        <f t="shared" si="20"/>
        <v>1.4999999999999947</v>
      </c>
      <c r="M450" t="s">
        <v>28</v>
      </c>
      <c r="N450" t="s">
        <v>472</v>
      </c>
      <c r="O450" s="18" t="s">
        <v>407</v>
      </c>
      <c r="P450">
        <v>0</v>
      </c>
      <c r="Q450" s="18">
        <v>0</v>
      </c>
      <c r="R450">
        <v>0</v>
      </c>
      <c r="S450" s="18">
        <v>0</v>
      </c>
      <c r="T450">
        <v>0</v>
      </c>
      <c r="U450" s="18">
        <v>0</v>
      </c>
    </row>
    <row r="451" spans="1:28" x14ac:dyDescent="0.3">
      <c r="A451" s="7">
        <v>44846</v>
      </c>
      <c r="B451">
        <v>7</v>
      </c>
      <c r="C451" t="s">
        <v>42</v>
      </c>
      <c r="D451">
        <v>2</v>
      </c>
      <c r="E451">
        <v>2</v>
      </c>
      <c r="F451" t="s">
        <v>27</v>
      </c>
      <c r="G451">
        <v>1</v>
      </c>
      <c r="H451" s="8">
        <v>0.6875</v>
      </c>
      <c r="I451" s="8">
        <v>0.74652777777777779</v>
      </c>
      <c r="J451" s="8">
        <f t="shared" ref="J451:J514" si="21">I451-H451</f>
        <v>5.902777777777779E-2</v>
      </c>
      <c r="K451" s="12">
        <f t="shared" ref="K451:K514" si="22">(J451-INT(J451))*24</f>
        <v>1.416666666666667</v>
      </c>
      <c r="L451" s="12">
        <f t="shared" si="20"/>
        <v>1.416666666666667</v>
      </c>
      <c r="M451" t="s">
        <v>28</v>
      </c>
      <c r="N451" t="s">
        <v>426</v>
      </c>
      <c r="O451" s="18" t="s">
        <v>92</v>
      </c>
      <c r="P451">
        <v>0</v>
      </c>
      <c r="Q451" s="18">
        <v>0</v>
      </c>
      <c r="R451">
        <v>0</v>
      </c>
      <c r="S451" s="18">
        <v>0</v>
      </c>
      <c r="T451">
        <v>0</v>
      </c>
      <c r="U451" s="18">
        <v>0</v>
      </c>
    </row>
    <row r="452" spans="1:28" x14ac:dyDescent="0.3">
      <c r="A452" s="7">
        <v>44846</v>
      </c>
      <c r="B452">
        <v>7</v>
      </c>
      <c r="C452" t="s">
        <v>42</v>
      </c>
      <c r="D452">
        <v>2</v>
      </c>
      <c r="E452">
        <v>4</v>
      </c>
      <c r="F452" t="s">
        <v>27</v>
      </c>
      <c r="G452">
        <v>1</v>
      </c>
      <c r="H452" s="8">
        <v>0.71875</v>
      </c>
      <c r="I452" s="8">
        <v>0.76388888888888884</v>
      </c>
      <c r="J452" s="8">
        <f t="shared" si="21"/>
        <v>4.513888888888884E-2</v>
      </c>
      <c r="K452" s="12">
        <f t="shared" si="22"/>
        <v>1.0833333333333321</v>
      </c>
      <c r="L452" s="12">
        <f t="shared" ref="L452:L515" si="23">G452*K452</f>
        <v>1.0833333333333321</v>
      </c>
      <c r="M452" t="s">
        <v>28</v>
      </c>
      <c r="N452" t="s">
        <v>435</v>
      </c>
      <c r="O452" s="18" t="s">
        <v>405</v>
      </c>
      <c r="P452">
        <v>0</v>
      </c>
      <c r="Q452" s="18">
        <v>0</v>
      </c>
      <c r="R452">
        <v>0</v>
      </c>
      <c r="S452" s="18">
        <v>0</v>
      </c>
      <c r="T452">
        <v>0</v>
      </c>
      <c r="U452" s="18">
        <v>0</v>
      </c>
    </row>
    <row r="453" spans="1:28" x14ac:dyDescent="0.3">
      <c r="A453" s="7">
        <v>44846</v>
      </c>
      <c r="B453">
        <v>7</v>
      </c>
      <c r="C453" t="s">
        <v>42</v>
      </c>
      <c r="D453">
        <v>2</v>
      </c>
      <c r="E453">
        <v>4</v>
      </c>
      <c r="F453" t="s">
        <v>27</v>
      </c>
      <c r="G453">
        <v>1</v>
      </c>
      <c r="H453" s="8">
        <v>0.6875</v>
      </c>
      <c r="I453" s="8">
        <v>0.77430555555555547</v>
      </c>
      <c r="J453" s="8">
        <f t="shared" si="21"/>
        <v>8.6805555555555469E-2</v>
      </c>
      <c r="K453" s="12">
        <f t="shared" si="22"/>
        <v>2.0833333333333313</v>
      </c>
      <c r="L453" s="12">
        <f t="shared" si="23"/>
        <v>2.0833333333333313</v>
      </c>
      <c r="M453" t="s">
        <v>25</v>
      </c>
      <c r="N453" t="s">
        <v>447</v>
      </c>
      <c r="O453" s="18" t="s">
        <v>92</v>
      </c>
      <c r="P453">
        <v>0</v>
      </c>
      <c r="Q453" s="18">
        <v>0</v>
      </c>
      <c r="R453">
        <v>0</v>
      </c>
      <c r="S453" s="18">
        <v>0</v>
      </c>
      <c r="T453">
        <v>0</v>
      </c>
      <c r="U453" s="18">
        <v>0</v>
      </c>
    </row>
    <row r="454" spans="1:28" x14ac:dyDescent="0.3">
      <c r="A454" s="7">
        <v>44846</v>
      </c>
      <c r="B454">
        <v>7</v>
      </c>
      <c r="C454" t="s">
        <v>42</v>
      </c>
      <c r="D454">
        <v>2</v>
      </c>
      <c r="E454">
        <v>5</v>
      </c>
      <c r="F454" t="s">
        <v>27</v>
      </c>
      <c r="G454">
        <v>2</v>
      </c>
      <c r="H454" s="8">
        <v>0.75</v>
      </c>
      <c r="I454" s="8">
        <v>0.78472222222222221</v>
      </c>
      <c r="J454" s="8">
        <f t="shared" si="21"/>
        <v>3.472222222222221E-2</v>
      </c>
      <c r="K454" s="12">
        <f t="shared" si="22"/>
        <v>0.83333333333333304</v>
      </c>
      <c r="L454" s="12">
        <f t="shared" si="23"/>
        <v>1.6666666666666661</v>
      </c>
      <c r="M454" t="s">
        <v>28</v>
      </c>
      <c r="N454" t="s">
        <v>415</v>
      </c>
      <c r="O454" s="18" t="s">
        <v>92</v>
      </c>
      <c r="P454">
        <v>0</v>
      </c>
      <c r="Q454" s="18">
        <v>0</v>
      </c>
      <c r="R454">
        <v>0</v>
      </c>
      <c r="S454" s="18">
        <v>0</v>
      </c>
      <c r="T454">
        <v>0</v>
      </c>
      <c r="U454" s="18">
        <v>0</v>
      </c>
    </row>
    <row r="455" spans="1:28" s="26" customFormat="1" x14ac:dyDescent="0.3">
      <c r="A455" s="25">
        <v>44846</v>
      </c>
      <c r="B455" s="26">
        <v>7</v>
      </c>
      <c r="C455" s="26" t="s">
        <v>42</v>
      </c>
      <c r="D455" s="26">
        <v>2</v>
      </c>
      <c r="E455" s="26">
        <v>5</v>
      </c>
      <c r="F455" s="26" t="s">
        <v>27</v>
      </c>
      <c r="G455" s="26">
        <v>1</v>
      </c>
      <c r="H455" s="27">
        <v>0.67708333333333337</v>
      </c>
      <c r="I455" s="27">
        <v>0.78472222222222221</v>
      </c>
      <c r="J455" s="8">
        <f t="shared" si="21"/>
        <v>0.10763888888888884</v>
      </c>
      <c r="K455" s="12">
        <f t="shared" si="22"/>
        <v>2.5833333333333321</v>
      </c>
      <c r="L455" s="12">
        <f t="shared" si="23"/>
        <v>2.5833333333333321</v>
      </c>
      <c r="M455" s="26" t="s">
        <v>25</v>
      </c>
      <c r="N455" s="26" t="s">
        <v>411</v>
      </c>
      <c r="O455" s="28" t="s">
        <v>92</v>
      </c>
      <c r="P455" s="26">
        <v>0</v>
      </c>
      <c r="Q455" s="28">
        <v>0</v>
      </c>
      <c r="R455" s="26">
        <v>0</v>
      </c>
      <c r="S455" s="28">
        <v>0</v>
      </c>
      <c r="T455" s="26">
        <v>0</v>
      </c>
      <c r="U455" s="28">
        <v>0</v>
      </c>
    </row>
    <row r="456" spans="1:28" s="30" customFormat="1" x14ac:dyDescent="0.3">
      <c r="A456" s="29">
        <v>44847</v>
      </c>
      <c r="B456" s="30">
        <v>7</v>
      </c>
      <c r="C456" s="30" t="s">
        <v>26</v>
      </c>
      <c r="D456" s="30">
        <v>2</v>
      </c>
      <c r="E456" s="30">
        <v>1</v>
      </c>
      <c r="F456" s="30" t="s">
        <v>27</v>
      </c>
      <c r="G456" s="30">
        <v>1</v>
      </c>
      <c r="H456" s="31">
        <v>0.39583333333333331</v>
      </c>
      <c r="I456" s="31">
        <v>0.47222222222222227</v>
      </c>
      <c r="J456" s="8">
        <f t="shared" si="21"/>
        <v>7.6388888888888951E-2</v>
      </c>
      <c r="K456" s="12">
        <f t="shared" si="22"/>
        <v>1.8333333333333348</v>
      </c>
      <c r="L456" s="12">
        <f t="shared" si="23"/>
        <v>1.8333333333333348</v>
      </c>
      <c r="M456" s="30" t="s">
        <v>28</v>
      </c>
      <c r="N456" s="30" t="s">
        <v>411</v>
      </c>
      <c r="O456" s="32" t="s">
        <v>422</v>
      </c>
      <c r="P456" s="30">
        <v>0</v>
      </c>
      <c r="Q456" s="32">
        <v>0</v>
      </c>
      <c r="R456" s="30">
        <v>0</v>
      </c>
      <c r="S456" s="32">
        <v>0</v>
      </c>
      <c r="T456" s="30">
        <v>0</v>
      </c>
      <c r="U456" s="32">
        <v>0</v>
      </c>
      <c r="AB456" s="30" t="s">
        <v>473</v>
      </c>
    </row>
    <row r="457" spans="1:28" x14ac:dyDescent="0.3">
      <c r="A457" s="7">
        <v>44850</v>
      </c>
      <c r="B457">
        <v>7</v>
      </c>
      <c r="C457" t="s">
        <v>26</v>
      </c>
      <c r="D457">
        <v>1</v>
      </c>
      <c r="E457">
        <v>2</v>
      </c>
      <c r="F457" t="s">
        <v>27</v>
      </c>
      <c r="G457">
        <v>2</v>
      </c>
      <c r="H457" s="8">
        <v>0.34375</v>
      </c>
      <c r="I457" s="8">
        <v>0.40972222222222227</v>
      </c>
      <c r="J457" s="8">
        <f t="shared" si="21"/>
        <v>6.5972222222222265E-2</v>
      </c>
      <c r="K457" s="12">
        <f t="shared" si="22"/>
        <v>1.5833333333333344</v>
      </c>
      <c r="L457" s="12">
        <f t="shared" si="23"/>
        <v>3.1666666666666687</v>
      </c>
      <c r="M457" t="s">
        <v>28</v>
      </c>
      <c r="N457" t="s">
        <v>415</v>
      </c>
      <c r="O457" s="18" t="s">
        <v>407</v>
      </c>
      <c r="P457">
        <v>0</v>
      </c>
      <c r="Q457" s="18">
        <v>0</v>
      </c>
      <c r="R457">
        <v>0</v>
      </c>
      <c r="S457" s="18">
        <v>0</v>
      </c>
      <c r="T457">
        <v>0</v>
      </c>
      <c r="U457" s="18">
        <v>0</v>
      </c>
      <c r="AB457" t="s">
        <v>474</v>
      </c>
    </row>
    <row r="458" spans="1:28" x14ac:dyDescent="0.3">
      <c r="A458" s="7">
        <v>44850</v>
      </c>
      <c r="B458">
        <v>7</v>
      </c>
      <c r="C458" t="s">
        <v>26</v>
      </c>
      <c r="D458">
        <v>1</v>
      </c>
      <c r="E458">
        <v>4</v>
      </c>
      <c r="F458" t="s">
        <v>27</v>
      </c>
      <c r="G458">
        <v>4</v>
      </c>
      <c r="H458" s="8">
        <v>0.375</v>
      </c>
      <c r="I458" s="8">
        <v>0.41666666666666669</v>
      </c>
      <c r="J458" s="8">
        <f t="shared" si="21"/>
        <v>4.1666666666666685E-2</v>
      </c>
      <c r="K458" s="12">
        <f t="shared" si="22"/>
        <v>1.0000000000000004</v>
      </c>
      <c r="L458" s="12">
        <f t="shared" si="23"/>
        <v>4.0000000000000018</v>
      </c>
      <c r="M458" t="s">
        <v>25</v>
      </c>
      <c r="N458" t="s">
        <v>475</v>
      </c>
      <c r="O458" s="18" t="s">
        <v>422</v>
      </c>
      <c r="P458">
        <v>0</v>
      </c>
      <c r="Q458" s="18">
        <v>0</v>
      </c>
      <c r="R458">
        <v>0</v>
      </c>
      <c r="S458" s="18">
        <v>0</v>
      </c>
      <c r="T458">
        <v>0</v>
      </c>
      <c r="U458" s="18">
        <v>0</v>
      </c>
    </row>
    <row r="459" spans="1:28" x14ac:dyDescent="0.3">
      <c r="A459" s="7">
        <v>44850</v>
      </c>
      <c r="B459">
        <v>7</v>
      </c>
      <c r="C459" t="s">
        <v>26</v>
      </c>
      <c r="D459">
        <v>1</v>
      </c>
      <c r="E459">
        <v>4</v>
      </c>
      <c r="F459" t="s">
        <v>27</v>
      </c>
      <c r="G459">
        <v>1</v>
      </c>
      <c r="H459" s="8">
        <v>0.33333333333333331</v>
      </c>
      <c r="I459" s="8">
        <v>0.4236111111111111</v>
      </c>
      <c r="J459" s="8">
        <f t="shared" si="21"/>
        <v>9.027777777777779E-2</v>
      </c>
      <c r="K459" s="12">
        <f t="shared" si="22"/>
        <v>2.166666666666667</v>
      </c>
      <c r="L459" s="12">
        <f t="shared" si="23"/>
        <v>2.166666666666667</v>
      </c>
      <c r="M459" t="s">
        <v>28</v>
      </c>
      <c r="N459" t="s">
        <v>411</v>
      </c>
      <c r="O459" s="18" t="s">
        <v>407</v>
      </c>
      <c r="P459">
        <v>0</v>
      </c>
      <c r="Q459" s="18">
        <v>0</v>
      </c>
      <c r="R459">
        <v>0</v>
      </c>
      <c r="S459" s="18">
        <v>0</v>
      </c>
      <c r="T459">
        <v>0</v>
      </c>
      <c r="U459" s="18">
        <v>0</v>
      </c>
    </row>
    <row r="460" spans="1:28" x14ac:dyDescent="0.3">
      <c r="A460" s="7">
        <v>44850</v>
      </c>
      <c r="B460">
        <v>7</v>
      </c>
      <c r="C460" t="s">
        <v>26</v>
      </c>
      <c r="D460">
        <v>2</v>
      </c>
      <c r="E460">
        <v>2</v>
      </c>
      <c r="F460" t="s">
        <v>27</v>
      </c>
      <c r="G460">
        <v>1</v>
      </c>
      <c r="H460" s="8">
        <v>0.39583333333333331</v>
      </c>
      <c r="I460" s="8">
        <v>0.43402777777777773</v>
      </c>
      <c r="J460" s="8">
        <f t="shared" si="21"/>
        <v>3.819444444444442E-2</v>
      </c>
      <c r="K460" s="12">
        <f t="shared" si="22"/>
        <v>0.91666666666666607</v>
      </c>
      <c r="L460" s="12">
        <f t="shared" si="23"/>
        <v>0.91666666666666607</v>
      </c>
      <c r="M460" t="s">
        <v>25</v>
      </c>
      <c r="N460" t="s">
        <v>415</v>
      </c>
      <c r="O460" s="18" t="s">
        <v>476</v>
      </c>
      <c r="P460">
        <v>0</v>
      </c>
      <c r="Q460" s="18">
        <v>0</v>
      </c>
      <c r="R460">
        <v>0</v>
      </c>
      <c r="S460" s="18">
        <v>0</v>
      </c>
      <c r="T460">
        <v>0</v>
      </c>
      <c r="U460" s="18">
        <v>0</v>
      </c>
    </row>
    <row r="461" spans="1:28" x14ac:dyDescent="0.3">
      <c r="A461" s="7">
        <v>44850</v>
      </c>
      <c r="B461">
        <v>7</v>
      </c>
      <c r="C461" t="s">
        <v>26</v>
      </c>
      <c r="D461">
        <v>2</v>
      </c>
      <c r="E461">
        <v>4</v>
      </c>
      <c r="F461" t="s">
        <v>27</v>
      </c>
      <c r="G461">
        <v>2</v>
      </c>
      <c r="H461" s="8">
        <v>0.25</v>
      </c>
      <c r="I461" s="8">
        <v>0.44444444444444442</v>
      </c>
      <c r="J461" s="8">
        <f t="shared" si="21"/>
        <v>0.19444444444444442</v>
      </c>
      <c r="K461" s="12">
        <f t="shared" si="22"/>
        <v>4.6666666666666661</v>
      </c>
      <c r="L461" s="12">
        <f t="shared" si="23"/>
        <v>9.3333333333333321</v>
      </c>
      <c r="M461" t="s">
        <v>25</v>
      </c>
      <c r="N461" t="s">
        <v>477</v>
      </c>
      <c r="O461" s="18" t="s">
        <v>476</v>
      </c>
      <c r="P461">
        <v>0</v>
      </c>
      <c r="Q461" s="18">
        <v>0</v>
      </c>
      <c r="R461">
        <v>0</v>
      </c>
      <c r="S461" s="18">
        <v>0</v>
      </c>
      <c r="T461">
        <v>0</v>
      </c>
      <c r="U461" s="18">
        <v>0</v>
      </c>
    </row>
    <row r="462" spans="1:28" x14ac:dyDescent="0.3">
      <c r="A462" s="7">
        <v>44850</v>
      </c>
      <c r="B462">
        <v>7</v>
      </c>
      <c r="C462" t="s">
        <v>26</v>
      </c>
      <c r="D462">
        <v>3</v>
      </c>
      <c r="E462">
        <v>2</v>
      </c>
      <c r="F462" t="s">
        <v>27</v>
      </c>
      <c r="G462">
        <v>2</v>
      </c>
      <c r="H462" s="8">
        <v>0.41666666666666669</v>
      </c>
      <c r="I462" s="8">
        <v>0.46527777777777773</v>
      </c>
      <c r="J462" s="8">
        <f t="shared" si="21"/>
        <v>4.8611111111111049E-2</v>
      </c>
      <c r="K462" s="12">
        <f t="shared" si="22"/>
        <v>1.1666666666666652</v>
      </c>
      <c r="L462" s="12">
        <f t="shared" si="23"/>
        <v>2.3333333333333304</v>
      </c>
      <c r="M462" t="s">
        <v>28</v>
      </c>
      <c r="N462" t="s">
        <v>415</v>
      </c>
      <c r="O462" s="18" t="s">
        <v>405</v>
      </c>
      <c r="P462">
        <v>0</v>
      </c>
      <c r="Q462" s="18">
        <v>0</v>
      </c>
      <c r="R462">
        <v>0</v>
      </c>
      <c r="S462" s="18">
        <v>0</v>
      </c>
      <c r="T462">
        <v>0</v>
      </c>
      <c r="U462" s="18">
        <v>0</v>
      </c>
    </row>
    <row r="463" spans="1:28" x14ac:dyDescent="0.3">
      <c r="A463" s="7">
        <v>44850</v>
      </c>
      <c r="B463">
        <v>7</v>
      </c>
      <c r="C463" t="s">
        <v>26</v>
      </c>
      <c r="D463">
        <v>3</v>
      </c>
      <c r="E463">
        <v>6</v>
      </c>
      <c r="F463" t="s">
        <v>27</v>
      </c>
      <c r="G463">
        <v>1</v>
      </c>
      <c r="H463" s="8">
        <v>0.4513888888888889</v>
      </c>
      <c r="I463" s="8">
        <v>0.4861111111111111</v>
      </c>
      <c r="J463" s="8">
        <f t="shared" si="21"/>
        <v>3.472222222222221E-2</v>
      </c>
      <c r="K463" s="12">
        <f t="shared" si="22"/>
        <v>0.83333333333333304</v>
      </c>
      <c r="L463" s="12">
        <f t="shared" si="23"/>
        <v>0.83333333333333304</v>
      </c>
      <c r="M463" t="s">
        <v>28</v>
      </c>
      <c r="N463" t="s">
        <v>404</v>
      </c>
      <c r="O463" s="18" t="s">
        <v>405</v>
      </c>
      <c r="P463">
        <v>0</v>
      </c>
      <c r="Q463" s="18">
        <v>0</v>
      </c>
      <c r="R463">
        <v>0</v>
      </c>
      <c r="S463" s="18">
        <v>0</v>
      </c>
      <c r="T463">
        <v>0</v>
      </c>
      <c r="U463" s="18">
        <v>0</v>
      </c>
    </row>
    <row r="464" spans="1:28" x14ac:dyDescent="0.3">
      <c r="A464" s="7">
        <v>44850</v>
      </c>
      <c r="B464">
        <v>7</v>
      </c>
      <c r="C464" t="s">
        <v>26</v>
      </c>
      <c r="D464">
        <v>3</v>
      </c>
      <c r="E464">
        <v>6</v>
      </c>
      <c r="F464" t="s">
        <v>27</v>
      </c>
      <c r="G464">
        <v>3</v>
      </c>
      <c r="H464" s="8">
        <v>0.375</v>
      </c>
      <c r="I464" s="8">
        <v>0.4861111111111111</v>
      </c>
      <c r="J464" s="8">
        <f t="shared" si="21"/>
        <v>0.1111111111111111</v>
      </c>
      <c r="K464" s="12">
        <f t="shared" si="22"/>
        <v>2.6666666666666665</v>
      </c>
      <c r="L464" s="12">
        <f t="shared" si="23"/>
        <v>8</v>
      </c>
      <c r="M464" t="s">
        <v>28</v>
      </c>
      <c r="N464" t="s">
        <v>404</v>
      </c>
      <c r="O464" s="18" t="s">
        <v>405</v>
      </c>
      <c r="P464">
        <v>0</v>
      </c>
      <c r="Q464" s="18">
        <v>0</v>
      </c>
      <c r="R464">
        <v>0</v>
      </c>
      <c r="S464" s="18">
        <v>0</v>
      </c>
      <c r="T464">
        <v>0</v>
      </c>
      <c r="U464" s="18">
        <v>0</v>
      </c>
    </row>
    <row r="465" spans="1:28" x14ac:dyDescent="0.3">
      <c r="A465" s="7">
        <v>44850</v>
      </c>
      <c r="B465">
        <v>7</v>
      </c>
      <c r="C465" t="s">
        <v>26</v>
      </c>
      <c r="D465">
        <v>3</v>
      </c>
      <c r="E465">
        <v>8</v>
      </c>
      <c r="F465" t="s">
        <v>27</v>
      </c>
      <c r="G465">
        <v>1</v>
      </c>
      <c r="H465" s="8">
        <v>0.35416666666666669</v>
      </c>
      <c r="I465" s="8">
        <v>0.51388888888888895</v>
      </c>
      <c r="J465" s="8">
        <f t="shared" si="21"/>
        <v>0.15972222222222227</v>
      </c>
      <c r="K465" s="12">
        <f t="shared" si="22"/>
        <v>3.8333333333333344</v>
      </c>
      <c r="L465" s="12">
        <f t="shared" si="23"/>
        <v>3.8333333333333344</v>
      </c>
      <c r="M465" t="s">
        <v>25</v>
      </c>
      <c r="N465" t="s">
        <v>404</v>
      </c>
      <c r="O465" s="18" t="s">
        <v>92</v>
      </c>
      <c r="P465">
        <v>0</v>
      </c>
      <c r="Q465" s="18">
        <v>0</v>
      </c>
      <c r="R465">
        <v>2</v>
      </c>
      <c r="S465" s="18">
        <v>0</v>
      </c>
      <c r="T465">
        <v>0</v>
      </c>
      <c r="U465" s="18">
        <v>0</v>
      </c>
    </row>
    <row r="466" spans="1:28" x14ac:dyDescent="0.3">
      <c r="A466" s="7">
        <v>44850</v>
      </c>
      <c r="B466">
        <v>7</v>
      </c>
      <c r="C466" t="s">
        <v>26</v>
      </c>
      <c r="D466">
        <v>3</v>
      </c>
      <c r="E466">
        <v>8</v>
      </c>
      <c r="F466" t="s">
        <v>27</v>
      </c>
      <c r="G466">
        <v>2</v>
      </c>
      <c r="H466" s="8">
        <v>0.39583333333333331</v>
      </c>
      <c r="I466" s="8">
        <v>0.52083333333333337</v>
      </c>
      <c r="J466" s="8">
        <f t="shared" si="21"/>
        <v>0.12500000000000006</v>
      </c>
      <c r="K466" s="12">
        <f t="shared" si="22"/>
        <v>3.0000000000000013</v>
      </c>
      <c r="L466" s="12">
        <f t="shared" si="23"/>
        <v>6.0000000000000027</v>
      </c>
      <c r="M466" t="s">
        <v>25</v>
      </c>
      <c r="N466" t="s">
        <v>404</v>
      </c>
      <c r="O466" s="18" t="s">
        <v>92</v>
      </c>
      <c r="P466">
        <v>0</v>
      </c>
      <c r="Q466" s="18">
        <v>0</v>
      </c>
      <c r="R466">
        <v>0</v>
      </c>
      <c r="S466" s="18">
        <v>0</v>
      </c>
      <c r="T466">
        <v>0</v>
      </c>
      <c r="U466" s="18">
        <v>0</v>
      </c>
    </row>
    <row r="467" spans="1:28" x14ac:dyDescent="0.3">
      <c r="A467" s="7">
        <v>44850</v>
      </c>
      <c r="B467">
        <v>7</v>
      </c>
      <c r="C467" t="s">
        <v>26</v>
      </c>
      <c r="D467">
        <v>3</v>
      </c>
      <c r="E467">
        <v>8</v>
      </c>
      <c r="F467" t="s">
        <v>27</v>
      </c>
      <c r="G467">
        <v>1</v>
      </c>
      <c r="H467" s="8">
        <v>0.51041666666666663</v>
      </c>
      <c r="I467" s="8">
        <v>0.64583333333333337</v>
      </c>
      <c r="J467" s="8">
        <f t="shared" si="21"/>
        <v>0.13541666666666674</v>
      </c>
      <c r="K467" s="12">
        <f t="shared" si="22"/>
        <v>3.2500000000000018</v>
      </c>
      <c r="L467" s="12">
        <f t="shared" si="23"/>
        <v>3.2500000000000018</v>
      </c>
      <c r="M467" t="s">
        <v>25</v>
      </c>
      <c r="N467" t="s">
        <v>404</v>
      </c>
      <c r="O467" s="18" t="s">
        <v>92</v>
      </c>
      <c r="P467">
        <v>0</v>
      </c>
      <c r="Q467" s="18">
        <v>0</v>
      </c>
      <c r="R467">
        <v>1</v>
      </c>
      <c r="S467" s="18">
        <v>3</v>
      </c>
      <c r="T467">
        <v>0</v>
      </c>
      <c r="U467" s="18">
        <v>0</v>
      </c>
      <c r="Y467">
        <v>1</v>
      </c>
      <c r="AB467" t="s">
        <v>478</v>
      </c>
    </row>
    <row r="468" spans="1:28" s="26" customFormat="1" x14ac:dyDescent="0.3">
      <c r="A468" s="25">
        <v>44850</v>
      </c>
      <c r="B468" s="26">
        <v>7</v>
      </c>
      <c r="C468" s="26" t="s">
        <v>26</v>
      </c>
      <c r="D468" s="26">
        <v>3</v>
      </c>
      <c r="E468" s="26">
        <v>8</v>
      </c>
      <c r="F468" s="26" t="s">
        <v>27</v>
      </c>
      <c r="G468" s="26">
        <v>1</v>
      </c>
      <c r="H468" s="27">
        <v>0.45833333333333331</v>
      </c>
      <c r="I468" s="27">
        <v>0.65972222222222221</v>
      </c>
      <c r="J468" s="8">
        <f t="shared" si="21"/>
        <v>0.2013888888888889</v>
      </c>
      <c r="K468" s="12">
        <f t="shared" si="22"/>
        <v>4.8333333333333339</v>
      </c>
      <c r="L468" s="12">
        <f t="shared" si="23"/>
        <v>4.8333333333333339</v>
      </c>
      <c r="M468" s="26" t="s">
        <v>28</v>
      </c>
      <c r="N468" s="26" t="s">
        <v>404</v>
      </c>
      <c r="O468" s="28" t="s">
        <v>92</v>
      </c>
      <c r="P468" s="26">
        <v>0</v>
      </c>
      <c r="Q468" s="28">
        <v>0</v>
      </c>
      <c r="R468" s="26">
        <v>3</v>
      </c>
      <c r="S468" s="28">
        <v>3</v>
      </c>
      <c r="T468" s="26">
        <v>0</v>
      </c>
      <c r="U468" s="28">
        <v>0</v>
      </c>
    </row>
    <row r="469" spans="1:28" x14ac:dyDescent="0.3">
      <c r="A469" s="7">
        <v>44853</v>
      </c>
      <c r="B469">
        <v>8</v>
      </c>
      <c r="C469" t="s">
        <v>26</v>
      </c>
      <c r="D469">
        <v>2</v>
      </c>
      <c r="E469">
        <v>2</v>
      </c>
      <c r="F469" t="s">
        <v>27</v>
      </c>
      <c r="G469">
        <v>1</v>
      </c>
      <c r="H469" s="8">
        <v>0.375</v>
      </c>
      <c r="I469" s="8">
        <v>0.40972222222222227</v>
      </c>
      <c r="J469" s="8">
        <f t="shared" si="21"/>
        <v>3.4722222222222265E-2</v>
      </c>
      <c r="K469" s="12">
        <f t="shared" si="22"/>
        <v>0.83333333333333437</v>
      </c>
      <c r="L469" s="12">
        <f t="shared" si="23"/>
        <v>0.83333333333333437</v>
      </c>
      <c r="M469" t="s">
        <v>28</v>
      </c>
      <c r="N469" t="s">
        <v>415</v>
      </c>
      <c r="O469" s="18" t="s">
        <v>476</v>
      </c>
      <c r="P469">
        <v>0</v>
      </c>
      <c r="Q469" s="18">
        <v>0</v>
      </c>
      <c r="R469">
        <v>0</v>
      </c>
      <c r="S469" s="18">
        <v>0</v>
      </c>
      <c r="T469">
        <v>0</v>
      </c>
      <c r="U469" s="18">
        <v>0</v>
      </c>
      <c r="AB469" t="s">
        <v>479</v>
      </c>
    </row>
    <row r="470" spans="1:28" x14ac:dyDescent="0.3">
      <c r="A470" s="7">
        <v>44853</v>
      </c>
      <c r="B470">
        <v>8</v>
      </c>
      <c r="C470" t="s">
        <v>26</v>
      </c>
      <c r="D470">
        <v>2</v>
      </c>
      <c r="E470">
        <v>2</v>
      </c>
      <c r="F470" t="s">
        <v>27</v>
      </c>
      <c r="G470">
        <v>1</v>
      </c>
      <c r="H470" s="8">
        <v>0.36805555555555558</v>
      </c>
      <c r="I470" s="8">
        <v>0.41319444444444442</v>
      </c>
      <c r="J470" s="8">
        <f t="shared" si="21"/>
        <v>4.513888888888884E-2</v>
      </c>
      <c r="K470" s="12">
        <f t="shared" si="22"/>
        <v>1.0833333333333321</v>
      </c>
      <c r="L470" s="12">
        <f t="shared" si="23"/>
        <v>1.0833333333333321</v>
      </c>
      <c r="M470" t="s">
        <v>28</v>
      </c>
      <c r="N470" t="s">
        <v>411</v>
      </c>
      <c r="O470" s="18" t="s">
        <v>92</v>
      </c>
      <c r="P470">
        <v>0</v>
      </c>
      <c r="Q470" s="18">
        <v>0</v>
      </c>
      <c r="R470">
        <v>0</v>
      </c>
      <c r="S470" s="18">
        <v>0</v>
      </c>
      <c r="T470">
        <v>0</v>
      </c>
      <c r="U470" s="18">
        <v>0</v>
      </c>
    </row>
    <row r="471" spans="1:28" x14ac:dyDescent="0.3">
      <c r="A471" s="7">
        <v>44853</v>
      </c>
      <c r="B471">
        <v>8</v>
      </c>
      <c r="C471" t="s">
        <v>26</v>
      </c>
      <c r="D471">
        <v>2</v>
      </c>
      <c r="E471">
        <v>3</v>
      </c>
      <c r="F471" t="s">
        <v>27</v>
      </c>
      <c r="G471">
        <v>1</v>
      </c>
      <c r="H471" s="8">
        <v>0.39583333333333331</v>
      </c>
      <c r="I471" s="8">
        <v>0.43402777777777773</v>
      </c>
      <c r="J471" s="8">
        <f t="shared" si="21"/>
        <v>3.819444444444442E-2</v>
      </c>
      <c r="K471" s="12">
        <f t="shared" si="22"/>
        <v>0.91666666666666607</v>
      </c>
      <c r="L471" s="12">
        <f t="shared" si="23"/>
        <v>0.91666666666666607</v>
      </c>
      <c r="M471" t="s">
        <v>28</v>
      </c>
      <c r="N471" t="s">
        <v>415</v>
      </c>
      <c r="O471" s="18" t="s">
        <v>92</v>
      </c>
      <c r="P471">
        <v>0</v>
      </c>
      <c r="Q471" s="18">
        <v>0</v>
      </c>
      <c r="R471">
        <v>0</v>
      </c>
      <c r="S471" s="18">
        <v>0</v>
      </c>
      <c r="T471">
        <v>0</v>
      </c>
      <c r="U471" s="18">
        <v>0</v>
      </c>
    </row>
    <row r="472" spans="1:28" x14ac:dyDescent="0.3">
      <c r="A472" s="7">
        <v>44853</v>
      </c>
      <c r="B472">
        <v>8</v>
      </c>
      <c r="C472" t="s">
        <v>26</v>
      </c>
      <c r="D472">
        <v>2</v>
      </c>
      <c r="E472">
        <v>3</v>
      </c>
      <c r="F472" t="s">
        <v>27</v>
      </c>
      <c r="G472">
        <v>3</v>
      </c>
      <c r="H472" s="8">
        <v>0.27083333333333331</v>
      </c>
      <c r="I472" s="8">
        <v>0.4375</v>
      </c>
      <c r="J472" s="8">
        <f t="shared" si="21"/>
        <v>0.16666666666666669</v>
      </c>
      <c r="K472" s="12">
        <f t="shared" si="22"/>
        <v>4</v>
      </c>
      <c r="L472" s="12">
        <f t="shared" si="23"/>
        <v>12</v>
      </c>
      <c r="M472" t="s">
        <v>28</v>
      </c>
      <c r="N472" t="s">
        <v>411</v>
      </c>
      <c r="O472" s="18" t="s">
        <v>405</v>
      </c>
      <c r="P472">
        <v>2</v>
      </c>
      <c r="Q472" s="18">
        <v>0</v>
      </c>
      <c r="R472">
        <v>0</v>
      </c>
      <c r="S472" s="18">
        <v>0</v>
      </c>
      <c r="T472">
        <v>0</v>
      </c>
      <c r="U472" s="18">
        <v>2</v>
      </c>
    </row>
    <row r="473" spans="1:28" x14ac:dyDescent="0.3">
      <c r="A473" s="7">
        <v>44853</v>
      </c>
      <c r="B473">
        <v>8</v>
      </c>
      <c r="C473" t="s">
        <v>26</v>
      </c>
      <c r="D473">
        <v>3</v>
      </c>
      <c r="E473">
        <v>2</v>
      </c>
      <c r="F473" t="s">
        <v>27</v>
      </c>
      <c r="G473">
        <v>2</v>
      </c>
      <c r="H473" s="8">
        <v>0.4375</v>
      </c>
      <c r="I473" s="8">
        <v>0.46875</v>
      </c>
      <c r="J473" s="8">
        <f t="shared" si="21"/>
        <v>3.125E-2</v>
      </c>
      <c r="K473" s="12">
        <f t="shared" si="22"/>
        <v>0.75</v>
      </c>
      <c r="L473" s="12">
        <f t="shared" si="23"/>
        <v>1.5</v>
      </c>
      <c r="M473" t="s">
        <v>28</v>
      </c>
      <c r="N473" t="s">
        <v>441</v>
      </c>
      <c r="O473" s="18" t="s">
        <v>405</v>
      </c>
      <c r="P473">
        <v>0</v>
      </c>
      <c r="Q473" s="18">
        <v>0</v>
      </c>
      <c r="R473">
        <v>0</v>
      </c>
      <c r="S473" s="18">
        <v>0</v>
      </c>
      <c r="T473">
        <v>0</v>
      </c>
      <c r="U473" s="18">
        <v>0</v>
      </c>
    </row>
    <row r="474" spans="1:28" s="26" customFormat="1" x14ac:dyDescent="0.3">
      <c r="A474" s="25">
        <v>44853</v>
      </c>
      <c r="B474" s="26">
        <v>8</v>
      </c>
      <c r="C474" s="26" t="s">
        <v>26</v>
      </c>
      <c r="D474" s="26">
        <v>3</v>
      </c>
      <c r="E474" s="26">
        <v>2</v>
      </c>
      <c r="F474" s="26" t="s">
        <v>27</v>
      </c>
      <c r="G474" s="26">
        <v>1</v>
      </c>
      <c r="H474" s="27">
        <v>0.4513888888888889</v>
      </c>
      <c r="I474" s="27">
        <v>0.47916666666666669</v>
      </c>
      <c r="J474" s="8">
        <f t="shared" si="21"/>
        <v>2.777777777777779E-2</v>
      </c>
      <c r="K474" s="12">
        <f t="shared" si="22"/>
        <v>0.66666666666666696</v>
      </c>
      <c r="L474" s="12">
        <f t="shared" si="23"/>
        <v>0.66666666666666696</v>
      </c>
      <c r="M474" s="26" t="s">
        <v>28</v>
      </c>
      <c r="N474" s="26" t="s">
        <v>415</v>
      </c>
      <c r="O474" s="28" t="s">
        <v>92</v>
      </c>
      <c r="P474" s="26">
        <v>0</v>
      </c>
      <c r="Q474" s="28">
        <v>0</v>
      </c>
      <c r="R474" s="26">
        <v>0</v>
      </c>
      <c r="S474" s="28">
        <v>0</v>
      </c>
      <c r="T474" s="26">
        <v>0</v>
      </c>
      <c r="U474" s="28">
        <v>0</v>
      </c>
    </row>
    <row r="475" spans="1:28" x14ac:dyDescent="0.3">
      <c r="A475" s="7">
        <v>44855</v>
      </c>
      <c r="B475">
        <v>8</v>
      </c>
      <c r="C475" t="s">
        <v>42</v>
      </c>
      <c r="D475">
        <v>2</v>
      </c>
      <c r="E475">
        <v>1</v>
      </c>
      <c r="F475" t="s">
        <v>27</v>
      </c>
      <c r="G475">
        <v>1</v>
      </c>
      <c r="H475" s="8">
        <v>0.64583333333333337</v>
      </c>
      <c r="I475" s="8">
        <v>0.66666666666666663</v>
      </c>
      <c r="J475" s="8">
        <f t="shared" si="21"/>
        <v>2.0833333333333259E-2</v>
      </c>
      <c r="K475" s="12">
        <f t="shared" si="22"/>
        <v>0.49999999999999822</v>
      </c>
      <c r="L475" s="12">
        <f t="shared" si="23"/>
        <v>0.49999999999999822</v>
      </c>
      <c r="M475" t="s">
        <v>28</v>
      </c>
      <c r="N475" t="s">
        <v>408</v>
      </c>
      <c r="O475" s="18" t="s">
        <v>407</v>
      </c>
      <c r="P475">
        <v>0</v>
      </c>
      <c r="Q475" s="18">
        <v>0</v>
      </c>
      <c r="R475">
        <v>0</v>
      </c>
      <c r="S475" s="18">
        <v>0</v>
      </c>
      <c r="T475">
        <v>0</v>
      </c>
      <c r="U475" s="18">
        <v>0</v>
      </c>
      <c r="AB475" t="s">
        <v>480</v>
      </c>
    </row>
    <row r="476" spans="1:28" x14ac:dyDescent="0.3">
      <c r="A476" s="7">
        <v>44855</v>
      </c>
      <c r="B476">
        <v>8</v>
      </c>
      <c r="C476" t="s">
        <v>42</v>
      </c>
      <c r="D476">
        <v>2</v>
      </c>
      <c r="E476">
        <v>1</v>
      </c>
      <c r="F476" t="s">
        <v>27</v>
      </c>
      <c r="G476">
        <v>1</v>
      </c>
      <c r="H476" s="8">
        <v>0.64583333333333337</v>
      </c>
      <c r="I476" s="8">
        <v>0.66666666666666663</v>
      </c>
      <c r="J476" s="8">
        <f t="shared" si="21"/>
        <v>2.0833333333333259E-2</v>
      </c>
      <c r="K476" s="12">
        <f t="shared" si="22"/>
        <v>0.49999999999999822</v>
      </c>
      <c r="L476" s="12">
        <f t="shared" si="23"/>
        <v>0.49999999999999822</v>
      </c>
      <c r="M476" t="s">
        <v>28</v>
      </c>
      <c r="N476" t="s">
        <v>426</v>
      </c>
      <c r="O476" s="18" t="s">
        <v>407</v>
      </c>
      <c r="P476">
        <v>0</v>
      </c>
      <c r="Q476" s="18">
        <v>0</v>
      </c>
      <c r="R476">
        <v>0</v>
      </c>
      <c r="S476" s="18">
        <v>0</v>
      </c>
      <c r="T476">
        <v>0</v>
      </c>
      <c r="U476" s="18">
        <v>0</v>
      </c>
      <c r="AB476" t="s">
        <v>481</v>
      </c>
    </row>
    <row r="477" spans="1:28" x14ac:dyDescent="0.3">
      <c r="A477" s="7">
        <v>44855</v>
      </c>
      <c r="B477">
        <v>8</v>
      </c>
      <c r="C477" t="s">
        <v>42</v>
      </c>
      <c r="D477">
        <v>1</v>
      </c>
      <c r="E477">
        <v>3</v>
      </c>
      <c r="F477" t="s">
        <v>27</v>
      </c>
      <c r="G477">
        <v>2</v>
      </c>
      <c r="H477" s="8">
        <v>0.625</v>
      </c>
      <c r="I477" s="8">
        <v>0.64930555555555558</v>
      </c>
      <c r="J477" s="8">
        <f t="shared" si="21"/>
        <v>2.430555555555558E-2</v>
      </c>
      <c r="K477" s="12">
        <f t="shared" si="22"/>
        <v>0.58333333333333393</v>
      </c>
      <c r="L477" s="12">
        <f t="shared" si="23"/>
        <v>1.1666666666666679</v>
      </c>
      <c r="M477" t="s">
        <v>28</v>
      </c>
      <c r="N477" t="s">
        <v>416</v>
      </c>
      <c r="O477" s="18" t="s">
        <v>92</v>
      </c>
      <c r="P477">
        <v>0</v>
      </c>
      <c r="Q477" s="18">
        <v>0</v>
      </c>
      <c r="R477">
        <v>1</v>
      </c>
      <c r="S477" s="18">
        <v>0</v>
      </c>
      <c r="T477">
        <v>1</v>
      </c>
      <c r="U477" s="18">
        <v>0</v>
      </c>
    </row>
    <row r="478" spans="1:28" x14ac:dyDescent="0.3">
      <c r="A478" s="7">
        <v>44855</v>
      </c>
      <c r="B478">
        <v>8</v>
      </c>
      <c r="C478" t="s">
        <v>42</v>
      </c>
      <c r="D478">
        <v>3</v>
      </c>
      <c r="E478">
        <v>5</v>
      </c>
      <c r="F478" t="s">
        <v>27</v>
      </c>
      <c r="G478">
        <v>2</v>
      </c>
      <c r="H478" s="8">
        <v>0.69791666666666663</v>
      </c>
      <c r="I478" s="8">
        <v>0.71875</v>
      </c>
      <c r="J478" s="8">
        <f t="shared" si="21"/>
        <v>2.083333333333337E-2</v>
      </c>
      <c r="K478" s="12">
        <f t="shared" si="22"/>
        <v>0.50000000000000089</v>
      </c>
      <c r="L478" s="12">
        <f t="shared" si="23"/>
        <v>1.0000000000000018</v>
      </c>
      <c r="M478" t="s">
        <v>25</v>
      </c>
      <c r="N478" t="s">
        <v>482</v>
      </c>
      <c r="O478" s="18" t="s">
        <v>92</v>
      </c>
      <c r="P478">
        <v>0</v>
      </c>
      <c r="Q478" s="18">
        <v>0</v>
      </c>
      <c r="R478">
        <v>0</v>
      </c>
      <c r="S478" s="18">
        <v>0</v>
      </c>
      <c r="T478">
        <v>0</v>
      </c>
      <c r="U478" s="18">
        <v>0</v>
      </c>
    </row>
    <row r="479" spans="1:28" x14ac:dyDescent="0.3">
      <c r="A479" s="7">
        <v>44855</v>
      </c>
      <c r="B479">
        <v>8</v>
      </c>
      <c r="C479" t="s">
        <v>42</v>
      </c>
      <c r="D479">
        <v>3</v>
      </c>
      <c r="E479">
        <v>6</v>
      </c>
      <c r="F479" t="s">
        <v>27</v>
      </c>
      <c r="G479">
        <v>1</v>
      </c>
      <c r="H479" s="8">
        <v>0.625</v>
      </c>
      <c r="I479" s="8">
        <v>0.72916666666666663</v>
      </c>
      <c r="J479" s="8">
        <f t="shared" si="21"/>
        <v>0.10416666666666663</v>
      </c>
      <c r="K479" s="12">
        <f t="shared" si="22"/>
        <v>2.4999999999999991</v>
      </c>
      <c r="L479" s="12">
        <f t="shared" si="23"/>
        <v>2.4999999999999991</v>
      </c>
      <c r="M479" t="s">
        <v>28</v>
      </c>
      <c r="N479" t="s">
        <v>406</v>
      </c>
      <c r="O479" s="18" t="s">
        <v>92</v>
      </c>
      <c r="P479">
        <v>0</v>
      </c>
      <c r="Q479" s="18">
        <v>0</v>
      </c>
      <c r="R479">
        <v>0</v>
      </c>
      <c r="S479" s="18">
        <v>0</v>
      </c>
      <c r="T479">
        <v>0</v>
      </c>
      <c r="U479" s="18">
        <v>0</v>
      </c>
    </row>
    <row r="480" spans="1:28" s="26" customFormat="1" x14ac:dyDescent="0.3">
      <c r="A480" s="25">
        <v>44855</v>
      </c>
      <c r="B480" s="26">
        <v>8</v>
      </c>
      <c r="C480" s="26" t="s">
        <v>42</v>
      </c>
      <c r="D480" s="26">
        <v>3</v>
      </c>
      <c r="E480" s="26">
        <v>6</v>
      </c>
      <c r="F480" s="26" t="s">
        <v>27</v>
      </c>
      <c r="G480" s="26">
        <v>1</v>
      </c>
      <c r="H480" s="27">
        <v>0.73611111111111116</v>
      </c>
      <c r="I480" s="27">
        <v>0.76388888888888884</v>
      </c>
      <c r="J480" s="8">
        <f t="shared" si="21"/>
        <v>2.7777777777777679E-2</v>
      </c>
      <c r="K480" s="12">
        <f t="shared" si="22"/>
        <v>0.6666666666666643</v>
      </c>
      <c r="L480" s="12">
        <f t="shared" si="23"/>
        <v>0.6666666666666643</v>
      </c>
      <c r="M480" s="26" t="s">
        <v>25</v>
      </c>
      <c r="N480" s="26" t="s">
        <v>404</v>
      </c>
      <c r="O480" s="28" t="s">
        <v>476</v>
      </c>
      <c r="P480" s="26">
        <v>0</v>
      </c>
      <c r="Q480" s="28">
        <v>0</v>
      </c>
      <c r="R480" s="26">
        <v>0</v>
      </c>
      <c r="S480" s="28">
        <v>0</v>
      </c>
      <c r="T480" s="26">
        <v>0</v>
      </c>
      <c r="U480" s="28">
        <v>0</v>
      </c>
    </row>
    <row r="481" spans="1:28" s="30" customFormat="1" x14ac:dyDescent="0.3">
      <c r="A481" s="29">
        <v>44856</v>
      </c>
      <c r="B481" s="30">
        <v>8</v>
      </c>
      <c r="C481" s="30" t="s">
        <v>26</v>
      </c>
      <c r="D481" s="30">
        <v>2</v>
      </c>
      <c r="E481" s="30">
        <v>5</v>
      </c>
      <c r="F481" s="30" t="s">
        <v>27</v>
      </c>
      <c r="G481" s="30">
        <v>1</v>
      </c>
      <c r="H481" s="31">
        <v>0.35416666666666669</v>
      </c>
      <c r="I481" s="31">
        <v>0.38194444444444442</v>
      </c>
      <c r="J481" s="8">
        <f t="shared" si="21"/>
        <v>2.7777777777777735E-2</v>
      </c>
      <c r="K481" s="12">
        <f t="shared" si="22"/>
        <v>0.66666666666666563</v>
      </c>
      <c r="L481" s="12">
        <f t="shared" si="23"/>
        <v>0.66666666666666563</v>
      </c>
      <c r="M481" s="30" t="s">
        <v>25</v>
      </c>
      <c r="N481" s="30" t="s">
        <v>411</v>
      </c>
      <c r="O481" s="32" t="s">
        <v>476</v>
      </c>
      <c r="P481" s="30">
        <v>0</v>
      </c>
      <c r="Q481" s="32">
        <v>0</v>
      </c>
      <c r="R481" s="30">
        <v>0</v>
      </c>
      <c r="S481" s="32">
        <v>0</v>
      </c>
      <c r="T481" s="30">
        <v>0</v>
      </c>
      <c r="U481" s="32">
        <v>0</v>
      </c>
      <c r="AB481" s="30" t="s">
        <v>483</v>
      </c>
    </row>
    <row r="482" spans="1:28" x14ac:dyDescent="0.3">
      <c r="A482" s="7">
        <v>44856</v>
      </c>
      <c r="B482">
        <v>8</v>
      </c>
      <c r="C482" t="s">
        <v>42</v>
      </c>
      <c r="D482">
        <v>3</v>
      </c>
      <c r="E482">
        <v>8</v>
      </c>
      <c r="F482" t="s">
        <v>27</v>
      </c>
      <c r="G482">
        <v>2</v>
      </c>
      <c r="H482" s="8">
        <v>0.5</v>
      </c>
      <c r="I482" s="8">
        <v>0.60416666666666663</v>
      </c>
      <c r="J482" s="8">
        <f t="shared" si="21"/>
        <v>0.10416666666666663</v>
      </c>
      <c r="K482" s="12">
        <f t="shared" si="22"/>
        <v>2.4999999999999991</v>
      </c>
      <c r="L482" s="12">
        <f t="shared" si="23"/>
        <v>4.9999999999999982</v>
      </c>
      <c r="M482" t="s">
        <v>25</v>
      </c>
      <c r="N482" t="s">
        <v>404</v>
      </c>
      <c r="O482" s="18" t="s">
        <v>476</v>
      </c>
      <c r="P482">
        <v>0</v>
      </c>
      <c r="Q482" s="18">
        <v>0</v>
      </c>
      <c r="R482">
        <v>1</v>
      </c>
      <c r="S482" s="18">
        <v>0</v>
      </c>
      <c r="T482">
        <v>0</v>
      </c>
      <c r="U482" s="18">
        <v>0</v>
      </c>
      <c r="AB482" t="s">
        <v>484</v>
      </c>
    </row>
    <row r="483" spans="1:28" x14ac:dyDescent="0.3">
      <c r="A483" s="7">
        <v>44856</v>
      </c>
      <c r="B483">
        <v>8</v>
      </c>
      <c r="C483" t="s">
        <v>42</v>
      </c>
      <c r="D483">
        <v>3</v>
      </c>
      <c r="E483">
        <v>8</v>
      </c>
      <c r="F483" t="s">
        <v>27</v>
      </c>
      <c r="G483">
        <v>1</v>
      </c>
      <c r="H483" s="8">
        <v>0.39583333333333331</v>
      </c>
      <c r="I483" s="8">
        <v>0.59375</v>
      </c>
      <c r="J483" s="8">
        <f t="shared" si="21"/>
        <v>0.19791666666666669</v>
      </c>
      <c r="K483" s="12">
        <f t="shared" si="22"/>
        <v>4.75</v>
      </c>
      <c r="L483" s="12">
        <f t="shared" si="23"/>
        <v>4.75</v>
      </c>
      <c r="M483" t="s">
        <v>25</v>
      </c>
      <c r="N483" t="s">
        <v>415</v>
      </c>
      <c r="O483" s="18" t="s">
        <v>92</v>
      </c>
      <c r="P483">
        <v>0</v>
      </c>
      <c r="Q483" s="18">
        <v>0</v>
      </c>
      <c r="R483">
        <v>2</v>
      </c>
      <c r="S483" s="18">
        <v>1</v>
      </c>
      <c r="T483">
        <v>0</v>
      </c>
      <c r="U483" s="18">
        <v>0</v>
      </c>
    </row>
    <row r="484" spans="1:28" x14ac:dyDescent="0.3">
      <c r="A484" s="7">
        <v>44856</v>
      </c>
      <c r="B484">
        <v>8</v>
      </c>
      <c r="C484" t="s">
        <v>42</v>
      </c>
      <c r="D484">
        <v>3</v>
      </c>
      <c r="E484">
        <v>8</v>
      </c>
      <c r="F484" t="s">
        <v>27</v>
      </c>
      <c r="G484">
        <v>3</v>
      </c>
      <c r="H484" s="8">
        <v>0.38541666666666669</v>
      </c>
      <c r="I484" s="8">
        <v>0.54166666666666663</v>
      </c>
      <c r="J484" s="8">
        <f t="shared" si="21"/>
        <v>0.15624999999999994</v>
      </c>
      <c r="K484" s="12">
        <f t="shared" si="22"/>
        <v>3.7499999999999987</v>
      </c>
      <c r="L484" s="12">
        <f t="shared" si="23"/>
        <v>11.249999999999996</v>
      </c>
      <c r="M484" t="s">
        <v>25</v>
      </c>
      <c r="N484" t="s">
        <v>415</v>
      </c>
      <c r="O484" s="18" t="s">
        <v>92</v>
      </c>
      <c r="P484">
        <v>0</v>
      </c>
      <c r="Q484" s="18">
        <v>0</v>
      </c>
      <c r="R484">
        <v>8</v>
      </c>
      <c r="S484" s="18">
        <v>2</v>
      </c>
      <c r="T484">
        <v>0</v>
      </c>
      <c r="U484" s="18">
        <v>0</v>
      </c>
    </row>
    <row r="485" spans="1:28" x14ac:dyDescent="0.3">
      <c r="A485" s="7">
        <v>44856</v>
      </c>
      <c r="B485">
        <v>8</v>
      </c>
      <c r="C485" t="s">
        <v>42</v>
      </c>
      <c r="D485">
        <v>3</v>
      </c>
      <c r="E485">
        <v>8</v>
      </c>
      <c r="F485" t="s">
        <v>27</v>
      </c>
      <c r="G485">
        <v>1</v>
      </c>
      <c r="H485" s="8">
        <v>0.5</v>
      </c>
      <c r="I485" s="8">
        <v>0.61458333333333337</v>
      </c>
      <c r="J485" s="8">
        <f t="shared" si="21"/>
        <v>0.11458333333333337</v>
      </c>
      <c r="K485" s="12">
        <f t="shared" si="22"/>
        <v>2.7500000000000009</v>
      </c>
      <c r="L485" s="12">
        <f t="shared" si="23"/>
        <v>2.7500000000000009</v>
      </c>
      <c r="M485" t="s">
        <v>25</v>
      </c>
      <c r="N485" t="s">
        <v>404</v>
      </c>
      <c r="O485" s="18" t="s">
        <v>92</v>
      </c>
      <c r="P485">
        <v>0</v>
      </c>
      <c r="Q485" s="18">
        <v>0</v>
      </c>
      <c r="R485">
        <v>1</v>
      </c>
      <c r="S485" s="18">
        <v>1</v>
      </c>
      <c r="T485">
        <v>0</v>
      </c>
      <c r="U485" s="18">
        <v>0</v>
      </c>
    </row>
    <row r="486" spans="1:28" x14ac:dyDescent="0.3">
      <c r="A486" s="7">
        <v>44856</v>
      </c>
      <c r="B486">
        <v>8</v>
      </c>
      <c r="C486" t="s">
        <v>42</v>
      </c>
      <c r="D486">
        <v>3</v>
      </c>
      <c r="E486">
        <v>8</v>
      </c>
      <c r="F486" t="s">
        <v>27</v>
      </c>
      <c r="G486">
        <v>4</v>
      </c>
      <c r="H486" s="8">
        <v>0.375</v>
      </c>
      <c r="I486" s="8">
        <v>0.5625</v>
      </c>
      <c r="J486" s="8">
        <f t="shared" si="21"/>
        <v>0.1875</v>
      </c>
      <c r="K486" s="12">
        <f t="shared" si="22"/>
        <v>4.5</v>
      </c>
      <c r="L486" s="12">
        <f t="shared" si="23"/>
        <v>18</v>
      </c>
      <c r="M486" t="s">
        <v>25</v>
      </c>
      <c r="N486" t="s">
        <v>415</v>
      </c>
      <c r="O486" s="18" t="s">
        <v>92</v>
      </c>
      <c r="P486">
        <v>0</v>
      </c>
      <c r="Q486" s="18">
        <v>0</v>
      </c>
      <c r="R486">
        <v>4</v>
      </c>
      <c r="S486" s="18">
        <v>2</v>
      </c>
      <c r="T486">
        <v>0</v>
      </c>
      <c r="U486" s="18">
        <v>0</v>
      </c>
    </row>
    <row r="487" spans="1:28" x14ac:dyDescent="0.3">
      <c r="A487" s="7">
        <v>44856</v>
      </c>
      <c r="B487">
        <v>8</v>
      </c>
      <c r="C487" t="s">
        <v>42</v>
      </c>
      <c r="D487">
        <v>3</v>
      </c>
      <c r="E487">
        <v>2</v>
      </c>
      <c r="F487" t="s">
        <v>27</v>
      </c>
      <c r="G487">
        <v>1</v>
      </c>
      <c r="H487" s="8">
        <v>0.71527777777777779</v>
      </c>
      <c r="I487" s="8">
        <v>0.73611111111111116</v>
      </c>
      <c r="J487" s="8">
        <f t="shared" si="21"/>
        <v>2.083333333333337E-2</v>
      </c>
      <c r="K487" s="12">
        <f t="shared" si="22"/>
        <v>0.50000000000000089</v>
      </c>
      <c r="L487" s="12">
        <f t="shared" si="23"/>
        <v>0.50000000000000089</v>
      </c>
      <c r="M487" t="s">
        <v>28</v>
      </c>
      <c r="N487" t="s">
        <v>415</v>
      </c>
      <c r="O487" s="18" t="s">
        <v>405</v>
      </c>
      <c r="P487">
        <v>0</v>
      </c>
      <c r="Q487" s="18">
        <v>0</v>
      </c>
      <c r="R487">
        <v>0</v>
      </c>
      <c r="S487" s="18">
        <v>0</v>
      </c>
      <c r="T487">
        <v>1</v>
      </c>
      <c r="U487" s="18">
        <v>0</v>
      </c>
    </row>
    <row r="488" spans="1:28" x14ac:dyDescent="0.3">
      <c r="A488" s="7">
        <v>44856</v>
      </c>
      <c r="B488">
        <v>8</v>
      </c>
      <c r="C488" t="s">
        <v>42</v>
      </c>
      <c r="D488">
        <v>3</v>
      </c>
      <c r="E488">
        <v>2</v>
      </c>
      <c r="F488" t="s">
        <v>27</v>
      </c>
      <c r="G488">
        <v>1</v>
      </c>
      <c r="H488" s="8">
        <v>0.6875</v>
      </c>
      <c r="I488" s="8">
        <v>0.74305555555555547</v>
      </c>
      <c r="J488" s="8">
        <f t="shared" si="21"/>
        <v>5.5555555555555469E-2</v>
      </c>
      <c r="K488" s="12">
        <f t="shared" si="22"/>
        <v>1.3333333333333313</v>
      </c>
      <c r="L488" s="12">
        <f t="shared" si="23"/>
        <v>1.3333333333333313</v>
      </c>
      <c r="M488" t="s">
        <v>28</v>
      </c>
      <c r="N488" t="s">
        <v>415</v>
      </c>
      <c r="O488" s="18" t="s">
        <v>405</v>
      </c>
      <c r="P488">
        <v>0</v>
      </c>
      <c r="Q488" s="18">
        <v>0</v>
      </c>
      <c r="R488">
        <v>0</v>
      </c>
      <c r="S488" s="18">
        <v>0</v>
      </c>
      <c r="T488">
        <v>0</v>
      </c>
      <c r="U488" s="18">
        <v>0</v>
      </c>
    </row>
    <row r="489" spans="1:28" x14ac:dyDescent="0.3">
      <c r="A489" s="7">
        <v>44856</v>
      </c>
      <c r="B489">
        <v>8</v>
      </c>
      <c r="C489" t="s">
        <v>42</v>
      </c>
      <c r="D489">
        <v>3</v>
      </c>
      <c r="E489">
        <v>2</v>
      </c>
      <c r="F489" t="s">
        <v>27</v>
      </c>
      <c r="G489">
        <v>1</v>
      </c>
      <c r="H489" s="8">
        <v>0.58333333333333337</v>
      </c>
      <c r="I489" s="8">
        <v>0.74305555555555547</v>
      </c>
      <c r="J489" s="8">
        <f t="shared" si="21"/>
        <v>0.1597222222222221</v>
      </c>
      <c r="K489" s="12">
        <f t="shared" si="22"/>
        <v>3.8333333333333304</v>
      </c>
      <c r="L489" s="12">
        <f t="shared" si="23"/>
        <v>3.8333333333333304</v>
      </c>
      <c r="M489" t="s">
        <v>28</v>
      </c>
      <c r="N489" t="s">
        <v>404</v>
      </c>
      <c r="O489" s="18" t="s">
        <v>476</v>
      </c>
      <c r="P489">
        <v>0</v>
      </c>
      <c r="Q489" s="18">
        <v>0</v>
      </c>
      <c r="R489">
        <v>0</v>
      </c>
      <c r="S489" s="18">
        <v>0</v>
      </c>
      <c r="T489">
        <v>0</v>
      </c>
      <c r="U489" s="18">
        <v>0</v>
      </c>
    </row>
    <row r="490" spans="1:28" s="26" customFormat="1" x14ac:dyDescent="0.3">
      <c r="A490" s="25">
        <v>44856</v>
      </c>
      <c r="B490" s="26">
        <v>8</v>
      </c>
      <c r="C490" s="26" t="s">
        <v>42</v>
      </c>
      <c r="D490" s="26">
        <v>2</v>
      </c>
      <c r="E490" s="26">
        <v>4</v>
      </c>
      <c r="F490" s="26" t="s">
        <v>27</v>
      </c>
      <c r="G490" s="26">
        <v>1</v>
      </c>
      <c r="H490" s="27">
        <v>0.66666666666666663</v>
      </c>
      <c r="I490" s="27">
        <v>0.76041666666666663</v>
      </c>
      <c r="J490" s="8">
        <f t="shared" si="21"/>
        <v>9.375E-2</v>
      </c>
      <c r="K490" s="12">
        <f t="shared" si="22"/>
        <v>2.25</v>
      </c>
      <c r="L490" s="12">
        <f t="shared" si="23"/>
        <v>2.25</v>
      </c>
      <c r="M490" s="26" t="s">
        <v>25</v>
      </c>
      <c r="N490" s="26" t="s">
        <v>409</v>
      </c>
      <c r="O490" s="28" t="s">
        <v>476</v>
      </c>
      <c r="P490" s="26">
        <v>0</v>
      </c>
      <c r="Q490" s="28">
        <v>0</v>
      </c>
      <c r="R490" s="26">
        <v>0</v>
      </c>
      <c r="S490" s="28">
        <v>0</v>
      </c>
      <c r="T490" s="26">
        <v>0</v>
      </c>
      <c r="U490" s="28">
        <v>0</v>
      </c>
    </row>
    <row r="491" spans="1:28" x14ac:dyDescent="0.3">
      <c r="A491" s="7">
        <v>44861</v>
      </c>
      <c r="B491">
        <v>9</v>
      </c>
      <c r="C491" t="s">
        <v>26</v>
      </c>
      <c r="D491">
        <v>3</v>
      </c>
      <c r="E491">
        <v>7</v>
      </c>
      <c r="F491" t="s">
        <v>27</v>
      </c>
      <c r="G491">
        <v>1</v>
      </c>
      <c r="H491" s="8">
        <v>0.33333333333333331</v>
      </c>
      <c r="I491" s="8">
        <v>0.40625</v>
      </c>
      <c r="J491" s="8">
        <f t="shared" si="21"/>
        <v>7.2916666666666685E-2</v>
      </c>
      <c r="K491" s="12">
        <f t="shared" si="22"/>
        <v>1.7500000000000004</v>
      </c>
      <c r="L491" s="12">
        <f t="shared" si="23"/>
        <v>1.7500000000000004</v>
      </c>
      <c r="M491" t="s">
        <v>28</v>
      </c>
      <c r="N491" t="s">
        <v>404</v>
      </c>
      <c r="O491" s="18" t="s">
        <v>405</v>
      </c>
      <c r="P491">
        <v>0</v>
      </c>
      <c r="Q491" s="18">
        <v>0</v>
      </c>
      <c r="R491">
        <v>0</v>
      </c>
      <c r="S491" s="18">
        <v>0</v>
      </c>
      <c r="T491">
        <v>0</v>
      </c>
      <c r="U491" s="18">
        <v>0</v>
      </c>
      <c r="AB491" t="s">
        <v>485</v>
      </c>
    </row>
    <row r="492" spans="1:28" x14ac:dyDescent="0.3">
      <c r="A492" s="7">
        <v>44861</v>
      </c>
      <c r="B492">
        <v>9</v>
      </c>
      <c r="C492" t="s">
        <v>26</v>
      </c>
      <c r="D492">
        <v>3</v>
      </c>
      <c r="E492">
        <v>7</v>
      </c>
      <c r="F492" t="s">
        <v>27</v>
      </c>
      <c r="G492">
        <v>1</v>
      </c>
      <c r="H492" s="8">
        <v>0.32361111111111113</v>
      </c>
      <c r="I492" s="8">
        <v>0.40625</v>
      </c>
      <c r="J492" s="8">
        <f t="shared" si="21"/>
        <v>8.2638888888888873E-2</v>
      </c>
      <c r="K492" s="12">
        <f t="shared" si="22"/>
        <v>1.9833333333333329</v>
      </c>
      <c r="L492" s="12">
        <f t="shared" si="23"/>
        <v>1.9833333333333329</v>
      </c>
      <c r="M492" t="s">
        <v>28</v>
      </c>
      <c r="N492" t="s">
        <v>404</v>
      </c>
      <c r="O492" s="18" t="s">
        <v>405</v>
      </c>
      <c r="P492">
        <v>0</v>
      </c>
      <c r="Q492" s="18">
        <v>0</v>
      </c>
      <c r="R492">
        <v>0</v>
      </c>
      <c r="S492" s="18">
        <v>0</v>
      </c>
      <c r="T492">
        <v>0</v>
      </c>
      <c r="U492" s="18">
        <v>0</v>
      </c>
    </row>
    <row r="493" spans="1:28" x14ac:dyDescent="0.3">
      <c r="A493" s="7">
        <v>44861</v>
      </c>
      <c r="B493">
        <v>9</v>
      </c>
      <c r="C493" t="s">
        <v>26</v>
      </c>
      <c r="D493">
        <v>3</v>
      </c>
      <c r="E493">
        <v>6</v>
      </c>
      <c r="F493" t="s">
        <v>27</v>
      </c>
      <c r="G493">
        <v>2</v>
      </c>
      <c r="H493" s="8">
        <v>0.375</v>
      </c>
      <c r="I493" s="8">
        <v>0.41666666666666669</v>
      </c>
      <c r="J493" s="8">
        <f t="shared" si="21"/>
        <v>4.1666666666666685E-2</v>
      </c>
      <c r="K493" s="12">
        <f t="shared" si="22"/>
        <v>1.0000000000000004</v>
      </c>
      <c r="L493" s="12">
        <f t="shared" si="23"/>
        <v>2.0000000000000009</v>
      </c>
      <c r="M493" t="s">
        <v>25</v>
      </c>
      <c r="N493" t="s">
        <v>415</v>
      </c>
      <c r="O493" s="18" t="s">
        <v>218</v>
      </c>
      <c r="P493">
        <v>0</v>
      </c>
      <c r="Q493" s="18">
        <v>0</v>
      </c>
      <c r="R493">
        <v>0</v>
      </c>
      <c r="S493" s="18">
        <v>0</v>
      </c>
      <c r="T493">
        <v>0</v>
      </c>
      <c r="U493" s="18">
        <v>0</v>
      </c>
    </row>
    <row r="494" spans="1:28" x14ac:dyDescent="0.3">
      <c r="A494" s="7">
        <v>44861</v>
      </c>
      <c r="B494">
        <v>9</v>
      </c>
      <c r="C494" t="s">
        <v>26</v>
      </c>
      <c r="D494">
        <v>3</v>
      </c>
      <c r="E494">
        <v>6</v>
      </c>
      <c r="F494" t="s">
        <v>27</v>
      </c>
      <c r="G494">
        <v>1</v>
      </c>
      <c r="H494" s="8">
        <v>0.40277777777777773</v>
      </c>
      <c r="I494" s="8">
        <v>0.4236111111111111</v>
      </c>
      <c r="J494" s="8">
        <f t="shared" si="21"/>
        <v>2.083333333333337E-2</v>
      </c>
      <c r="K494" s="12">
        <f t="shared" si="22"/>
        <v>0.50000000000000089</v>
      </c>
      <c r="L494" s="12">
        <f t="shared" si="23"/>
        <v>0.50000000000000089</v>
      </c>
      <c r="M494" t="s">
        <v>28</v>
      </c>
      <c r="N494" t="s">
        <v>404</v>
      </c>
      <c r="O494" s="18" t="s">
        <v>476</v>
      </c>
      <c r="P494">
        <v>0</v>
      </c>
      <c r="Q494" s="18">
        <v>0</v>
      </c>
      <c r="R494">
        <v>0</v>
      </c>
      <c r="S494" s="18">
        <v>0</v>
      </c>
      <c r="T494">
        <v>0</v>
      </c>
      <c r="U494" s="18">
        <v>0</v>
      </c>
    </row>
    <row r="495" spans="1:28" x14ac:dyDescent="0.3">
      <c r="A495" s="7">
        <v>44861</v>
      </c>
      <c r="B495">
        <v>9</v>
      </c>
      <c r="C495" t="s">
        <v>26</v>
      </c>
      <c r="D495">
        <v>3</v>
      </c>
      <c r="E495">
        <v>6</v>
      </c>
      <c r="F495" t="s">
        <v>27</v>
      </c>
      <c r="G495">
        <v>1</v>
      </c>
      <c r="H495" s="8">
        <v>0.38194444444444442</v>
      </c>
      <c r="I495" s="8">
        <v>0.43055555555555558</v>
      </c>
      <c r="J495" s="8">
        <f t="shared" si="21"/>
        <v>4.861111111111116E-2</v>
      </c>
      <c r="K495" s="12">
        <f t="shared" si="22"/>
        <v>1.1666666666666679</v>
      </c>
      <c r="L495" s="12">
        <f t="shared" si="23"/>
        <v>1.1666666666666679</v>
      </c>
      <c r="M495" t="s">
        <v>28</v>
      </c>
      <c r="N495" t="s">
        <v>415</v>
      </c>
      <c r="O495" s="18" t="s">
        <v>92</v>
      </c>
      <c r="P495">
        <v>0</v>
      </c>
      <c r="Q495" s="18">
        <v>0</v>
      </c>
      <c r="R495">
        <v>0</v>
      </c>
      <c r="S495" s="18">
        <v>0</v>
      </c>
      <c r="T495">
        <v>1</v>
      </c>
      <c r="U495" s="18">
        <v>0</v>
      </c>
    </row>
    <row r="496" spans="1:28" x14ac:dyDescent="0.3">
      <c r="A496" s="7">
        <v>44861</v>
      </c>
      <c r="B496">
        <v>9</v>
      </c>
      <c r="C496" t="s">
        <v>26</v>
      </c>
      <c r="D496">
        <v>2</v>
      </c>
      <c r="E496">
        <v>5</v>
      </c>
      <c r="F496" t="s">
        <v>27</v>
      </c>
      <c r="G496">
        <v>1</v>
      </c>
      <c r="H496" s="8">
        <v>0.40625</v>
      </c>
      <c r="I496" s="8">
        <v>0.45833333333333331</v>
      </c>
      <c r="J496" s="8">
        <f t="shared" si="21"/>
        <v>5.2083333333333315E-2</v>
      </c>
      <c r="K496" s="12">
        <f t="shared" si="22"/>
        <v>1.2499999999999996</v>
      </c>
      <c r="L496" s="12">
        <f t="shared" si="23"/>
        <v>1.2499999999999996</v>
      </c>
      <c r="M496" t="s">
        <v>28</v>
      </c>
      <c r="N496" t="s">
        <v>411</v>
      </c>
      <c r="O496" s="18" t="s">
        <v>476</v>
      </c>
      <c r="P496">
        <v>0</v>
      </c>
      <c r="Q496" s="18">
        <v>0</v>
      </c>
      <c r="R496">
        <v>0</v>
      </c>
      <c r="S496" s="18">
        <v>0</v>
      </c>
      <c r="T496">
        <v>0</v>
      </c>
      <c r="U496" s="18">
        <v>0</v>
      </c>
    </row>
    <row r="497" spans="1:28" x14ac:dyDescent="0.3">
      <c r="A497" s="7">
        <v>44861</v>
      </c>
      <c r="B497">
        <v>9</v>
      </c>
      <c r="C497" t="s">
        <v>26</v>
      </c>
      <c r="D497">
        <v>2</v>
      </c>
      <c r="E497">
        <v>5</v>
      </c>
      <c r="F497" t="s">
        <v>27</v>
      </c>
      <c r="G497">
        <v>1</v>
      </c>
      <c r="H497" s="8">
        <v>0.45833333333333331</v>
      </c>
      <c r="I497" s="8">
        <v>0.51041666666666663</v>
      </c>
      <c r="J497" s="8">
        <f t="shared" si="21"/>
        <v>5.2083333333333315E-2</v>
      </c>
      <c r="K497" s="12">
        <f t="shared" si="22"/>
        <v>1.2499999999999996</v>
      </c>
      <c r="L497" s="12">
        <f t="shared" si="23"/>
        <v>1.2499999999999996</v>
      </c>
      <c r="M497" t="s">
        <v>25</v>
      </c>
      <c r="N497" t="s">
        <v>415</v>
      </c>
      <c r="O497" s="18" t="s">
        <v>218</v>
      </c>
      <c r="P497">
        <v>0</v>
      </c>
      <c r="Q497" s="18">
        <v>0</v>
      </c>
      <c r="R497">
        <v>0</v>
      </c>
      <c r="S497" s="18">
        <v>0</v>
      </c>
      <c r="T497">
        <v>0</v>
      </c>
      <c r="U497" s="18">
        <v>0</v>
      </c>
    </row>
    <row r="498" spans="1:28" x14ac:dyDescent="0.3">
      <c r="A498" s="7">
        <v>44861</v>
      </c>
      <c r="B498">
        <v>9</v>
      </c>
      <c r="C498" t="s">
        <v>26</v>
      </c>
      <c r="D498">
        <v>2</v>
      </c>
      <c r="E498">
        <v>5</v>
      </c>
      <c r="F498" t="s">
        <v>27</v>
      </c>
      <c r="G498">
        <v>1</v>
      </c>
      <c r="H498" s="8">
        <v>0.46875</v>
      </c>
      <c r="I498" s="8">
        <v>0.4861111111111111</v>
      </c>
      <c r="J498" s="8">
        <f t="shared" si="21"/>
        <v>1.7361111111111105E-2</v>
      </c>
      <c r="K498" s="12">
        <f t="shared" si="22"/>
        <v>0.41666666666666652</v>
      </c>
      <c r="L498" s="12">
        <f t="shared" si="23"/>
        <v>0.41666666666666652</v>
      </c>
      <c r="M498" t="s">
        <v>25</v>
      </c>
      <c r="N498" t="s">
        <v>408</v>
      </c>
      <c r="O498" s="18" t="s">
        <v>476</v>
      </c>
      <c r="P498">
        <v>0</v>
      </c>
      <c r="Q498" s="18">
        <v>0</v>
      </c>
      <c r="R498">
        <v>0</v>
      </c>
      <c r="S498" s="18">
        <v>0</v>
      </c>
      <c r="T498">
        <v>0</v>
      </c>
      <c r="U498" s="18">
        <v>0</v>
      </c>
    </row>
    <row r="499" spans="1:28" x14ac:dyDescent="0.3">
      <c r="A499" s="7">
        <v>44861</v>
      </c>
      <c r="B499">
        <v>9</v>
      </c>
      <c r="C499" t="s">
        <v>26</v>
      </c>
      <c r="D499">
        <v>3</v>
      </c>
      <c r="E499">
        <v>2</v>
      </c>
      <c r="F499" t="s">
        <v>27</v>
      </c>
      <c r="G499">
        <v>1</v>
      </c>
      <c r="H499" s="8">
        <v>0.53125</v>
      </c>
      <c r="I499" s="8">
        <v>0.59027777777777779</v>
      </c>
      <c r="J499" s="8">
        <f t="shared" si="21"/>
        <v>5.902777777777779E-2</v>
      </c>
      <c r="K499" s="12">
        <f t="shared" si="22"/>
        <v>1.416666666666667</v>
      </c>
      <c r="L499" s="12">
        <f t="shared" si="23"/>
        <v>1.416666666666667</v>
      </c>
      <c r="M499" t="s">
        <v>25</v>
      </c>
      <c r="N499" t="s">
        <v>415</v>
      </c>
      <c r="O499" s="18" t="s">
        <v>218</v>
      </c>
      <c r="P499">
        <v>0</v>
      </c>
      <c r="Q499" s="18">
        <v>0</v>
      </c>
      <c r="R499">
        <v>0</v>
      </c>
      <c r="S499" s="18">
        <v>0</v>
      </c>
      <c r="T499">
        <v>0</v>
      </c>
      <c r="U499" s="18">
        <v>0</v>
      </c>
    </row>
    <row r="500" spans="1:28" s="26" customFormat="1" x14ac:dyDescent="0.3">
      <c r="A500" s="25">
        <v>44861</v>
      </c>
      <c r="B500" s="26">
        <v>9</v>
      </c>
      <c r="C500" s="26" t="s">
        <v>26</v>
      </c>
      <c r="D500" s="26">
        <v>3</v>
      </c>
      <c r="E500" s="26">
        <v>2</v>
      </c>
      <c r="F500" s="26" t="s">
        <v>27</v>
      </c>
      <c r="G500" s="26">
        <v>1</v>
      </c>
      <c r="H500" s="27">
        <v>0.5625</v>
      </c>
      <c r="I500" s="27">
        <v>0.59027777777777779</v>
      </c>
      <c r="J500" s="8">
        <f t="shared" si="21"/>
        <v>2.777777777777779E-2</v>
      </c>
      <c r="K500" s="12">
        <f t="shared" si="22"/>
        <v>0.66666666666666696</v>
      </c>
      <c r="L500" s="12">
        <f t="shared" si="23"/>
        <v>0.66666666666666696</v>
      </c>
      <c r="M500" s="26" t="s">
        <v>28</v>
      </c>
      <c r="N500" s="26" t="s">
        <v>415</v>
      </c>
      <c r="O500" s="28" t="s">
        <v>476</v>
      </c>
      <c r="P500" s="26">
        <v>0</v>
      </c>
      <c r="Q500" s="28">
        <v>0</v>
      </c>
      <c r="R500" s="26">
        <v>1</v>
      </c>
      <c r="S500" s="28">
        <v>0</v>
      </c>
      <c r="T500" s="26">
        <v>0</v>
      </c>
      <c r="U500" s="28">
        <v>0</v>
      </c>
    </row>
    <row r="501" spans="1:28" x14ac:dyDescent="0.3">
      <c r="A501" s="7">
        <v>44861</v>
      </c>
      <c r="B501">
        <v>9</v>
      </c>
      <c r="C501" t="s">
        <v>42</v>
      </c>
      <c r="D501">
        <v>3</v>
      </c>
      <c r="E501">
        <v>2</v>
      </c>
      <c r="F501" t="s">
        <v>27</v>
      </c>
      <c r="G501">
        <v>2</v>
      </c>
      <c r="H501" s="8">
        <v>0.54166666666666663</v>
      </c>
      <c r="I501" s="8">
        <v>0.71180555555555547</v>
      </c>
      <c r="J501" s="8">
        <f t="shared" si="21"/>
        <v>0.17013888888888884</v>
      </c>
      <c r="K501" s="12">
        <f t="shared" si="22"/>
        <v>4.0833333333333321</v>
      </c>
      <c r="L501" s="12">
        <f t="shared" si="23"/>
        <v>8.1666666666666643</v>
      </c>
      <c r="M501" t="s">
        <v>28</v>
      </c>
      <c r="N501" t="s">
        <v>415</v>
      </c>
      <c r="O501" s="18" t="s">
        <v>218</v>
      </c>
      <c r="P501">
        <v>0</v>
      </c>
      <c r="Q501" s="18">
        <v>0</v>
      </c>
      <c r="R501">
        <v>0</v>
      </c>
      <c r="S501" s="18">
        <v>0</v>
      </c>
      <c r="T501">
        <v>2</v>
      </c>
      <c r="U501" s="18">
        <v>7</v>
      </c>
      <c r="AB501" t="s">
        <v>486</v>
      </c>
    </row>
    <row r="502" spans="1:28" x14ac:dyDescent="0.3">
      <c r="A502" s="7">
        <v>44861</v>
      </c>
      <c r="B502">
        <v>9</v>
      </c>
      <c r="C502" t="s">
        <v>42</v>
      </c>
      <c r="D502">
        <v>2</v>
      </c>
      <c r="E502">
        <v>5</v>
      </c>
      <c r="F502" t="s">
        <v>27</v>
      </c>
      <c r="G502">
        <v>1</v>
      </c>
      <c r="H502" s="8">
        <v>0.68055555555555547</v>
      </c>
      <c r="I502" s="8">
        <v>0.72916666666666663</v>
      </c>
      <c r="J502" s="8">
        <f t="shared" si="21"/>
        <v>4.861111111111116E-2</v>
      </c>
      <c r="K502" s="12">
        <f t="shared" si="22"/>
        <v>1.1666666666666679</v>
      </c>
      <c r="L502" s="12">
        <f t="shared" si="23"/>
        <v>1.1666666666666679</v>
      </c>
      <c r="M502" t="s">
        <v>28</v>
      </c>
      <c r="N502" t="s">
        <v>409</v>
      </c>
      <c r="O502" s="18" t="s">
        <v>476</v>
      </c>
      <c r="P502">
        <v>0</v>
      </c>
      <c r="Q502" s="18">
        <v>0</v>
      </c>
      <c r="R502">
        <v>0</v>
      </c>
      <c r="S502" s="18">
        <v>0</v>
      </c>
      <c r="T502">
        <v>0</v>
      </c>
      <c r="U502" s="18">
        <v>0</v>
      </c>
    </row>
    <row r="503" spans="1:28" s="26" customFormat="1" x14ac:dyDescent="0.3">
      <c r="A503" s="25">
        <v>44861</v>
      </c>
      <c r="B503" s="26">
        <v>9</v>
      </c>
      <c r="C503" s="26" t="s">
        <v>42</v>
      </c>
      <c r="D503" s="26">
        <v>2</v>
      </c>
      <c r="E503" s="26">
        <v>4</v>
      </c>
      <c r="F503" s="26" t="s">
        <v>27</v>
      </c>
      <c r="G503" s="26">
        <v>1</v>
      </c>
      <c r="H503" s="27">
        <v>0.66666666666666663</v>
      </c>
      <c r="I503" s="27">
        <v>0.73611111111111116</v>
      </c>
      <c r="J503" s="8">
        <f t="shared" si="21"/>
        <v>6.9444444444444531E-2</v>
      </c>
      <c r="K503" s="12">
        <f t="shared" si="22"/>
        <v>1.6666666666666687</v>
      </c>
      <c r="L503" s="12">
        <f t="shared" si="23"/>
        <v>1.6666666666666687</v>
      </c>
      <c r="M503" s="26" t="s">
        <v>28</v>
      </c>
      <c r="N503" s="26" t="s">
        <v>404</v>
      </c>
      <c r="O503" s="28" t="s">
        <v>476</v>
      </c>
      <c r="P503" s="26">
        <v>0</v>
      </c>
      <c r="Q503" s="28">
        <v>0</v>
      </c>
      <c r="R503" s="26">
        <v>0</v>
      </c>
      <c r="S503" s="28">
        <v>0</v>
      </c>
      <c r="T503" s="26">
        <v>0</v>
      </c>
      <c r="U503" s="28">
        <v>0</v>
      </c>
    </row>
    <row r="504" spans="1:28" x14ac:dyDescent="0.3">
      <c r="A504" s="7">
        <v>44862</v>
      </c>
      <c r="B504">
        <v>9</v>
      </c>
      <c r="C504" t="s">
        <v>26</v>
      </c>
      <c r="D504">
        <v>3</v>
      </c>
      <c r="E504">
        <v>7</v>
      </c>
      <c r="F504" t="s">
        <v>27</v>
      </c>
      <c r="G504">
        <v>2</v>
      </c>
      <c r="H504" s="8">
        <v>0.375</v>
      </c>
      <c r="I504" s="8">
        <v>0.40972222222222227</v>
      </c>
      <c r="J504" s="8">
        <f t="shared" si="21"/>
        <v>3.4722222222222265E-2</v>
      </c>
      <c r="K504" s="12">
        <f t="shared" si="22"/>
        <v>0.83333333333333437</v>
      </c>
      <c r="L504" s="12">
        <f t="shared" si="23"/>
        <v>1.6666666666666687</v>
      </c>
      <c r="M504" t="s">
        <v>28</v>
      </c>
      <c r="N504" t="s">
        <v>415</v>
      </c>
      <c r="O504" s="18" t="s">
        <v>218</v>
      </c>
      <c r="P504">
        <v>0</v>
      </c>
      <c r="Q504" s="18">
        <v>0</v>
      </c>
      <c r="R504">
        <v>0</v>
      </c>
      <c r="S504" s="18">
        <v>0</v>
      </c>
      <c r="T504">
        <v>0</v>
      </c>
      <c r="U504" s="18">
        <v>0</v>
      </c>
      <c r="AB504" t="s">
        <v>487</v>
      </c>
    </row>
    <row r="505" spans="1:28" x14ac:dyDescent="0.3">
      <c r="A505" s="7">
        <v>44862</v>
      </c>
      <c r="B505">
        <v>9</v>
      </c>
      <c r="C505" t="s">
        <v>26</v>
      </c>
      <c r="D505">
        <v>3</v>
      </c>
      <c r="E505">
        <v>5</v>
      </c>
      <c r="F505" t="s">
        <v>27</v>
      </c>
      <c r="G505">
        <v>2</v>
      </c>
      <c r="H505" s="8">
        <v>0.375</v>
      </c>
      <c r="I505" s="8">
        <v>0.41666666666666669</v>
      </c>
      <c r="J505" s="8">
        <f t="shared" si="21"/>
        <v>4.1666666666666685E-2</v>
      </c>
      <c r="K505" s="12">
        <f t="shared" si="22"/>
        <v>1.0000000000000004</v>
      </c>
      <c r="L505" s="12">
        <f t="shared" si="23"/>
        <v>2.0000000000000009</v>
      </c>
      <c r="M505" t="s">
        <v>25</v>
      </c>
      <c r="N505" t="s">
        <v>415</v>
      </c>
      <c r="O505" s="18" t="s">
        <v>218</v>
      </c>
      <c r="P505">
        <v>0</v>
      </c>
      <c r="Q505" s="18">
        <v>0</v>
      </c>
      <c r="R505">
        <v>0</v>
      </c>
      <c r="S505" s="18">
        <v>0</v>
      </c>
      <c r="T505">
        <v>0</v>
      </c>
      <c r="U505" s="18">
        <v>0</v>
      </c>
    </row>
    <row r="506" spans="1:28" x14ac:dyDescent="0.3">
      <c r="A506" s="7">
        <v>44862</v>
      </c>
      <c r="B506">
        <v>9</v>
      </c>
      <c r="C506" t="s">
        <v>26</v>
      </c>
      <c r="D506">
        <v>3</v>
      </c>
      <c r="E506">
        <v>5</v>
      </c>
      <c r="F506" t="s">
        <v>27</v>
      </c>
      <c r="G506">
        <v>1</v>
      </c>
      <c r="H506" s="8">
        <v>0.39583333333333331</v>
      </c>
      <c r="I506" s="8">
        <v>0.4236111111111111</v>
      </c>
      <c r="J506" s="8">
        <f t="shared" si="21"/>
        <v>2.777777777777779E-2</v>
      </c>
      <c r="K506" s="12">
        <f t="shared" si="22"/>
        <v>0.66666666666666696</v>
      </c>
      <c r="L506" s="12">
        <f t="shared" si="23"/>
        <v>0.66666666666666696</v>
      </c>
      <c r="M506" t="s">
        <v>25</v>
      </c>
      <c r="N506" t="s">
        <v>415</v>
      </c>
      <c r="O506" s="18" t="s">
        <v>218</v>
      </c>
      <c r="P506">
        <v>0</v>
      </c>
      <c r="Q506" s="18">
        <v>0</v>
      </c>
      <c r="R506">
        <v>0</v>
      </c>
      <c r="S506" s="18">
        <v>0</v>
      </c>
      <c r="T506">
        <v>0</v>
      </c>
      <c r="U506" s="18">
        <v>0</v>
      </c>
    </row>
    <row r="507" spans="1:28" x14ac:dyDescent="0.3">
      <c r="A507" s="7">
        <v>44862</v>
      </c>
      <c r="B507">
        <v>9</v>
      </c>
      <c r="C507" t="s">
        <v>26</v>
      </c>
      <c r="D507">
        <v>3</v>
      </c>
      <c r="E507">
        <v>5</v>
      </c>
      <c r="F507" t="s">
        <v>27</v>
      </c>
      <c r="G507">
        <v>3</v>
      </c>
      <c r="H507" s="8">
        <v>0.39583333333333331</v>
      </c>
      <c r="I507" s="8">
        <v>0.43055555555555558</v>
      </c>
      <c r="J507" s="8">
        <f t="shared" si="21"/>
        <v>3.4722222222222265E-2</v>
      </c>
      <c r="K507" s="12">
        <f t="shared" si="22"/>
        <v>0.83333333333333437</v>
      </c>
      <c r="L507" s="12">
        <f t="shared" si="23"/>
        <v>2.5000000000000031</v>
      </c>
      <c r="M507" t="s">
        <v>28</v>
      </c>
      <c r="N507" t="s">
        <v>415</v>
      </c>
      <c r="O507" s="18" t="s">
        <v>218</v>
      </c>
      <c r="P507">
        <v>0</v>
      </c>
      <c r="Q507" s="18">
        <v>0</v>
      </c>
      <c r="R507">
        <v>0</v>
      </c>
      <c r="S507" s="18">
        <v>0</v>
      </c>
      <c r="T507">
        <v>0</v>
      </c>
      <c r="U507" s="18">
        <v>0</v>
      </c>
    </row>
    <row r="508" spans="1:28" x14ac:dyDescent="0.3">
      <c r="A508" s="7">
        <v>44862</v>
      </c>
      <c r="B508">
        <v>9</v>
      </c>
      <c r="C508" t="s">
        <v>26</v>
      </c>
      <c r="D508">
        <v>2</v>
      </c>
      <c r="E508">
        <v>4</v>
      </c>
      <c r="F508" t="s">
        <v>27</v>
      </c>
      <c r="G508">
        <v>1</v>
      </c>
      <c r="H508" s="8">
        <v>0.44097222222222227</v>
      </c>
      <c r="I508" s="8">
        <v>0.49305555555555558</v>
      </c>
      <c r="J508" s="8">
        <f t="shared" si="21"/>
        <v>5.2083333333333315E-2</v>
      </c>
      <c r="K508" s="12">
        <f t="shared" si="22"/>
        <v>1.2499999999999996</v>
      </c>
      <c r="L508" s="12">
        <f t="shared" si="23"/>
        <v>1.2499999999999996</v>
      </c>
      <c r="M508" t="s">
        <v>28</v>
      </c>
      <c r="N508" t="s">
        <v>415</v>
      </c>
      <c r="O508" s="18" t="s">
        <v>218</v>
      </c>
      <c r="P508">
        <v>0</v>
      </c>
      <c r="Q508" s="18">
        <v>0</v>
      </c>
      <c r="R508">
        <v>0</v>
      </c>
      <c r="S508" s="18">
        <v>0</v>
      </c>
      <c r="T508">
        <v>0</v>
      </c>
      <c r="U508" s="18">
        <v>0</v>
      </c>
    </row>
    <row r="509" spans="1:28" x14ac:dyDescent="0.3">
      <c r="A509" s="7">
        <v>44862</v>
      </c>
      <c r="B509">
        <v>9</v>
      </c>
      <c r="C509" t="s">
        <v>26</v>
      </c>
      <c r="D509">
        <v>2</v>
      </c>
      <c r="E509">
        <v>4</v>
      </c>
      <c r="F509" t="s">
        <v>27</v>
      </c>
      <c r="G509">
        <v>1</v>
      </c>
      <c r="H509" s="8">
        <v>0.41666666666666669</v>
      </c>
      <c r="I509" s="8">
        <v>0.48958333333333331</v>
      </c>
      <c r="J509" s="8">
        <f t="shared" si="21"/>
        <v>7.291666666666663E-2</v>
      </c>
      <c r="K509" s="12">
        <f t="shared" si="22"/>
        <v>1.7499999999999991</v>
      </c>
      <c r="L509" s="12">
        <f t="shared" si="23"/>
        <v>1.7499999999999991</v>
      </c>
      <c r="M509" t="s">
        <v>25</v>
      </c>
      <c r="N509" t="s">
        <v>415</v>
      </c>
      <c r="O509" s="18" t="s">
        <v>405</v>
      </c>
      <c r="P509">
        <v>0</v>
      </c>
      <c r="Q509" s="18">
        <v>0</v>
      </c>
      <c r="R509">
        <v>0</v>
      </c>
      <c r="S509" s="18">
        <v>0</v>
      </c>
      <c r="T509">
        <v>0</v>
      </c>
      <c r="U509" s="18">
        <v>0</v>
      </c>
    </row>
    <row r="510" spans="1:28" x14ac:dyDescent="0.3">
      <c r="A510" s="7">
        <v>44862</v>
      </c>
      <c r="B510">
        <v>9</v>
      </c>
      <c r="C510" t="s">
        <v>26</v>
      </c>
      <c r="D510">
        <v>2</v>
      </c>
      <c r="E510">
        <v>4</v>
      </c>
      <c r="F510" t="s">
        <v>27</v>
      </c>
      <c r="G510">
        <v>1</v>
      </c>
      <c r="H510" s="8">
        <v>0.375</v>
      </c>
      <c r="I510" s="8">
        <v>0.47222222222222227</v>
      </c>
      <c r="J510" s="8">
        <f t="shared" si="21"/>
        <v>9.7222222222222265E-2</v>
      </c>
      <c r="K510" s="12">
        <f t="shared" si="22"/>
        <v>2.3333333333333344</v>
      </c>
      <c r="L510" s="12">
        <f t="shared" si="23"/>
        <v>2.3333333333333344</v>
      </c>
      <c r="M510" t="s">
        <v>25</v>
      </c>
      <c r="N510" t="s">
        <v>411</v>
      </c>
      <c r="O510" s="18" t="s">
        <v>92</v>
      </c>
      <c r="P510">
        <v>0</v>
      </c>
      <c r="Q510" s="18">
        <v>0</v>
      </c>
      <c r="R510">
        <v>0</v>
      </c>
      <c r="S510" s="18">
        <v>0</v>
      </c>
      <c r="T510">
        <v>0</v>
      </c>
      <c r="U510" s="18">
        <v>1</v>
      </c>
    </row>
    <row r="511" spans="1:28" x14ac:dyDescent="0.3">
      <c r="A511" s="7">
        <v>44862</v>
      </c>
      <c r="B511">
        <v>9</v>
      </c>
      <c r="C511" t="s">
        <v>26</v>
      </c>
      <c r="D511">
        <v>2</v>
      </c>
      <c r="E511">
        <v>4</v>
      </c>
      <c r="F511" t="s">
        <v>27</v>
      </c>
      <c r="G511">
        <v>1</v>
      </c>
      <c r="H511" s="8">
        <v>0.50347222222222221</v>
      </c>
      <c r="I511" s="8">
        <v>0.53472222222222221</v>
      </c>
      <c r="J511" s="8">
        <f t="shared" si="21"/>
        <v>3.125E-2</v>
      </c>
      <c r="K511" s="12">
        <f t="shared" si="22"/>
        <v>0.75</v>
      </c>
      <c r="L511" s="12">
        <f t="shared" si="23"/>
        <v>0.75</v>
      </c>
      <c r="M511" t="s">
        <v>25</v>
      </c>
      <c r="N511" t="s">
        <v>415</v>
      </c>
      <c r="O511" s="18" t="s">
        <v>218</v>
      </c>
      <c r="P511">
        <v>0</v>
      </c>
      <c r="Q511" s="18">
        <v>0</v>
      </c>
      <c r="R511">
        <v>0</v>
      </c>
      <c r="S511" s="18">
        <v>0</v>
      </c>
      <c r="T511">
        <v>1</v>
      </c>
      <c r="U511" s="18">
        <v>1</v>
      </c>
    </row>
    <row r="512" spans="1:28" x14ac:dyDescent="0.3">
      <c r="A512" s="7">
        <v>44862</v>
      </c>
      <c r="B512">
        <v>9</v>
      </c>
      <c r="C512" t="s">
        <v>26</v>
      </c>
      <c r="D512">
        <v>2</v>
      </c>
      <c r="E512">
        <v>4</v>
      </c>
      <c r="F512" t="s">
        <v>27</v>
      </c>
      <c r="G512">
        <v>1</v>
      </c>
      <c r="H512" s="8">
        <v>0.5</v>
      </c>
      <c r="I512" s="8">
        <v>0.53125</v>
      </c>
      <c r="J512" s="8">
        <f t="shared" si="21"/>
        <v>3.125E-2</v>
      </c>
      <c r="K512" s="12">
        <f t="shared" si="22"/>
        <v>0.75</v>
      </c>
      <c r="L512" s="12">
        <f t="shared" si="23"/>
        <v>0.75</v>
      </c>
      <c r="M512" t="s">
        <v>25</v>
      </c>
      <c r="N512" t="s">
        <v>415</v>
      </c>
      <c r="O512" s="18" t="s">
        <v>218</v>
      </c>
      <c r="P512">
        <v>0</v>
      </c>
      <c r="Q512" s="18">
        <v>0</v>
      </c>
      <c r="R512">
        <v>0</v>
      </c>
      <c r="S512" s="18">
        <v>0</v>
      </c>
      <c r="T512">
        <v>0</v>
      </c>
      <c r="U512" s="18">
        <v>0</v>
      </c>
    </row>
    <row r="513" spans="1:28" s="26" customFormat="1" x14ac:dyDescent="0.3">
      <c r="A513" s="25">
        <v>44862</v>
      </c>
      <c r="B513" s="26">
        <v>9</v>
      </c>
      <c r="C513" s="26" t="s">
        <v>26</v>
      </c>
      <c r="D513" s="26">
        <v>2</v>
      </c>
      <c r="E513" s="26">
        <v>4</v>
      </c>
      <c r="F513" s="26" t="s">
        <v>27</v>
      </c>
      <c r="G513" s="26">
        <v>2</v>
      </c>
      <c r="H513" s="27">
        <v>0.5</v>
      </c>
      <c r="I513" s="27">
        <v>0.53472222222222221</v>
      </c>
      <c r="J513" s="8">
        <f t="shared" si="21"/>
        <v>3.472222222222221E-2</v>
      </c>
      <c r="K513" s="12">
        <f t="shared" si="22"/>
        <v>0.83333333333333304</v>
      </c>
      <c r="L513" s="12">
        <f t="shared" si="23"/>
        <v>1.6666666666666661</v>
      </c>
      <c r="M513" s="26" t="s">
        <v>25</v>
      </c>
      <c r="N513" s="26" t="s">
        <v>415</v>
      </c>
      <c r="O513" s="28" t="s">
        <v>218</v>
      </c>
      <c r="P513" s="26">
        <v>0</v>
      </c>
      <c r="Q513" s="28">
        <v>0</v>
      </c>
      <c r="R513" s="26">
        <v>0</v>
      </c>
      <c r="S513" s="28">
        <v>0</v>
      </c>
      <c r="T513" s="26">
        <v>0</v>
      </c>
      <c r="U513" s="28">
        <v>1</v>
      </c>
    </row>
    <row r="514" spans="1:28" x14ac:dyDescent="0.3">
      <c r="A514" s="7">
        <v>44863</v>
      </c>
      <c r="B514">
        <v>9</v>
      </c>
      <c r="C514" t="s">
        <v>26</v>
      </c>
      <c r="D514">
        <v>3</v>
      </c>
      <c r="E514">
        <v>8</v>
      </c>
      <c r="F514" t="s">
        <v>27</v>
      </c>
      <c r="G514">
        <v>1</v>
      </c>
      <c r="H514" s="8">
        <v>0.33333333333333331</v>
      </c>
      <c r="I514" s="8">
        <v>0.375</v>
      </c>
      <c r="J514" s="8">
        <f t="shared" si="21"/>
        <v>4.1666666666666685E-2</v>
      </c>
      <c r="K514" s="12">
        <f t="shared" si="22"/>
        <v>1.0000000000000004</v>
      </c>
      <c r="L514" s="12">
        <f t="shared" si="23"/>
        <v>1.0000000000000004</v>
      </c>
      <c r="M514" t="s">
        <v>25</v>
      </c>
      <c r="N514" t="s">
        <v>404</v>
      </c>
      <c r="O514" s="18" t="s">
        <v>405</v>
      </c>
      <c r="P514">
        <v>0</v>
      </c>
      <c r="Q514" s="18">
        <v>0</v>
      </c>
      <c r="R514">
        <v>0</v>
      </c>
      <c r="S514" s="18">
        <v>0</v>
      </c>
      <c r="T514">
        <v>0</v>
      </c>
      <c r="U514" s="18">
        <v>0</v>
      </c>
      <c r="AB514" t="s">
        <v>488</v>
      </c>
    </row>
    <row r="515" spans="1:28" x14ac:dyDescent="0.3">
      <c r="A515" s="7">
        <v>44863</v>
      </c>
      <c r="B515">
        <v>9</v>
      </c>
      <c r="C515" t="s">
        <v>26</v>
      </c>
      <c r="D515">
        <v>3</v>
      </c>
      <c r="E515">
        <v>8</v>
      </c>
      <c r="F515" t="s">
        <v>27</v>
      </c>
      <c r="G515">
        <v>4</v>
      </c>
      <c r="H515" s="8">
        <v>0.27083333333333331</v>
      </c>
      <c r="I515" s="8">
        <v>0.375</v>
      </c>
      <c r="J515" s="8">
        <f t="shared" ref="J515:J533" si="24">I515-H515</f>
        <v>0.10416666666666669</v>
      </c>
      <c r="K515" s="12">
        <f t="shared" ref="K515:K533" si="25">(J515-INT(J515))*24</f>
        <v>2.5000000000000004</v>
      </c>
      <c r="L515" s="12">
        <f t="shared" si="23"/>
        <v>10.000000000000002</v>
      </c>
      <c r="M515" t="s">
        <v>25</v>
      </c>
      <c r="N515" t="s">
        <v>453</v>
      </c>
      <c r="O515" s="18" t="s">
        <v>92</v>
      </c>
      <c r="P515">
        <v>0</v>
      </c>
      <c r="Q515" s="18">
        <v>0</v>
      </c>
      <c r="R515">
        <v>0</v>
      </c>
      <c r="S515" s="18">
        <v>0</v>
      </c>
      <c r="T515">
        <v>0</v>
      </c>
      <c r="U515" s="18">
        <v>0</v>
      </c>
    </row>
    <row r="516" spans="1:28" x14ac:dyDescent="0.3">
      <c r="A516" s="7">
        <v>44863</v>
      </c>
      <c r="B516">
        <v>9</v>
      </c>
      <c r="C516" t="s">
        <v>26</v>
      </c>
      <c r="D516">
        <v>3</v>
      </c>
      <c r="E516">
        <v>8</v>
      </c>
      <c r="F516" t="s">
        <v>27</v>
      </c>
      <c r="G516">
        <v>1</v>
      </c>
      <c r="H516" s="8">
        <v>0.29166666666666669</v>
      </c>
      <c r="I516" s="8">
        <v>0.37847222222222227</v>
      </c>
      <c r="J516" s="8">
        <f t="shared" si="24"/>
        <v>8.680555555555558E-2</v>
      </c>
      <c r="K516" s="12">
        <f t="shared" si="25"/>
        <v>2.0833333333333339</v>
      </c>
      <c r="L516" s="12">
        <f t="shared" ref="L516:L534" si="26">G516*K516</f>
        <v>2.0833333333333339</v>
      </c>
      <c r="M516" t="s">
        <v>25</v>
      </c>
      <c r="N516" t="s">
        <v>404</v>
      </c>
      <c r="O516" s="18" t="s">
        <v>218</v>
      </c>
      <c r="P516">
        <v>0</v>
      </c>
      <c r="Q516" s="18">
        <v>0</v>
      </c>
      <c r="R516">
        <v>0</v>
      </c>
      <c r="S516" s="18">
        <v>0</v>
      </c>
      <c r="T516">
        <v>0</v>
      </c>
      <c r="U516" s="18">
        <v>0</v>
      </c>
    </row>
    <row r="517" spans="1:28" x14ac:dyDescent="0.3">
      <c r="A517" s="7">
        <v>44863</v>
      </c>
      <c r="B517">
        <v>9</v>
      </c>
      <c r="C517" t="s">
        <v>26</v>
      </c>
      <c r="D517">
        <v>3</v>
      </c>
      <c r="E517">
        <v>8</v>
      </c>
      <c r="F517" t="s">
        <v>27</v>
      </c>
      <c r="G517">
        <v>3</v>
      </c>
      <c r="H517" s="8">
        <v>0.37152777777777773</v>
      </c>
      <c r="I517" s="8">
        <v>0.38194444444444442</v>
      </c>
      <c r="J517" s="8">
        <f t="shared" si="24"/>
        <v>1.0416666666666685E-2</v>
      </c>
      <c r="K517" s="12">
        <f t="shared" si="25"/>
        <v>0.25000000000000044</v>
      </c>
      <c r="L517" s="12">
        <f t="shared" si="26"/>
        <v>0.75000000000000133</v>
      </c>
      <c r="M517" t="s">
        <v>28</v>
      </c>
      <c r="N517" t="s">
        <v>404</v>
      </c>
      <c r="O517" s="18" t="s">
        <v>476</v>
      </c>
      <c r="P517">
        <v>0</v>
      </c>
      <c r="Q517" s="18">
        <v>0</v>
      </c>
      <c r="R517">
        <v>0</v>
      </c>
      <c r="S517" s="18">
        <v>0</v>
      </c>
      <c r="T517">
        <v>0</v>
      </c>
      <c r="U517" s="18">
        <v>0</v>
      </c>
    </row>
    <row r="518" spans="1:28" x14ac:dyDescent="0.3">
      <c r="A518" s="7">
        <v>44863</v>
      </c>
      <c r="B518">
        <v>9</v>
      </c>
      <c r="C518" t="s">
        <v>26</v>
      </c>
      <c r="D518">
        <v>3</v>
      </c>
      <c r="E518">
        <v>7</v>
      </c>
      <c r="F518" t="s">
        <v>27</v>
      </c>
      <c r="G518">
        <v>1</v>
      </c>
      <c r="H518" s="8">
        <v>0.3888888888888889</v>
      </c>
      <c r="I518" s="8">
        <v>0.39583333333333331</v>
      </c>
      <c r="J518" s="8">
        <f t="shared" si="24"/>
        <v>6.9444444444444198E-3</v>
      </c>
      <c r="K518" s="12">
        <f t="shared" si="25"/>
        <v>0.16666666666666607</v>
      </c>
      <c r="L518" s="12">
        <f t="shared" si="26"/>
        <v>0.16666666666666607</v>
      </c>
      <c r="M518" t="s">
        <v>28</v>
      </c>
      <c r="N518" t="s">
        <v>415</v>
      </c>
      <c r="O518" s="18" t="s">
        <v>218</v>
      </c>
      <c r="P518">
        <v>0</v>
      </c>
      <c r="Q518" s="18">
        <v>0</v>
      </c>
      <c r="R518">
        <v>0</v>
      </c>
      <c r="S518" s="18">
        <v>0</v>
      </c>
      <c r="T518">
        <v>0</v>
      </c>
      <c r="U518" s="18">
        <v>0</v>
      </c>
    </row>
    <row r="519" spans="1:28" x14ac:dyDescent="0.3">
      <c r="A519" s="7">
        <v>44863</v>
      </c>
      <c r="B519">
        <v>9</v>
      </c>
      <c r="C519" t="s">
        <v>26</v>
      </c>
      <c r="D519">
        <v>3</v>
      </c>
      <c r="E519">
        <v>7</v>
      </c>
      <c r="F519" t="s">
        <v>27</v>
      </c>
      <c r="G519">
        <v>2</v>
      </c>
      <c r="H519" s="8">
        <v>0.33333333333333331</v>
      </c>
      <c r="I519" s="8">
        <v>0.40277777777777773</v>
      </c>
      <c r="J519" s="8">
        <f t="shared" si="24"/>
        <v>6.944444444444442E-2</v>
      </c>
      <c r="K519" s="12">
        <f t="shared" si="25"/>
        <v>1.6666666666666661</v>
      </c>
      <c r="L519" s="12">
        <f t="shared" si="26"/>
        <v>3.3333333333333321</v>
      </c>
      <c r="M519" t="s">
        <v>28</v>
      </c>
      <c r="N519" t="s">
        <v>415</v>
      </c>
      <c r="O519" s="18" t="s">
        <v>218</v>
      </c>
      <c r="P519">
        <v>0</v>
      </c>
      <c r="Q519" s="18">
        <v>0</v>
      </c>
      <c r="R519">
        <v>0</v>
      </c>
      <c r="S519" s="18">
        <v>0</v>
      </c>
      <c r="T519">
        <v>3</v>
      </c>
      <c r="U519" s="18">
        <v>1</v>
      </c>
    </row>
    <row r="520" spans="1:28" x14ac:dyDescent="0.3">
      <c r="A520" s="7">
        <v>44863</v>
      </c>
      <c r="B520">
        <v>9</v>
      </c>
      <c r="C520" t="s">
        <v>26</v>
      </c>
      <c r="D520">
        <v>3</v>
      </c>
      <c r="E520">
        <v>7</v>
      </c>
      <c r="F520" t="s">
        <v>27</v>
      </c>
      <c r="G520">
        <v>3</v>
      </c>
      <c r="H520" s="8">
        <v>0.33333333333333331</v>
      </c>
      <c r="I520" s="8">
        <v>0.40277777777777773</v>
      </c>
      <c r="J520" s="8">
        <f t="shared" si="24"/>
        <v>6.944444444444442E-2</v>
      </c>
      <c r="K520" s="12">
        <f t="shared" si="25"/>
        <v>1.6666666666666661</v>
      </c>
      <c r="L520" s="12">
        <f t="shared" si="26"/>
        <v>4.9999999999999982</v>
      </c>
      <c r="M520" t="s">
        <v>28</v>
      </c>
      <c r="N520" t="s">
        <v>415</v>
      </c>
      <c r="O520" s="18" t="s">
        <v>218</v>
      </c>
      <c r="P520">
        <v>0</v>
      </c>
      <c r="Q520" s="18">
        <v>0</v>
      </c>
      <c r="R520">
        <v>0</v>
      </c>
      <c r="S520" s="18">
        <v>0</v>
      </c>
      <c r="T520">
        <v>2</v>
      </c>
      <c r="U520" s="18">
        <v>1</v>
      </c>
    </row>
    <row r="521" spans="1:28" x14ac:dyDescent="0.3">
      <c r="A521" s="7">
        <v>44863</v>
      </c>
      <c r="B521">
        <v>9</v>
      </c>
      <c r="C521" t="s">
        <v>26</v>
      </c>
      <c r="D521">
        <v>3</v>
      </c>
      <c r="E521">
        <v>7</v>
      </c>
      <c r="F521" t="s">
        <v>27</v>
      </c>
      <c r="G521">
        <v>2</v>
      </c>
      <c r="H521" s="8">
        <v>0.35416666666666669</v>
      </c>
      <c r="I521" s="8">
        <v>0.40972222222222227</v>
      </c>
      <c r="J521" s="8">
        <f t="shared" si="24"/>
        <v>5.555555555555558E-2</v>
      </c>
      <c r="K521" s="12">
        <f t="shared" si="25"/>
        <v>1.3333333333333339</v>
      </c>
      <c r="L521" s="12">
        <f t="shared" si="26"/>
        <v>2.6666666666666679</v>
      </c>
      <c r="M521" t="s">
        <v>28</v>
      </c>
      <c r="N521" t="s">
        <v>453</v>
      </c>
      <c r="O521" s="18" t="s">
        <v>405</v>
      </c>
      <c r="P521">
        <v>0</v>
      </c>
      <c r="Q521" s="18">
        <v>0</v>
      </c>
      <c r="R521">
        <v>0</v>
      </c>
      <c r="S521" s="18">
        <v>0</v>
      </c>
      <c r="T521">
        <v>0</v>
      </c>
      <c r="U521" s="18">
        <v>0</v>
      </c>
    </row>
    <row r="522" spans="1:28" x14ac:dyDescent="0.3">
      <c r="A522" s="7">
        <v>44863</v>
      </c>
      <c r="B522">
        <v>9</v>
      </c>
      <c r="C522" t="s">
        <v>26</v>
      </c>
      <c r="D522">
        <v>3</v>
      </c>
      <c r="E522">
        <v>7</v>
      </c>
      <c r="F522" t="s">
        <v>27</v>
      </c>
      <c r="G522">
        <v>3</v>
      </c>
      <c r="H522" s="8">
        <v>0.3125</v>
      </c>
      <c r="I522" s="8">
        <v>0.40972222222222227</v>
      </c>
      <c r="J522" s="8">
        <f t="shared" si="24"/>
        <v>9.7222222222222265E-2</v>
      </c>
      <c r="K522" s="12">
        <f t="shared" si="25"/>
        <v>2.3333333333333344</v>
      </c>
      <c r="L522" s="12">
        <f t="shared" si="26"/>
        <v>7.0000000000000036</v>
      </c>
      <c r="M522" t="s">
        <v>25</v>
      </c>
      <c r="N522" t="s">
        <v>489</v>
      </c>
      <c r="O522" s="18" t="s">
        <v>92</v>
      </c>
      <c r="P522">
        <v>0</v>
      </c>
      <c r="Q522" s="18">
        <v>0</v>
      </c>
      <c r="R522">
        <v>0</v>
      </c>
      <c r="S522" s="18">
        <v>0</v>
      </c>
      <c r="T522">
        <v>0</v>
      </c>
      <c r="U522" s="18">
        <v>0</v>
      </c>
    </row>
    <row r="523" spans="1:28" x14ac:dyDescent="0.3">
      <c r="A523" s="7">
        <v>44863</v>
      </c>
      <c r="B523">
        <v>9</v>
      </c>
      <c r="C523" t="s">
        <v>26</v>
      </c>
      <c r="D523">
        <v>3</v>
      </c>
      <c r="E523">
        <v>6</v>
      </c>
      <c r="F523" t="s">
        <v>27</v>
      </c>
      <c r="G523">
        <v>2</v>
      </c>
      <c r="H523" s="8">
        <v>0.40277777777777773</v>
      </c>
      <c r="I523" s="8">
        <v>0.41666666666666669</v>
      </c>
      <c r="J523" s="8">
        <f t="shared" si="24"/>
        <v>1.3888888888888951E-2</v>
      </c>
      <c r="K523" s="12">
        <f t="shared" si="25"/>
        <v>0.33333333333333481</v>
      </c>
      <c r="L523" s="12">
        <f t="shared" si="26"/>
        <v>0.66666666666666963</v>
      </c>
      <c r="M523" t="s">
        <v>28</v>
      </c>
      <c r="N523" t="s">
        <v>490</v>
      </c>
      <c r="O523" s="18" t="s">
        <v>476</v>
      </c>
      <c r="P523">
        <v>0</v>
      </c>
      <c r="Q523" s="18">
        <v>0</v>
      </c>
      <c r="R523">
        <v>0</v>
      </c>
      <c r="S523" s="18">
        <v>0</v>
      </c>
      <c r="T523">
        <v>0</v>
      </c>
      <c r="U523" s="18">
        <v>0</v>
      </c>
    </row>
    <row r="524" spans="1:28" x14ac:dyDescent="0.3">
      <c r="A524" s="7">
        <v>44863</v>
      </c>
      <c r="B524">
        <v>9</v>
      </c>
      <c r="C524" t="s">
        <v>26</v>
      </c>
      <c r="D524">
        <v>3</v>
      </c>
      <c r="E524">
        <v>5</v>
      </c>
      <c r="F524" t="s">
        <v>27</v>
      </c>
      <c r="G524">
        <v>2</v>
      </c>
      <c r="H524" s="8">
        <v>0.375</v>
      </c>
      <c r="I524" s="8">
        <v>0.4236111111111111</v>
      </c>
      <c r="J524" s="8">
        <f t="shared" si="24"/>
        <v>4.8611111111111105E-2</v>
      </c>
      <c r="K524" s="12">
        <f t="shared" si="25"/>
        <v>1.1666666666666665</v>
      </c>
      <c r="L524" s="12">
        <f t="shared" si="26"/>
        <v>2.333333333333333</v>
      </c>
      <c r="M524" t="s">
        <v>28</v>
      </c>
      <c r="N524" t="s">
        <v>415</v>
      </c>
      <c r="O524" s="18" t="s">
        <v>218</v>
      </c>
      <c r="P524">
        <v>0</v>
      </c>
      <c r="Q524" s="18">
        <v>0</v>
      </c>
      <c r="R524">
        <v>0</v>
      </c>
      <c r="S524" s="18">
        <v>0</v>
      </c>
      <c r="T524">
        <v>0</v>
      </c>
      <c r="U524" s="18">
        <v>0</v>
      </c>
    </row>
    <row r="525" spans="1:28" x14ac:dyDescent="0.3">
      <c r="A525" s="7">
        <v>44863</v>
      </c>
      <c r="B525">
        <v>9</v>
      </c>
      <c r="C525" t="s">
        <v>26</v>
      </c>
      <c r="D525">
        <v>3</v>
      </c>
      <c r="E525">
        <v>2</v>
      </c>
      <c r="F525" t="s">
        <v>27</v>
      </c>
      <c r="G525">
        <v>1</v>
      </c>
      <c r="H525" s="8">
        <v>0.33333333333333331</v>
      </c>
      <c r="I525" s="8">
        <v>0.4375</v>
      </c>
      <c r="J525" s="8">
        <f t="shared" si="24"/>
        <v>0.10416666666666669</v>
      </c>
      <c r="K525" s="12">
        <f t="shared" si="25"/>
        <v>2.5000000000000004</v>
      </c>
      <c r="L525" s="12">
        <f t="shared" si="26"/>
        <v>2.5000000000000004</v>
      </c>
      <c r="M525" t="s">
        <v>28</v>
      </c>
      <c r="N525" t="s">
        <v>415</v>
      </c>
      <c r="O525" s="18" t="s">
        <v>218</v>
      </c>
      <c r="P525">
        <v>0</v>
      </c>
      <c r="Q525" s="18">
        <v>0</v>
      </c>
      <c r="R525">
        <v>0</v>
      </c>
      <c r="S525" s="18">
        <v>0</v>
      </c>
      <c r="T525">
        <v>0</v>
      </c>
      <c r="U525" s="18">
        <v>0</v>
      </c>
    </row>
    <row r="526" spans="1:28" x14ac:dyDescent="0.3">
      <c r="A526" s="7">
        <v>44863</v>
      </c>
      <c r="B526">
        <v>9</v>
      </c>
      <c r="C526" t="s">
        <v>26</v>
      </c>
      <c r="D526">
        <v>3</v>
      </c>
      <c r="E526">
        <v>2</v>
      </c>
      <c r="F526" t="s">
        <v>27</v>
      </c>
      <c r="G526">
        <v>2</v>
      </c>
      <c r="H526" s="8">
        <v>0.35416666666666669</v>
      </c>
      <c r="I526" s="8">
        <v>0.4375</v>
      </c>
      <c r="J526" s="8">
        <f t="shared" si="24"/>
        <v>8.3333333333333315E-2</v>
      </c>
      <c r="K526" s="12">
        <f t="shared" si="25"/>
        <v>1.9999999999999996</v>
      </c>
      <c r="L526" s="12">
        <f t="shared" si="26"/>
        <v>3.9999999999999991</v>
      </c>
      <c r="M526" t="s">
        <v>28</v>
      </c>
      <c r="N526" t="s">
        <v>415</v>
      </c>
      <c r="O526" s="18" t="s">
        <v>218</v>
      </c>
      <c r="P526">
        <v>0</v>
      </c>
      <c r="Q526" s="18">
        <v>0</v>
      </c>
      <c r="R526">
        <v>0</v>
      </c>
      <c r="S526" s="18">
        <v>0</v>
      </c>
      <c r="T526">
        <v>1</v>
      </c>
      <c r="U526" s="18">
        <v>0</v>
      </c>
    </row>
    <row r="527" spans="1:28" x14ac:dyDescent="0.3">
      <c r="A527" s="7">
        <v>44863</v>
      </c>
      <c r="B527">
        <v>9</v>
      </c>
      <c r="C527" t="s">
        <v>26</v>
      </c>
      <c r="D527">
        <v>2</v>
      </c>
      <c r="E527">
        <v>4</v>
      </c>
      <c r="F527" t="s">
        <v>27</v>
      </c>
      <c r="G527">
        <v>1</v>
      </c>
      <c r="H527" s="8">
        <v>0.33333333333333331</v>
      </c>
      <c r="I527" s="8">
        <v>0.45833333333333331</v>
      </c>
      <c r="J527" s="8">
        <f t="shared" si="24"/>
        <v>0.125</v>
      </c>
      <c r="K527" s="12">
        <f t="shared" si="25"/>
        <v>3</v>
      </c>
      <c r="L527" s="12">
        <f t="shared" si="26"/>
        <v>3</v>
      </c>
      <c r="M527" t="s">
        <v>25</v>
      </c>
      <c r="N527" t="s">
        <v>415</v>
      </c>
      <c r="O527" s="18" t="s">
        <v>218</v>
      </c>
      <c r="P527">
        <v>0</v>
      </c>
      <c r="Q527" s="18">
        <v>0</v>
      </c>
      <c r="R527">
        <v>0</v>
      </c>
      <c r="S527" s="18">
        <v>0</v>
      </c>
      <c r="T527">
        <v>1</v>
      </c>
      <c r="U527" s="18">
        <v>0</v>
      </c>
    </row>
    <row r="528" spans="1:28" x14ac:dyDescent="0.3">
      <c r="A528" s="7">
        <v>44863</v>
      </c>
      <c r="B528">
        <v>9</v>
      </c>
      <c r="C528" t="s">
        <v>26</v>
      </c>
      <c r="D528">
        <v>2</v>
      </c>
      <c r="E528">
        <v>4</v>
      </c>
      <c r="F528" t="s">
        <v>27</v>
      </c>
      <c r="G528">
        <v>2</v>
      </c>
      <c r="H528" s="8">
        <v>0.45833333333333331</v>
      </c>
      <c r="I528" s="8">
        <v>0.46875</v>
      </c>
      <c r="J528" s="8">
        <f t="shared" si="24"/>
        <v>1.0416666666666685E-2</v>
      </c>
      <c r="K528" s="12">
        <f t="shared" si="25"/>
        <v>0.25000000000000044</v>
      </c>
      <c r="L528" s="12">
        <f t="shared" si="26"/>
        <v>0.50000000000000089</v>
      </c>
      <c r="M528" t="s">
        <v>28</v>
      </c>
      <c r="N528" t="s">
        <v>411</v>
      </c>
      <c r="O528" s="18" t="s">
        <v>218</v>
      </c>
      <c r="P528">
        <v>0</v>
      </c>
      <c r="Q528" s="18">
        <v>0</v>
      </c>
      <c r="R528">
        <v>0</v>
      </c>
      <c r="S528" s="18">
        <v>0</v>
      </c>
      <c r="T528">
        <v>0</v>
      </c>
      <c r="U528" s="18">
        <v>0</v>
      </c>
    </row>
    <row r="529" spans="1:26" x14ac:dyDescent="0.3">
      <c r="A529" s="7">
        <v>44863</v>
      </c>
      <c r="B529">
        <v>9</v>
      </c>
      <c r="C529" t="s">
        <v>26</v>
      </c>
      <c r="D529">
        <v>2</v>
      </c>
      <c r="E529">
        <v>4</v>
      </c>
      <c r="F529" t="s">
        <v>27</v>
      </c>
      <c r="G529">
        <v>1</v>
      </c>
      <c r="H529" s="8">
        <v>0.41666666666666669</v>
      </c>
      <c r="I529" s="8">
        <v>0.46875</v>
      </c>
      <c r="J529" s="8">
        <f t="shared" si="24"/>
        <v>5.2083333333333315E-2</v>
      </c>
      <c r="K529" s="12">
        <f t="shared" si="25"/>
        <v>1.2499999999999996</v>
      </c>
      <c r="L529" s="12">
        <f t="shared" si="26"/>
        <v>1.2499999999999996</v>
      </c>
      <c r="M529" t="s">
        <v>28</v>
      </c>
      <c r="N529" t="s">
        <v>489</v>
      </c>
      <c r="O529" s="18" t="s">
        <v>218</v>
      </c>
      <c r="P529">
        <v>0</v>
      </c>
      <c r="Q529" s="18">
        <v>0</v>
      </c>
      <c r="R529">
        <v>0</v>
      </c>
      <c r="S529" s="18">
        <v>0</v>
      </c>
      <c r="T529">
        <v>0</v>
      </c>
      <c r="U529" s="18">
        <v>0</v>
      </c>
    </row>
    <row r="530" spans="1:26" x14ac:dyDescent="0.3">
      <c r="A530" s="7">
        <v>44863</v>
      </c>
      <c r="B530">
        <v>9</v>
      </c>
      <c r="C530" t="s">
        <v>26</v>
      </c>
      <c r="D530">
        <v>2</v>
      </c>
      <c r="E530">
        <v>4</v>
      </c>
      <c r="F530" t="s">
        <v>27</v>
      </c>
      <c r="G530">
        <v>2</v>
      </c>
      <c r="H530" s="8">
        <v>0.45833333333333331</v>
      </c>
      <c r="I530" s="8">
        <v>0.47222222222222227</v>
      </c>
      <c r="J530" s="8">
        <f t="shared" si="24"/>
        <v>1.3888888888888951E-2</v>
      </c>
      <c r="K530" s="12">
        <f t="shared" si="25"/>
        <v>0.33333333333333481</v>
      </c>
      <c r="L530" s="12">
        <f t="shared" si="26"/>
        <v>0.66666666666666963</v>
      </c>
      <c r="M530" t="s">
        <v>28</v>
      </c>
      <c r="N530" t="s">
        <v>415</v>
      </c>
      <c r="O530" s="18" t="s">
        <v>218</v>
      </c>
      <c r="P530">
        <v>0</v>
      </c>
      <c r="Q530" s="18">
        <v>0</v>
      </c>
      <c r="R530">
        <v>0</v>
      </c>
      <c r="S530" s="18">
        <v>0</v>
      </c>
      <c r="T530">
        <v>0</v>
      </c>
      <c r="U530" s="18">
        <v>1</v>
      </c>
    </row>
    <row r="531" spans="1:26" x14ac:dyDescent="0.3">
      <c r="A531" s="7">
        <v>44863</v>
      </c>
      <c r="B531">
        <v>9</v>
      </c>
      <c r="C531" t="s">
        <v>26</v>
      </c>
      <c r="D531">
        <v>2</v>
      </c>
      <c r="E531">
        <v>4</v>
      </c>
      <c r="F531" t="s">
        <v>27</v>
      </c>
      <c r="G531">
        <v>1</v>
      </c>
      <c r="H531" s="8">
        <v>0.39583333333333331</v>
      </c>
      <c r="I531" s="8">
        <v>0.47916666666666669</v>
      </c>
      <c r="J531" s="8">
        <f t="shared" si="24"/>
        <v>8.333333333333337E-2</v>
      </c>
      <c r="K531" s="12">
        <f t="shared" si="25"/>
        <v>2.0000000000000009</v>
      </c>
      <c r="L531" s="12">
        <f t="shared" si="26"/>
        <v>2.0000000000000009</v>
      </c>
      <c r="M531" t="s">
        <v>28</v>
      </c>
      <c r="N531" t="s">
        <v>408</v>
      </c>
      <c r="O531" s="18" t="s">
        <v>218</v>
      </c>
      <c r="P531">
        <v>0</v>
      </c>
      <c r="Q531" s="18">
        <v>0</v>
      </c>
      <c r="R531">
        <v>0</v>
      </c>
      <c r="S531" s="18">
        <v>0</v>
      </c>
      <c r="T531">
        <v>0</v>
      </c>
      <c r="U531" s="18">
        <v>0</v>
      </c>
    </row>
    <row r="532" spans="1:26" x14ac:dyDescent="0.3">
      <c r="A532" s="7">
        <v>44863</v>
      </c>
      <c r="B532">
        <v>9</v>
      </c>
      <c r="C532" t="s">
        <v>26</v>
      </c>
      <c r="D532">
        <v>2</v>
      </c>
      <c r="E532">
        <v>5</v>
      </c>
      <c r="F532" t="s">
        <v>27</v>
      </c>
      <c r="G532">
        <v>1</v>
      </c>
      <c r="H532" s="8">
        <v>0.4375</v>
      </c>
      <c r="I532" s="8">
        <v>0.4861111111111111</v>
      </c>
      <c r="J532" s="8">
        <f t="shared" si="24"/>
        <v>4.8611111111111105E-2</v>
      </c>
      <c r="K532" s="12">
        <f t="shared" si="25"/>
        <v>1.1666666666666665</v>
      </c>
      <c r="L532" s="12">
        <f t="shared" si="26"/>
        <v>1.1666666666666665</v>
      </c>
      <c r="M532" t="s">
        <v>28</v>
      </c>
      <c r="N532" t="s">
        <v>415</v>
      </c>
      <c r="O532" s="18" t="s">
        <v>218</v>
      </c>
      <c r="P532">
        <v>0</v>
      </c>
      <c r="Q532" s="18">
        <v>0</v>
      </c>
      <c r="R532">
        <v>0</v>
      </c>
      <c r="S532" s="18">
        <v>0</v>
      </c>
      <c r="T532">
        <v>0</v>
      </c>
      <c r="U532" s="18">
        <v>0</v>
      </c>
    </row>
    <row r="533" spans="1:26" s="26" customFormat="1" x14ac:dyDescent="0.3">
      <c r="A533" s="25">
        <v>44863</v>
      </c>
      <c r="B533" s="26">
        <v>9</v>
      </c>
      <c r="C533" s="26" t="s">
        <v>26</v>
      </c>
      <c r="D533" s="26">
        <v>2</v>
      </c>
      <c r="E533" s="26">
        <v>4</v>
      </c>
      <c r="F533" s="26" t="s">
        <v>27</v>
      </c>
      <c r="G533" s="26">
        <v>1</v>
      </c>
      <c r="H533" s="27">
        <v>0.48958333333333331</v>
      </c>
      <c r="I533" s="27">
        <v>0.5</v>
      </c>
      <c r="J533" s="8">
        <f t="shared" si="24"/>
        <v>1.0416666666666685E-2</v>
      </c>
      <c r="K533" s="12">
        <f t="shared" si="25"/>
        <v>0.25000000000000044</v>
      </c>
      <c r="L533" s="12">
        <f t="shared" si="26"/>
        <v>0.25000000000000044</v>
      </c>
      <c r="M533" s="26" t="s">
        <v>25</v>
      </c>
      <c r="N533" s="26" t="s">
        <v>415</v>
      </c>
      <c r="O533" s="28" t="s">
        <v>218</v>
      </c>
      <c r="P533" s="26">
        <v>0</v>
      </c>
      <c r="Q533" s="28">
        <v>0</v>
      </c>
      <c r="R533" s="26">
        <v>0</v>
      </c>
      <c r="S533" s="28">
        <v>0</v>
      </c>
      <c r="T533" s="26">
        <v>0</v>
      </c>
      <c r="U533" s="28">
        <v>1</v>
      </c>
    </row>
    <row r="535" spans="1:26" ht="15" thickBot="1" x14ac:dyDescent="0.35"/>
    <row r="536" spans="1:26" ht="15.6" thickTop="1" thickBot="1" x14ac:dyDescent="0.35">
      <c r="A536" s="33" t="s">
        <v>491</v>
      </c>
      <c r="B536" s="34"/>
      <c r="C536" s="34"/>
      <c r="D536" s="34"/>
      <c r="E536" s="34"/>
      <c r="F536" s="34"/>
      <c r="G536" s="34">
        <f>SUMIF(M1:M533,M536,G1:G533)</f>
        <v>276</v>
      </c>
      <c r="H536" s="34"/>
      <c r="I536" s="34"/>
      <c r="J536" s="34"/>
      <c r="K536" s="34"/>
      <c r="L536" s="34">
        <f>SUMIF(M1:M533,M536,L1:L533)</f>
        <v>917.21666666666624</v>
      </c>
      <c r="M536" s="34" t="s">
        <v>25</v>
      </c>
      <c r="N536" s="34"/>
      <c r="O536" s="35"/>
      <c r="P536" s="36">
        <f>SUMIF(M1:M533,M536,P1:P533)</f>
        <v>22</v>
      </c>
      <c r="Q536" s="36">
        <f>SUMIF(M1:M533,M536,Q1:Q533)</f>
        <v>7</v>
      </c>
      <c r="R536" s="36">
        <f>SUMIF(M1:M533,M536,R1:R533)</f>
        <v>133</v>
      </c>
      <c r="S536" s="36">
        <f>SUMIF(M1:M533,M536,S1:S533)</f>
        <v>15</v>
      </c>
      <c r="T536" s="36">
        <f>SUMIF(M1:M533,M536,T1:T533)</f>
        <v>2</v>
      </c>
      <c r="U536" s="36">
        <f>SUMIF(M1:M533,M536,U1:U533)</f>
        <v>4</v>
      </c>
      <c r="V536" s="32">
        <f>SUMIF(M1:M533,M536,V1:V533)</f>
        <v>7</v>
      </c>
      <c r="W536" s="37">
        <f>SUMIF(M1:M533,M536,W1:W533)</f>
        <v>1</v>
      </c>
      <c r="X536" s="37">
        <f>SUMIF(M1:M533,M536,X1:X533)</f>
        <v>7</v>
      </c>
      <c r="Y536" s="37">
        <f>SUMIF(M1:M533,M536,Y1:Y533)</f>
        <v>4</v>
      </c>
    </row>
    <row r="537" spans="1:26" ht="15" thickBot="1" x14ac:dyDescent="0.35">
      <c r="P537" s="38"/>
      <c r="Q537" s="38"/>
      <c r="R537" s="38"/>
      <c r="S537" s="38"/>
      <c r="T537" s="38"/>
      <c r="U537" s="39"/>
      <c r="V537" s="40">
        <f>V536/P536</f>
        <v>0.31818181818181818</v>
      </c>
      <c r="W537" s="40">
        <f>W536/Q536</f>
        <v>0.14285714285714285</v>
      </c>
      <c r="X537" s="40">
        <f>X536/R536</f>
        <v>5.2631578947368418E-2</v>
      </c>
      <c r="Y537" s="40">
        <f>Y536/S536</f>
        <v>0.26666666666666666</v>
      </c>
      <c r="Z537" t="s">
        <v>492</v>
      </c>
    </row>
    <row r="538" spans="1:26" ht="15.6" thickTop="1" thickBot="1" x14ac:dyDescent="0.35">
      <c r="A538" s="41" t="s">
        <v>493</v>
      </c>
      <c r="B538" s="42"/>
      <c r="C538" s="42"/>
      <c r="D538" s="42"/>
      <c r="E538" s="42"/>
      <c r="F538" s="42"/>
      <c r="G538" s="42">
        <f>SUM(G1:G533)</f>
        <v>779</v>
      </c>
      <c r="H538" s="42"/>
      <c r="I538" s="42"/>
      <c r="J538" s="42"/>
      <c r="K538" s="42"/>
      <c r="L538" s="42">
        <f>SUM(L1:L533)</f>
        <v>1784.6500000000012</v>
      </c>
      <c r="M538" s="42"/>
      <c r="N538" s="42"/>
      <c r="O538" s="43"/>
      <c r="P538" s="44">
        <f t="shared" ref="P538:Y538" si="27">SUM(P1:P533)</f>
        <v>58</v>
      </c>
      <c r="Q538" s="44">
        <f t="shared" si="27"/>
        <v>16</v>
      </c>
      <c r="R538" s="44">
        <f t="shared" si="27"/>
        <v>215</v>
      </c>
      <c r="S538" s="44">
        <f t="shared" si="27"/>
        <v>22</v>
      </c>
      <c r="T538" s="44">
        <f t="shared" si="27"/>
        <v>13</v>
      </c>
      <c r="U538" s="44">
        <f t="shared" si="27"/>
        <v>16</v>
      </c>
      <c r="V538" s="32">
        <f t="shared" si="27"/>
        <v>24</v>
      </c>
      <c r="W538" s="37">
        <f t="shared" si="27"/>
        <v>8</v>
      </c>
      <c r="X538" s="37">
        <f t="shared" si="27"/>
        <v>23</v>
      </c>
      <c r="Y538" s="37">
        <f t="shared" si="27"/>
        <v>7</v>
      </c>
    </row>
    <row r="539" spans="1:26" x14ac:dyDescent="0.3">
      <c r="V539" s="40">
        <f>V538/P538</f>
        <v>0.41379310344827586</v>
      </c>
      <c r="W539" s="40">
        <f>W538/Q538</f>
        <v>0.5</v>
      </c>
      <c r="X539" s="40">
        <f>X538/R538</f>
        <v>0.10697674418604651</v>
      </c>
      <c r="Y539" s="40">
        <f>Y538/S538</f>
        <v>0.31818181818181818</v>
      </c>
      <c r="Z539" t="s">
        <v>492</v>
      </c>
    </row>
    <row r="541" spans="1:26" x14ac:dyDescent="0.3">
      <c r="A541" s="14" t="s">
        <v>494</v>
      </c>
      <c r="V541" s="14"/>
    </row>
    <row r="542" spans="1:26" ht="15" thickBot="1" x14ac:dyDescent="0.35"/>
    <row r="543" spans="1:26" ht="15.6" thickTop="1" thickBot="1" x14ac:dyDescent="0.35">
      <c r="A543" s="45" t="s">
        <v>495</v>
      </c>
      <c r="B543" s="46"/>
      <c r="C543" s="46"/>
      <c r="D543" s="46">
        <f>SUM(G1:G533)</f>
        <v>779</v>
      </c>
      <c r="E543" s="46"/>
      <c r="F543" s="47"/>
      <c r="H543" s="36"/>
      <c r="I543" s="48" t="s">
        <v>496</v>
      </c>
      <c r="J543" s="49"/>
      <c r="L543" s="50" t="s">
        <v>13</v>
      </c>
      <c r="M543" s="51" t="s">
        <v>497</v>
      </c>
    </row>
    <row r="544" spans="1:26" ht="15.6" thickTop="1" thickBot="1" x14ac:dyDescent="0.35">
      <c r="A544" s="52" t="s">
        <v>498</v>
      </c>
      <c r="D544">
        <f>L538</f>
        <v>1784.6500000000012</v>
      </c>
      <c r="F544" s="53"/>
      <c r="H544" s="54" t="s">
        <v>4</v>
      </c>
      <c r="I544">
        <v>1</v>
      </c>
      <c r="J544" s="53">
        <f>SUMIF(D1:D533,I544,L1:L533)</f>
        <v>643.74999999999943</v>
      </c>
      <c r="L544" s="52" t="s">
        <v>407</v>
      </c>
      <c r="M544" s="53">
        <f>SUMIF(O1:O533,L544,G1:G533)</f>
        <v>43</v>
      </c>
      <c r="O544" t="s">
        <v>499</v>
      </c>
      <c r="Q544">
        <f>SUM(M544,M545,M546,M547)</f>
        <v>415</v>
      </c>
      <c r="R544" s="55">
        <f>Q544/G538</f>
        <v>0.53273427471116819</v>
      </c>
    </row>
    <row r="545" spans="1:17" ht="15.6" thickTop="1" thickBot="1" x14ac:dyDescent="0.35">
      <c r="A545" s="56" t="s">
        <v>500</v>
      </c>
      <c r="B545" s="38"/>
      <c r="C545" s="38"/>
      <c r="D545" s="57">
        <f>D544/D543</f>
        <v>2.2909499358151493</v>
      </c>
      <c r="E545" s="38"/>
      <c r="F545" s="58"/>
      <c r="H545" s="59"/>
      <c r="I545">
        <v>2</v>
      </c>
      <c r="J545" s="53">
        <f>SUMIF(D1:D533,I545,L1:L533)</f>
        <v>974.83333333333314</v>
      </c>
      <c r="L545" s="52" t="s">
        <v>405</v>
      </c>
      <c r="M545" s="53">
        <f>SUMIF(O1:O533,L545,G1:G533)</f>
        <v>166</v>
      </c>
      <c r="O545" t="s">
        <v>501</v>
      </c>
      <c r="Q545">
        <f>SUM(M544,M545,M548,M549,M547)</f>
        <v>665</v>
      </c>
    </row>
    <row r="546" spans="1:17" ht="15.6" thickTop="1" thickBot="1" x14ac:dyDescent="0.35">
      <c r="A546" s="52"/>
      <c r="F546" s="53"/>
      <c r="H546" s="60"/>
      <c r="I546" s="56">
        <v>3</v>
      </c>
      <c r="J546" s="58">
        <f>SUMIF(D1:D533,I546,L1:L533)</f>
        <v>166.06666666666666</v>
      </c>
      <c r="L546" s="52" t="s">
        <v>410</v>
      </c>
      <c r="M546" s="53">
        <f>SUMIF(O1:O533,L546,G1:G533)</f>
        <v>71</v>
      </c>
      <c r="O546" t="s">
        <v>502</v>
      </c>
      <c r="Q546">
        <f>SUM(M544,M545,M549,M550)</f>
        <v>270</v>
      </c>
    </row>
    <row r="547" spans="1:17" ht="15.6" thickTop="1" thickBot="1" x14ac:dyDescent="0.35">
      <c r="A547" s="61" t="s">
        <v>503</v>
      </c>
      <c r="D547">
        <f>SUMIF(F1:F533,F547,G1:G533)</f>
        <v>679</v>
      </c>
      <c r="F547" s="53" t="s">
        <v>27</v>
      </c>
      <c r="H547" s="62"/>
      <c r="I547" s="63" t="s">
        <v>504</v>
      </c>
      <c r="J547" s="58">
        <f>SUM(J544:J546)</f>
        <v>1784.6499999999992</v>
      </c>
      <c r="L547" s="52" t="s">
        <v>422</v>
      </c>
      <c r="M547" s="53">
        <f>SUMIF(O1:O533,L547,G1:G533)</f>
        <v>135</v>
      </c>
    </row>
    <row r="548" spans="1:17" ht="15" thickTop="1" x14ac:dyDescent="0.3">
      <c r="A548" s="52" t="s">
        <v>505</v>
      </c>
      <c r="D548">
        <f>SUMIF(F1:F533,F547,L1:L533)</f>
        <v>1264.9166666666667</v>
      </c>
      <c r="F548" s="53"/>
      <c r="L548" s="52" t="s">
        <v>92</v>
      </c>
      <c r="M548" s="53">
        <f>SUMIF(O1:O533,L548,G1:G533)</f>
        <v>300</v>
      </c>
    </row>
    <row r="549" spans="1:17" ht="15" thickBot="1" x14ac:dyDescent="0.35">
      <c r="A549" s="56" t="s">
        <v>506</v>
      </c>
      <c r="B549" s="38"/>
      <c r="C549" s="38"/>
      <c r="D549" s="57">
        <f>D548/D547</f>
        <v>1.8629111438389789</v>
      </c>
      <c r="E549" s="38"/>
      <c r="F549" s="58"/>
      <c r="L549" s="52" t="s">
        <v>476</v>
      </c>
      <c r="M549" s="53">
        <f>SUMIF(O1:O533,L549,G1:G533)</f>
        <v>21</v>
      </c>
    </row>
    <row r="550" spans="1:17" ht="15" thickTop="1" x14ac:dyDescent="0.3">
      <c r="A550" s="52"/>
      <c r="F550" s="53"/>
      <c r="L550" s="52" t="s">
        <v>218</v>
      </c>
      <c r="M550" s="53">
        <f>SUMIF(O1:O533,L550,G1:G533)</f>
        <v>40</v>
      </c>
    </row>
    <row r="551" spans="1:17" ht="15" thickBot="1" x14ac:dyDescent="0.35">
      <c r="A551" s="61" t="s">
        <v>507</v>
      </c>
      <c r="D551">
        <f>SUMIF(F1:F533,F551,G1:G533)</f>
        <v>100</v>
      </c>
      <c r="F551" s="53" t="s">
        <v>35</v>
      </c>
      <c r="L551" s="56" t="s">
        <v>446</v>
      </c>
      <c r="M551" s="58">
        <f>SUMIF(O1:O533,L551,G1:G533)</f>
        <v>3</v>
      </c>
    </row>
    <row r="552" spans="1:17" ht="15.6" thickTop="1" thickBot="1" x14ac:dyDescent="0.35">
      <c r="A552" s="52" t="s">
        <v>508</v>
      </c>
      <c r="D552">
        <f>SUMIF(F1:F533,F551,L1:L533)</f>
        <v>519.73333333333335</v>
      </c>
      <c r="F552" s="53"/>
      <c r="L552" s="50" t="s">
        <v>504</v>
      </c>
      <c r="M552" s="49">
        <f>SUM(M544:M551)</f>
        <v>779</v>
      </c>
    </row>
    <row r="553" spans="1:17" ht="15.6" thickTop="1" thickBot="1" x14ac:dyDescent="0.35">
      <c r="A553" s="56" t="s">
        <v>509</v>
      </c>
      <c r="B553" s="38"/>
      <c r="C553" s="38"/>
      <c r="D553" s="57">
        <f>D552/D551</f>
        <v>5.1973333333333338</v>
      </c>
      <c r="E553" s="38"/>
      <c r="F553" s="58"/>
    </row>
    <row r="554" spans="1:17" ht="15.6" thickTop="1" thickBot="1" x14ac:dyDescent="0.35"/>
    <row r="555" spans="1:17" ht="15.6" thickTop="1" thickBot="1" x14ac:dyDescent="0.35">
      <c r="A555" s="59"/>
      <c r="B555" s="64" t="s">
        <v>510</v>
      </c>
      <c r="C555" s="46"/>
      <c r="D555" s="46"/>
      <c r="E555" s="46"/>
      <c r="F555" s="47"/>
      <c r="G555" s="64" t="s">
        <v>511</v>
      </c>
      <c r="H555" s="46"/>
      <c r="I555" s="46"/>
      <c r="J555" s="47"/>
      <c r="K555" s="64" t="s">
        <v>512</v>
      </c>
      <c r="L555" s="46"/>
      <c r="M555" s="47"/>
    </row>
    <row r="556" spans="1:17" ht="15.6" thickTop="1" thickBot="1" x14ac:dyDescent="0.35">
      <c r="A556" s="54" t="s">
        <v>4</v>
      </c>
      <c r="B556" s="65" t="s">
        <v>410</v>
      </c>
      <c r="C556" s="65" t="s">
        <v>92</v>
      </c>
      <c r="D556" s="65" t="s">
        <v>218</v>
      </c>
      <c r="E556" s="65"/>
      <c r="F556" s="49"/>
      <c r="G556" s="65" t="s">
        <v>410</v>
      </c>
      <c r="H556" s="65" t="s">
        <v>92</v>
      </c>
      <c r="I556" s="65" t="s">
        <v>218</v>
      </c>
      <c r="J556" s="49"/>
      <c r="K556" s="65" t="s">
        <v>410</v>
      </c>
      <c r="L556" s="65" t="s">
        <v>92</v>
      </c>
      <c r="M556" s="49" t="s">
        <v>218</v>
      </c>
    </row>
    <row r="557" spans="1:17" ht="15" thickTop="1" x14ac:dyDescent="0.3">
      <c r="A557" s="66">
        <v>1</v>
      </c>
      <c r="B557">
        <f>SUMIF(D1:D533,A557,P1:P533)</f>
        <v>1</v>
      </c>
      <c r="C557">
        <f>SUMIF(D1:D533,A557,R1:R533)</f>
        <v>90</v>
      </c>
      <c r="D557">
        <f>SUMIF(D1:D533,A557,T1:T533)</f>
        <v>1</v>
      </c>
      <c r="F557" s="53"/>
      <c r="G557">
        <f>SUMIF(D1:D533,A557,Q1:Q533)</f>
        <v>6</v>
      </c>
      <c r="H557">
        <f>SUMIF(D1:D533,A557,S1:S533)</f>
        <v>4</v>
      </c>
      <c r="I557">
        <f>SUMIF(D1:D533,A557,U1:U533)</f>
        <v>0</v>
      </c>
      <c r="J557" s="53"/>
      <c r="K557">
        <f>SUM(B557,G557)</f>
        <v>7</v>
      </c>
      <c r="L557">
        <f>SUM(C557,H557)</f>
        <v>94</v>
      </c>
      <c r="M557" s="53">
        <f t="shared" ref="M557:M559" si="28">SUM(D557,I557)</f>
        <v>1</v>
      </c>
    </row>
    <row r="558" spans="1:17" x14ac:dyDescent="0.3">
      <c r="A558" s="66">
        <v>2</v>
      </c>
      <c r="B558">
        <f>SUMIF(D1:D533,A558,P1:P533)</f>
        <v>57</v>
      </c>
      <c r="C558">
        <f>SUMIF(D1:D533,A558,R1:R533)</f>
        <v>91</v>
      </c>
      <c r="D558">
        <f>SUMIF(D1:D533,A558,T1:T533)</f>
        <v>2</v>
      </c>
      <c r="F558" s="53"/>
      <c r="G558">
        <f>SUMIF(D1:D533,A558,Q1:Q533)</f>
        <v>10</v>
      </c>
      <c r="H558">
        <f>SUMIF(D1:D533,A558,S1:S533)</f>
        <v>3</v>
      </c>
      <c r="I558">
        <f>SUMIF(D1:D533,A558,U1:U533)</f>
        <v>7</v>
      </c>
      <c r="J558" s="53"/>
      <c r="K558">
        <f t="shared" ref="K558:L559" si="29">SUM(B558,G558)</f>
        <v>67</v>
      </c>
      <c r="L558">
        <f t="shared" si="29"/>
        <v>94</v>
      </c>
      <c r="M558" s="53">
        <f t="shared" si="28"/>
        <v>9</v>
      </c>
    </row>
    <row r="559" spans="1:17" ht="15" thickBot="1" x14ac:dyDescent="0.35">
      <c r="A559" s="66">
        <v>3</v>
      </c>
      <c r="B559">
        <f>SUMIF(D1:D533,A559,P1:P533)</f>
        <v>0</v>
      </c>
      <c r="C559">
        <f>SUMIF(D1:D533,A559,R1:R533)</f>
        <v>34</v>
      </c>
      <c r="D559">
        <f>SUMIF(D1:D533,A559,T1:T533)</f>
        <v>10</v>
      </c>
      <c r="F559" s="53"/>
      <c r="G559">
        <f>SUMIF(D1:D533,A559,Q1:Q533)</f>
        <v>0</v>
      </c>
      <c r="H559">
        <f>SUMIF(D1:D533,A559,S1:S533)</f>
        <v>15</v>
      </c>
      <c r="I559">
        <f>SUMIF(D1:D533,A559,U1:U533)</f>
        <v>9</v>
      </c>
      <c r="J559" s="53"/>
      <c r="K559">
        <f t="shared" si="29"/>
        <v>0</v>
      </c>
      <c r="L559">
        <f t="shared" si="29"/>
        <v>49</v>
      </c>
      <c r="M559" s="53">
        <f t="shared" si="28"/>
        <v>19</v>
      </c>
    </row>
    <row r="560" spans="1:17" ht="15.6" thickTop="1" thickBot="1" x14ac:dyDescent="0.35">
      <c r="A560" s="54" t="s">
        <v>504</v>
      </c>
      <c r="B560" s="65">
        <f>SUM(B557:B559)</f>
        <v>58</v>
      </c>
      <c r="C560" s="65">
        <f t="shared" ref="C560:D560" si="30">SUM(C557:C559)</f>
        <v>215</v>
      </c>
      <c r="D560" s="65">
        <f t="shared" si="30"/>
        <v>13</v>
      </c>
      <c r="E560" s="65"/>
      <c r="F560" s="49"/>
      <c r="G560" s="65">
        <f>SUM(G557:G559)</f>
        <v>16</v>
      </c>
      <c r="H560" s="65">
        <f t="shared" ref="H560:I560" si="31">SUM(H557:H559)</f>
        <v>22</v>
      </c>
      <c r="I560" s="65">
        <f t="shared" si="31"/>
        <v>16</v>
      </c>
      <c r="J560" s="49"/>
      <c r="K560" s="65">
        <f>SUM(K557:K559)</f>
        <v>74</v>
      </c>
      <c r="L560" s="65">
        <f>SUM(L557:L559)</f>
        <v>237</v>
      </c>
      <c r="M560" s="49">
        <f t="shared" ref="M560" si="32">SUM(M557:M559)</f>
        <v>29</v>
      </c>
    </row>
    <row r="561" spans="1:13" ht="15" thickTop="1" x14ac:dyDescent="0.3"/>
    <row r="562" spans="1:13" x14ac:dyDescent="0.3">
      <c r="K562" s="55">
        <f>K560/$K$563</f>
        <v>0.21764705882352942</v>
      </c>
      <c r="L562" s="55">
        <f>L560/$K$563</f>
        <v>0.69705882352941173</v>
      </c>
      <c r="M562" s="55">
        <f>M560/$K$563</f>
        <v>8.5294117647058826E-2</v>
      </c>
    </row>
    <row r="563" spans="1:13" x14ac:dyDescent="0.3">
      <c r="K563">
        <f>SUM(K560:M560)</f>
        <v>340</v>
      </c>
    </row>
    <row r="565" spans="1:13" ht="15" thickBot="1" x14ac:dyDescent="0.35">
      <c r="A565" s="14" t="s">
        <v>513</v>
      </c>
      <c r="D565" s="38"/>
      <c r="G565" s="38"/>
    </row>
    <row r="566" spans="1:13" ht="15.6" thickTop="1" thickBot="1" x14ac:dyDescent="0.35">
      <c r="B566" s="67" t="s">
        <v>514</v>
      </c>
      <c r="C566" s="68" t="s">
        <v>230</v>
      </c>
      <c r="D566" s="69" t="s">
        <v>515</v>
      </c>
      <c r="E566" s="68" t="s">
        <v>516</v>
      </c>
      <c r="F566" s="68" t="s">
        <v>517</v>
      </c>
      <c r="G566" s="68" t="s">
        <v>518</v>
      </c>
      <c r="H566" s="68" t="s">
        <v>519</v>
      </c>
      <c r="I566" s="70" t="s">
        <v>520</v>
      </c>
    </row>
    <row r="567" spans="1:13" ht="15" thickTop="1" x14ac:dyDescent="0.3">
      <c r="A567" s="71" t="s">
        <v>521</v>
      </c>
      <c r="B567" s="72">
        <f>SUMIF(F1:F363,F547,G1:G363)</f>
        <v>434</v>
      </c>
      <c r="C567" s="73">
        <f>SUMIF(F1:F363,F547,L1:L363)</f>
        <v>803.69999999999914</v>
      </c>
      <c r="D567" s="74">
        <f>E567+F567</f>
        <v>61</v>
      </c>
      <c r="E567" s="73">
        <f>SUMIF(F1:F363,F547,P1:P363)</f>
        <v>52</v>
      </c>
      <c r="F567" s="73">
        <f>SUMIF(F1:F363,F547,Q1:Q363)</f>
        <v>9</v>
      </c>
      <c r="G567" s="74">
        <f>H567+I567</f>
        <v>70</v>
      </c>
      <c r="H567" s="73">
        <f>SUMIF(F1:F363,F547,R1:R363)</f>
        <v>67</v>
      </c>
      <c r="I567" s="75">
        <f>SUMIF(F1:F363,F547,S1:S363)</f>
        <v>3</v>
      </c>
    </row>
    <row r="568" spans="1:13" ht="15" thickBot="1" x14ac:dyDescent="0.35">
      <c r="A568" s="60" t="s">
        <v>522</v>
      </c>
      <c r="B568" s="76">
        <f>SUMIF(F1:F363,F551,G1:G363)</f>
        <v>86</v>
      </c>
      <c r="C568" s="39">
        <f>SUMIF(F1:F363,F551,L1:L363)</f>
        <v>438.15</v>
      </c>
      <c r="D568" s="77">
        <f>E568+F568</f>
        <v>6</v>
      </c>
      <c r="E568" s="39">
        <f>SUMIF(F1:F363,F551,P1:P363)</f>
        <v>1</v>
      </c>
      <c r="F568" s="39">
        <f>SUMIF(F1:F363,F551,Q1:Q363)</f>
        <v>5</v>
      </c>
      <c r="G568" s="77">
        <f>H568+I568</f>
        <v>68</v>
      </c>
      <c r="H568" s="39">
        <f>SUMIF(F1:F363,F551,R1:R363)</f>
        <v>65</v>
      </c>
      <c r="I568" s="53">
        <f>SUMIF(F1:F363,F551,S1:S363)</f>
        <v>3</v>
      </c>
    </row>
    <row r="569" spans="1:13" ht="15.6" thickTop="1" thickBot="1" x14ac:dyDescent="0.35">
      <c r="A569" s="36" t="s">
        <v>504</v>
      </c>
      <c r="B569" s="67">
        <f>SUM(B567:B568)</f>
        <v>520</v>
      </c>
      <c r="C569" s="68">
        <f>SUM(C567:C568)</f>
        <v>1241.849999999999</v>
      </c>
      <c r="D569" s="68">
        <f>D567+D568</f>
        <v>67</v>
      </c>
      <c r="E569" s="68">
        <f>SUM(E567:E568)</f>
        <v>53</v>
      </c>
      <c r="F569" s="68">
        <f>SUM(F567:F568)</f>
        <v>14</v>
      </c>
      <c r="G569" s="69">
        <f>G567+G568</f>
        <v>138</v>
      </c>
      <c r="H569" s="68">
        <f>SUM(H567:H568)</f>
        <v>132</v>
      </c>
      <c r="I569" s="49">
        <f>SUM(I567:I568)</f>
        <v>6</v>
      </c>
    </row>
    <row r="570" spans="1:13" ht="15" thickTop="1" x14ac:dyDescent="0.3"/>
    <row r="571" spans="1:13" ht="15" thickBot="1" x14ac:dyDescent="0.35">
      <c r="A571" s="14" t="s">
        <v>523</v>
      </c>
      <c r="D571" s="38"/>
      <c r="G571" s="38"/>
    </row>
    <row r="572" spans="1:13" ht="15.6" thickTop="1" thickBot="1" x14ac:dyDescent="0.35">
      <c r="B572" s="67" t="s">
        <v>514</v>
      </c>
      <c r="C572" s="68" t="s">
        <v>230</v>
      </c>
      <c r="D572" s="68" t="s">
        <v>515</v>
      </c>
      <c r="E572" s="68" t="s">
        <v>516</v>
      </c>
      <c r="F572" s="68" t="s">
        <v>517</v>
      </c>
      <c r="G572" s="68" t="s">
        <v>518</v>
      </c>
      <c r="H572" s="68" t="s">
        <v>519</v>
      </c>
      <c r="I572" s="70" t="s">
        <v>520</v>
      </c>
    </row>
    <row r="573" spans="1:13" ht="15" thickTop="1" x14ac:dyDescent="0.3">
      <c r="A573" s="71" t="s">
        <v>521</v>
      </c>
      <c r="B573" s="72">
        <f>SUMIF(F364:F533,F547,G364:G533)</f>
        <v>245</v>
      </c>
      <c r="C573" s="78">
        <f>SUMIF(F364:F533,F547,L364:L533)</f>
        <v>461.21666666666692</v>
      </c>
      <c r="D573" s="79">
        <f>E573+F573</f>
        <v>7</v>
      </c>
      <c r="E573" s="73">
        <f>SUMIF(F364:F533,F547,P364:P533)</f>
        <v>5</v>
      </c>
      <c r="F573" s="73">
        <f>SUMIF(F364:F533,F547,Q364:Q533)</f>
        <v>2</v>
      </c>
      <c r="G573" s="74">
        <f>H573+I573</f>
        <v>90</v>
      </c>
      <c r="H573" s="73">
        <f>SUMIF(F364:F533,F547,R364:R533)</f>
        <v>74</v>
      </c>
      <c r="I573" s="75">
        <f>SUMIF(F364:F533,F547,S364:S533)</f>
        <v>16</v>
      </c>
    </row>
    <row r="574" spans="1:13" ht="15" thickBot="1" x14ac:dyDescent="0.35">
      <c r="A574" s="60" t="s">
        <v>522</v>
      </c>
      <c r="B574" s="76">
        <f>SUMIF(F364:F533,F551,G364:G533)</f>
        <v>14</v>
      </c>
      <c r="C574" s="80">
        <f>SUMIF(F364:F533,F551,L364:L533)</f>
        <v>81.583333333333329</v>
      </c>
      <c r="D574" s="81">
        <f>E574+F574</f>
        <v>0</v>
      </c>
      <c r="E574" s="39">
        <f>SUMIF(F364:F533,F551,P364:P533)</f>
        <v>0</v>
      </c>
      <c r="F574" s="39">
        <f>SUMIF(F364:F533,F551,Q364:Q533)</f>
        <v>0</v>
      </c>
      <c r="G574" s="77">
        <f>H574+I574</f>
        <v>9</v>
      </c>
      <c r="H574" s="39">
        <f>SUMIF(F364:F533,F551,R364:R533)</f>
        <v>9</v>
      </c>
      <c r="I574" s="82">
        <f>SUMIF(F364:F533,F551,S364:S533)</f>
        <v>0</v>
      </c>
    </row>
    <row r="575" spans="1:13" ht="15.6" thickTop="1" thickBot="1" x14ac:dyDescent="0.35">
      <c r="A575" s="36" t="s">
        <v>504</v>
      </c>
      <c r="B575" s="67">
        <f>SUM(B573:B574)</f>
        <v>259</v>
      </c>
      <c r="C575" s="83">
        <f>SUM(C573:C574)</f>
        <v>542.8000000000003</v>
      </c>
      <c r="D575" s="81">
        <f>D573+D574</f>
        <v>7</v>
      </c>
      <c r="E575" s="83">
        <f>SUM(E573:E574)</f>
        <v>5</v>
      </c>
      <c r="F575" s="83">
        <f>SUM(F573:F574)</f>
        <v>2</v>
      </c>
      <c r="G575" s="68">
        <f>G573+G574</f>
        <v>99</v>
      </c>
      <c r="H575" s="83">
        <f>SUM(H573:H574)</f>
        <v>83</v>
      </c>
      <c r="I575" s="49">
        <f>SUM(I573:I574)</f>
        <v>16</v>
      </c>
    </row>
    <row r="576" spans="1:13" ht="15" thickTop="1" x14ac:dyDescent="0.3"/>
  </sheetData>
  <autoFilter ref="A1:AB1" xr:uid="{F63F3C29-8A02-4B27-BE5F-06F1D2DD3FB7}"/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(Aug-Oct)</vt:lpstr>
      <vt:lpstr>2025 (Nov-Dec)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Overman, Nathanael C (DFW)</dc:creator>
  <cp:lastModifiedBy>Overman, Nathanael C (DFW)</cp:lastModifiedBy>
  <dcterms:created xsi:type="dcterms:W3CDTF">2026-08-19T22:40:03Z</dcterms:created>
  <dcterms:modified xsi:type="dcterms:W3CDTF">2026-08-19T22:50:26Z</dcterms:modified>
</cp:coreProperties>
</file>